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1.xml" ContentType="application/vnd.openxmlformats-officedocument.spreadsheetml.query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queryTables/queryTable2.xml" ContentType="application/vnd.openxmlformats-officedocument.spreadsheetml.queryTable+xml"/>
  <Override PartName="/xl/tables/table18.xml" ContentType="application/vnd.openxmlformats-officedocument.spreadsheetml.table+xml"/>
  <Override PartName="/xl/queryTables/queryTable3.xml" ContentType="application/vnd.openxmlformats-officedocument.spreadsheetml.queryTable+xml"/>
  <Override PartName="/xl/tables/table19.xml" ContentType="application/vnd.openxmlformats-officedocument.spreadsheetml.table+xml"/>
  <Override PartName="/xl/queryTables/queryTable4.xml" ContentType="application/vnd.openxmlformats-officedocument.spreadsheetml.queryTable+xml"/>
  <Override PartName="/xl/tables/table20.xml" ContentType="application/vnd.openxmlformats-officedocument.spreadsheetml.table+xml"/>
  <Override PartName="/xl/queryTables/queryTable5.xml" ContentType="application/vnd.openxmlformats-officedocument.spreadsheetml.queryTable+xml"/>
  <Override PartName="/xl/tables/table21.xml" ContentType="application/vnd.openxmlformats-officedocument.spreadsheetml.table+xml"/>
  <Override PartName="/xl/queryTables/queryTable6.xml" ContentType="application/vnd.openxmlformats-officedocument.spreadsheetml.queryTable+xml"/>
  <Override PartName="/xl/tables/table22.xml" ContentType="application/vnd.openxmlformats-officedocument.spreadsheetml.table+xml"/>
  <Override PartName="/xl/queryTables/queryTable7.xml" ContentType="application/vnd.openxmlformats-officedocument.spreadsheetml.queryTable+xml"/>
  <Override PartName="/xl/tables/table23.xml" ContentType="application/vnd.openxmlformats-officedocument.spreadsheetml.table+xml"/>
  <Override PartName="/xl/queryTables/queryTable8.xml" ContentType="application/vnd.openxmlformats-officedocument.spreadsheetml.queryTable+xml"/>
  <Override PartName="/xl/tables/table24.xml" ContentType="application/vnd.openxmlformats-officedocument.spreadsheetml.table+xml"/>
  <Override PartName="/xl/queryTables/queryTable9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d302404d474c2be/Desktop/"/>
    </mc:Choice>
  </mc:AlternateContent>
  <xr:revisionPtr revIDLastSave="297" documentId="121_{69A54683-66C9-4A60-9F5C-1325370C7A04}" xr6:coauthVersionLast="47" xr6:coauthVersionMax="47" xr10:uidLastSave="{20821610-AA35-44E8-B862-E76F9FA8C162}"/>
  <bookViews>
    <workbookView xWindow="-120" yWindow="-120" windowWidth="29040" windowHeight="15720" xr2:uid="{00000000-000D-0000-FFFF-FFFF00000000}"/>
  </bookViews>
  <sheets>
    <sheet name="Data Entry" sheetId="29" r:id="rId1"/>
    <sheet name="Full Price List" sheetId="52" r:id="rId2"/>
    <sheet name="Price Finder" sheetId="42" r:id="rId3"/>
    <sheet name="Mrp Challan" sheetId="45" r:id="rId4"/>
    <sheet name="Wsp Challan" sheetId="47" r:id="rId5"/>
    <sheet name="Net Cash challan" sheetId="48" r:id="rId6"/>
    <sheet name="Wsp Shawls" sheetId="33" r:id="rId7"/>
    <sheet name="Wsp Stoles" sheetId="34" r:id="rId8"/>
    <sheet name="Wsp Lohi" sheetId="35" r:id="rId9"/>
    <sheet name="Wsp Suits" sheetId="36" r:id="rId10"/>
    <sheet name="Wsp 2500" sheetId="38" r:id="rId11"/>
    <sheet name="Mrp All items" sheetId="39" r:id="rId12"/>
    <sheet name="Net Cash All items" sheetId="40" r:id="rId13"/>
    <sheet name="Sheet1" sheetId="49" r:id="rId14"/>
    <sheet name="South" sheetId="43" r:id="rId15"/>
  </sheets>
  <definedNames>
    <definedName name="ExternalData_1" localSheetId="1" hidden="1">'Full Price List'!$A$1:$P$852</definedName>
    <definedName name="ExternalData_1" localSheetId="11" hidden="1">'Mrp All items'!$A$1:$D$852</definedName>
    <definedName name="ExternalData_1" localSheetId="12" hidden="1">'Net Cash All items'!$A$1:$D$852</definedName>
    <definedName name="ExternalData_1" localSheetId="14" hidden="1">South!$A$1:$D$801</definedName>
    <definedName name="ExternalData_1" localSheetId="10" hidden="1">'Wsp 2500'!$A$1:$D$739</definedName>
    <definedName name="ExternalData_1" localSheetId="8" hidden="1">'Wsp Lohi'!$A$1:$F$76</definedName>
    <definedName name="ExternalData_1" localSheetId="6" hidden="1">'Wsp Shawls'!$A$1:$D$428</definedName>
    <definedName name="ExternalData_1" localSheetId="7" hidden="1">'Wsp Stoles'!$A$1:$F$295</definedName>
    <definedName name="ExternalData_1" localSheetId="9" hidden="1">'Wsp Suits'!$A$1:$E$48</definedName>
    <definedName name="_xlnm.Print_Area" localSheetId="3">'Mrp Challan'!$A$1:$F$33</definedName>
    <definedName name="_xlnm.Print_Area" localSheetId="5">'Net Cash challan'!$A$1:$F$33</definedName>
    <definedName name="_xlnm.Print_Area" localSheetId="4">'Wsp Challan'!$A$1:$F$33</definedName>
    <definedName name="_xlnm.Print_Titles" localSheetId="11">'Mrp All items'!$1:$1</definedName>
    <definedName name="_xlnm.Print_Titles" localSheetId="12">'Net Cash All items'!$1:$1</definedName>
    <definedName name="_xlnm.Print_Titles" localSheetId="14">South!$1:$1</definedName>
    <definedName name="_xlnm.Print_Titles" localSheetId="10">'Wsp 2500'!$1:$1</definedName>
    <definedName name="_xlnm.Print_Titles" localSheetId="8">'Wsp Lohi'!$1:$1</definedName>
    <definedName name="_xlnm.Print_Titles" localSheetId="6">'Wsp Shawls'!$1:$1</definedName>
    <definedName name="_xlnm.Print_Titles" localSheetId="7">'Wsp Stoles'!$1:$1</definedName>
    <definedName name="_xlnm.Print_Titles" localSheetId="9">'Wsp Suits'!$1:$1</definedName>
  </definedNames>
  <calcPr calcId="181029"/>
</workbook>
</file>

<file path=xl/calcChain.xml><?xml version="1.0" encoding="utf-8"?>
<calcChain xmlns="http://schemas.openxmlformats.org/spreadsheetml/2006/main">
  <c r="J597" i="29" l="1"/>
  <c r="L597" i="29" s="1"/>
  <c r="J598" i="29"/>
  <c r="L598" i="29" s="1"/>
  <c r="M597" i="29"/>
  <c r="N597" i="29"/>
  <c r="P597" i="29"/>
  <c r="P598" i="29"/>
  <c r="Q597" i="29"/>
  <c r="J592" i="29"/>
  <c r="M592" i="29" s="1"/>
  <c r="Q592" i="29" s="1"/>
  <c r="P592" i="29"/>
  <c r="J375" i="29"/>
  <c r="L375" i="29" s="1"/>
  <c r="K375" i="29" s="1"/>
  <c r="P375" i="29"/>
  <c r="J372" i="29"/>
  <c r="L372" i="29" s="1"/>
  <c r="P372" i="29"/>
  <c r="J102" i="29"/>
  <c r="M102" i="29" s="1"/>
  <c r="Q102" i="29" s="1"/>
  <c r="P102" i="29"/>
  <c r="J379" i="29"/>
  <c r="L379" i="29" s="1"/>
  <c r="K379" i="29" s="1"/>
  <c r="P379" i="29"/>
  <c r="J393" i="29"/>
  <c r="L393" i="29" s="1"/>
  <c r="P393" i="29"/>
  <c r="J188" i="29"/>
  <c r="L188" i="29" s="1"/>
  <c r="P188" i="29"/>
  <c r="J101" i="29"/>
  <c r="L101" i="29" s="1"/>
  <c r="N101" i="29" s="1"/>
  <c r="P101" i="29"/>
  <c r="J97" i="29"/>
  <c r="L97" i="29" s="1"/>
  <c r="J98" i="29"/>
  <c r="L98" i="29" s="1"/>
  <c r="N98" i="29" s="1"/>
  <c r="J99" i="29"/>
  <c r="L99" i="29" s="1"/>
  <c r="N99" i="29" s="1"/>
  <c r="J100" i="29"/>
  <c r="L100" i="29" s="1"/>
  <c r="N100" i="29" s="1"/>
  <c r="P97" i="29"/>
  <c r="P98" i="29"/>
  <c r="P99" i="29"/>
  <c r="P100" i="29"/>
  <c r="J255" i="29"/>
  <c r="L255" i="29" s="1"/>
  <c r="N255" i="29" s="1"/>
  <c r="P255" i="29"/>
  <c r="J254" i="29"/>
  <c r="L254" i="29" s="1"/>
  <c r="O254" i="29" s="1"/>
  <c r="P254" i="29"/>
  <c r="J164" i="29"/>
  <c r="L164" i="29" s="1"/>
  <c r="N164" i="29" s="1"/>
  <c r="P164" i="29"/>
  <c r="J294" i="29"/>
  <c r="M294" i="29" s="1"/>
  <c r="Q294" i="29" s="1"/>
  <c r="N294" i="29"/>
  <c r="P294" i="29"/>
  <c r="J213" i="29"/>
  <c r="M213" i="29" s="1"/>
  <c r="Q213" i="29" s="1"/>
  <c r="P213" i="29"/>
  <c r="J207" i="29"/>
  <c r="M207" i="29" s="1"/>
  <c r="Q207" i="29" s="1"/>
  <c r="P207" i="29"/>
  <c r="J206" i="29"/>
  <c r="L206" i="29" s="1"/>
  <c r="P206" i="29"/>
  <c r="J196" i="29"/>
  <c r="L196" i="29" s="1"/>
  <c r="K196" i="29" s="1"/>
  <c r="P196" i="29"/>
  <c r="J320" i="29"/>
  <c r="L320" i="29" s="1"/>
  <c r="N320" i="29" s="1"/>
  <c r="P320" i="29"/>
  <c r="J354" i="29"/>
  <c r="M354" i="29" s="1"/>
  <c r="Q354" i="29" s="1"/>
  <c r="J355" i="29"/>
  <c r="L355" i="29" s="1"/>
  <c r="P354" i="29"/>
  <c r="P355" i="29"/>
  <c r="D2" i="48"/>
  <c r="D3" i="48"/>
  <c r="D4" i="48"/>
  <c r="D5" i="48"/>
  <c r="D6" i="48"/>
  <c r="D7" i="48"/>
  <c r="D8" i="48"/>
  <c r="D9" i="48"/>
  <c r="D10" i="48"/>
  <c r="D11" i="48"/>
  <c r="D12" i="48"/>
  <c r="D13" i="48"/>
  <c r="D14" i="48"/>
  <c r="D15" i="48"/>
  <c r="D16" i="48"/>
  <c r="D17" i="48"/>
  <c r="D18" i="48"/>
  <c r="D19" i="48"/>
  <c r="D20" i="48"/>
  <c r="D21" i="48"/>
  <c r="D22" i="48"/>
  <c r="D23" i="48"/>
  <c r="D24" i="48"/>
  <c r="D25" i="48"/>
  <c r="D26" i="48"/>
  <c r="D27" i="48"/>
  <c r="D28" i="48"/>
  <c r="D29" i="48"/>
  <c r="D30" i="48"/>
  <c r="D2" i="47"/>
  <c r="D3" i="47"/>
  <c r="D4" i="47"/>
  <c r="D5" i="47"/>
  <c r="D6" i="47"/>
  <c r="D7" i="47"/>
  <c r="D8" i="47"/>
  <c r="D9" i="47"/>
  <c r="D10" i="47"/>
  <c r="D11" i="47"/>
  <c r="D12" i="47"/>
  <c r="D13" i="47"/>
  <c r="D14" i="47"/>
  <c r="D15" i="47"/>
  <c r="D16" i="47"/>
  <c r="D17" i="47"/>
  <c r="D18" i="47"/>
  <c r="D19" i="47"/>
  <c r="D20" i="47"/>
  <c r="D21" i="47"/>
  <c r="D22" i="47"/>
  <c r="D23" i="47"/>
  <c r="D24" i="47"/>
  <c r="D25" i="47"/>
  <c r="D26" i="47"/>
  <c r="D27" i="47"/>
  <c r="D28" i="47"/>
  <c r="D29" i="47"/>
  <c r="D30" i="47"/>
  <c r="D2" i="45"/>
  <c r="D3" i="45"/>
  <c r="D4" i="45"/>
  <c r="D5" i="45"/>
  <c r="D6" i="45"/>
  <c r="D7" i="45"/>
  <c r="D8" i="45"/>
  <c r="D9" i="45"/>
  <c r="D10" i="45"/>
  <c r="D11" i="45"/>
  <c r="D12" i="45"/>
  <c r="D13" i="45"/>
  <c r="D14" i="45"/>
  <c r="D15" i="45"/>
  <c r="D16" i="45"/>
  <c r="D17" i="45"/>
  <c r="D18" i="45"/>
  <c r="D19" i="45"/>
  <c r="D20" i="45"/>
  <c r="D21" i="45"/>
  <c r="D22" i="45"/>
  <c r="D23" i="45"/>
  <c r="D24" i="45"/>
  <c r="D25" i="45"/>
  <c r="D26" i="45"/>
  <c r="D27" i="45"/>
  <c r="D28" i="45"/>
  <c r="D29" i="45"/>
  <c r="D30" i="45"/>
  <c r="U2" i="42"/>
  <c r="U3" i="42"/>
  <c r="U4" i="42"/>
  <c r="U5" i="42"/>
  <c r="U6" i="42"/>
  <c r="U7" i="42"/>
  <c r="U8" i="42"/>
  <c r="U9" i="42"/>
  <c r="U10" i="42"/>
  <c r="U11" i="42"/>
  <c r="U12" i="42"/>
  <c r="U13" i="42"/>
  <c r="U14" i="42"/>
  <c r="U15" i="42"/>
  <c r="U16" i="42"/>
  <c r="U17" i="42"/>
  <c r="U18" i="42"/>
  <c r="U19" i="42"/>
  <c r="U20" i="42"/>
  <c r="U21" i="42"/>
  <c r="U22" i="42"/>
  <c r="U23" i="42"/>
  <c r="U24" i="42"/>
  <c r="U25" i="42"/>
  <c r="U26" i="42"/>
  <c r="U27" i="42"/>
  <c r="U28" i="42"/>
  <c r="U29" i="42"/>
  <c r="U30" i="42"/>
  <c r="U31" i="42"/>
  <c r="U32" i="42"/>
  <c r="U33" i="42"/>
  <c r="U34" i="42"/>
  <c r="U35" i="42"/>
  <c r="U36" i="42"/>
  <c r="U37" i="42"/>
  <c r="U38" i="42"/>
  <c r="U39" i="42"/>
  <c r="U40" i="42"/>
  <c r="U41" i="42"/>
  <c r="U42" i="42"/>
  <c r="U43" i="42"/>
  <c r="U44" i="42"/>
  <c r="U45" i="42"/>
  <c r="U46" i="42"/>
  <c r="U47" i="42"/>
  <c r="U48" i="42"/>
  <c r="U49" i="42"/>
  <c r="U50" i="42"/>
  <c r="U51" i="42"/>
  <c r="U52" i="42"/>
  <c r="U53" i="42"/>
  <c r="U54" i="42"/>
  <c r="U55" i="42"/>
  <c r="U56" i="42"/>
  <c r="U57" i="42"/>
  <c r="U58" i="42"/>
  <c r="U59" i="42"/>
  <c r="U60" i="42"/>
  <c r="R2" i="42"/>
  <c r="R3" i="42"/>
  <c r="R4" i="42"/>
  <c r="R5" i="42"/>
  <c r="R6" i="42"/>
  <c r="R7" i="42"/>
  <c r="R8" i="42"/>
  <c r="R9" i="42"/>
  <c r="R10" i="42"/>
  <c r="R11" i="42"/>
  <c r="R12" i="42"/>
  <c r="R13" i="42"/>
  <c r="R14" i="42"/>
  <c r="R15" i="42"/>
  <c r="R16" i="42"/>
  <c r="R17" i="42"/>
  <c r="R18" i="42"/>
  <c r="R19" i="42"/>
  <c r="R20" i="42"/>
  <c r="R21" i="42"/>
  <c r="R22" i="42"/>
  <c r="R23" i="42"/>
  <c r="R24" i="42"/>
  <c r="R25" i="42"/>
  <c r="R26" i="42"/>
  <c r="R27" i="42"/>
  <c r="R28" i="42"/>
  <c r="R29" i="42"/>
  <c r="R30" i="42"/>
  <c r="R31" i="42"/>
  <c r="R32" i="42"/>
  <c r="R33" i="42"/>
  <c r="R34" i="42"/>
  <c r="R35" i="42"/>
  <c r="R36" i="42"/>
  <c r="R37" i="42"/>
  <c r="R38" i="42"/>
  <c r="R39" i="42"/>
  <c r="R40" i="42"/>
  <c r="R41" i="42"/>
  <c r="R42" i="42"/>
  <c r="R43" i="42"/>
  <c r="R44" i="42"/>
  <c r="R45" i="42"/>
  <c r="R46" i="42"/>
  <c r="R47" i="42"/>
  <c r="R48" i="42"/>
  <c r="R49" i="42"/>
  <c r="R50" i="42"/>
  <c r="R51" i="42"/>
  <c r="R52" i="42"/>
  <c r="R53" i="42"/>
  <c r="R54" i="42"/>
  <c r="R55" i="42"/>
  <c r="R56" i="42"/>
  <c r="R57" i="42"/>
  <c r="R58" i="42"/>
  <c r="R59" i="42"/>
  <c r="R60" i="42"/>
  <c r="N2" i="42"/>
  <c r="N3" i="42"/>
  <c r="N4" i="42"/>
  <c r="N5" i="42"/>
  <c r="N6" i="42"/>
  <c r="N7" i="42"/>
  <c r="N8" i="42"/>
  <c r="N9" i="42"/>
  <c r="N10" i="42"/>
  <c r="N11" i="42"/>
  <c r="N12" i="42"/>
  <c r="N13" i="42"/>
  <c r="N14" i="42"/>
  <c r="N15" i="42"/>
  <c r="N16" i="42"/>
  <c r="N17" i="42"/>
  <c r="N18" i="42"/>
  <c r="N19" i="42"/>
  <c r="N20" i="42"/>
  <c r="N21" i="42"/>
  <c r="N22" i="42"/>
  <c r="N23" i="42"/>
  <c r="N24" i="42"/>
  <c r="N25" i="42"/>
  <c r="N26" i="42"/>
  <c r="N27" i="42"/>
  <c r="N28" i="42"/>
  <c r="N29" i="42"/>
  <c r="N30" i="42"/>
  <c r="N31" i="42"/>
  <c r="N32" i="42"/>
  <c r="N33" i="42"/>
  <c r="N34" i="42"/>
  <c r="N35" i="42"/>
  <c r="N36" i="42"/>
  <c r="N37" i="42"/>
  <c r="N38" i="42"/>
  <c r="N39" i="42"/>
  <c r="N40" i="42"/>
  <c r="N41" i="42"/>
  <c r="N42" i="42"/>
  <c r="N43" i="42"/>
  <c r="N44" i="42"/>
  <c r="N45" i="42"/>
  <c r="N46" i="42"/>
  <c r="N47" i="42"/>
  <c r="N48" i="42"/>
  <c r="N49" i="42"/>
  <c r="N50" i="42"/>
  <c r="N51" i="42"/>
  <c r="N52" i="42"/>
  <c r="N53" i="42"/>
  <c r="N54" i="42"/>
  <c r="N55" i="42"/>
  <c r="N56" i="42"/>
  <c r="N57" i="42"/>
  <c r="N58" i="42"/>
  <c r="N59" i="42"/>
  <c r="N60" i="42"/>
  <c r="J2" i="42"/>
  <c r="J3" i="42"/>
  <c r="J4" i="42"/>
  <c r="J5" i="42"/>
  <c r="J6" i="42"/>
  <c r="J7" i="42"/>
  <c r="J8" i="42"/>
  <c r="J9" i="42"/>
  <c r="J10" i="42"/>
  <c r="J11" i="42"/>
  <c r="J12" i="42"/>
  <c r="J13" i="42"/>
  <c r="J14" i="42"/>
  <c r="J15" i="42"/>
  <c r="J16" i="42"/>
  <c r="J17" i="42"/>
  <c r="J18" i="42"/>
  <c r="J19" i="42"/>
  <c r="J20" i="42"/>
  <c r="J21" i="42"/>
  <c r="J22" i="42"/>
  <c r="J23" i="42"/>
  <c r="J24" i="42"/>
  <c r="J25" i="42"/>
  <c r="J26" i="42"/>
  <c r="J27" i="42"/>
  <c r="J28" i="42"/>
  <c r="J29" i="42"/>
  <c r="J30" i="42"/>
  <c r="J31" i="42"/>
  <c r="J32" i="42"/>
  <c r="J33" i="42"/>
  <c r="J34" i="42"/>
  <c r="J35" i="42"/>
  <c r="J36" i="42"/>
  <c r="J37" i="42"/>
  <c r="J38" i="42"/>
  <c r="J39" i="42"/>
  <c r="J40" i="42"/>
  <c r="J41" i="42"/>
  <c r="J42" i="42"/>
  <c r="J43" i="42"/>
  <c r="J44" i="42"/>
  <c r="J45" i="42"/>
  <c r="J46" i="42"/>
  <c r="J47" i="42"/>
  <c r="J48" i="42"/>
  <c r="J49" i="42"/>
  <c r="J50" i="42"/>
  <c r="J51" i="42"/>
  <c r="J52" i="42"/>
  <c r="J53" i="42"/>
  <c r="J54" i="42"/>
  <c r="J55" i="42"/>
  <c r="J56" i="42"/>
  <c r="J57" i="42"/>
  <c r="J58" i="42"/>
  <c r="J59" i="42"/>
  <c r="J60" i="42"/>
  <c r="F2" i="42"/>
  <c r="F3" i="42"/>
  <c r="F4" i="42"/>
  <c r="F5" i="42"/>
  <c r="F6" i="42"/>
  <c r="F7" i="42"/>
  <c r="F8" i="42"/>
  <c r="F9" i="42"/>
  <c r="F10" i="42"/>
  <c r="F11" i="42"/>
  <c r="F12" i="42"/>
  <c r="F13" i="42"/>
  <c r="F14" i="42"/>
  <c r="F15" i="42"/>
  <c r="F16" i="42"/>
  <c r="F17" i="42"/>
  <c r="F18" i="42"/>
  <c r="F19" i="42"/>
  <c r="F20" i="42"/>
  <c r="F21" i="42"/>
  <c r="F22" i="42"/>
  <c r="F23" i="42"/>
  <c r="F24" i="42"/>
  <c r="F25" i="42"/>
  <c r="F26" i="42"/>
  <c r="F27" i="42"/>
  <c r="F28" i="42"/>
  <c r="F29" i="42"/>
  <c r="F30" i="42"/>
  <c r="F31" i="42"/>
  <c r="F32" i="42"/>
  <c r="F33" i="42"/>
  <c r="F34" i="42"/>
  <c r="F35" i="42"/>
  <c r="F36" i="42"/>
  <c r="F37" i="42"/>
  <c r="F38" i="42"/>
  <c r="F39" i="42"/>
  <c r="F40" i="42"/>
  <c r="F41" i="42"/>
  <c r="F42" i="42"/>
  <c r="F43" i="42"/>
  <c r="F44" i="42"/>
  <c r="F45" i="42"/>
  <c r="F46" i="42"/>
  <c r="F47" i="42"/>
  <c r="F48" i="42"/>
  <c r="F49" i="42"/>
  <c r="F50" i="42"/>
  <c r="F51" i="42"/>
  <c r="F52" i="42"/>
  <c r="F53" i="42"/>
  <c r="F54" i="42"/>
  <c r="F55" i="42"/>
  <c r="F56" i="42"/>
  <c r="F57" i="42"/>
  <c r="F58" i="42"/>
  <c r="F59" i="42"/>
  <c r="F60" i="42"/>
  <c r="B2" i="42"/>
  <c r="B3" i="42"/>
  <c r="B4" i="42"/>
  <c r="B5" i="42"/>
  <c r="B6" i="42"/>
  <c r="B7" i="42"/>
  <c r="B8" i="42"/>
  <c r="B9" i="42"/>
  <c r="B10" i="42"/>
  <c r="B11" i="42"/>
  <c r="B12" i="42"/>
  <c r="B13" i="42"/>
  <c r="B14" i="42"/>
  <c r="B15" i="42"/>
  <c r="B16" i="42"/>
  <c r="B17" i="42"/>
  <c r="B18" i="42"/>
  <c r="B19" i="42"/>
  <c r="B20" i="42"/>
  <c r="B21" i="42"/>
  <c r="B22" i="42"/>
  <c r="B23" i="42"/>
  <c r="B24" i="42"/>
  <c r="B25" i="42"/>
  <c r="B26" i="42"/>
  <c r="B27" i="42"/>
  <c r="B28" i="42"/>
  <c r="B29" i="42"/>
  <c r="B30" i="42"/>
  <c r="B31" i="42"/>
  <c r="B32" i="42"/>
  <c r="B33" i="42"/>
  <c r="B34" i="42"/>
  <c r="B35" i="42"/>
  <c r="B36" i="42"/>
  <c r="B37" i="42"/>
  <c r="B38" i="42"/>
  <c r="B39" i="42"/>
  <c r="B40" i="42"/>
  <c r="B41" i="42"/>
  <c r="B42" i="42"/>
  <c r="B43" i="42"/>
  <c r="B44" i="42"/>
  <c r="B45" i="42"/>
  <c r="B46" i="42"/>
  <c r="B47" i="42"/>
  <c r="B48" i="42"/>
  <c r="B49" i="42"/>
  <c r="B50" i="42"/>
  <c r="B51" i="42"/>
  <c r="B52" i="42"/>
  <c r="B53" i="42"/>
  <c r="B54" i="42"/>
  <c r="B55" i="42"/>
  <c r="B56" i="42"/>
  <c r="B57" i="42"/>
  <c r="B58" i="42"/>
  <c r="B59" i="42"/>
  <c r="B60" i="42"/>
  <c r="P847" i="29"/>
  <c r="P848" i="29"/>
  <c r="P849" i="29"/>
  <c r="P850" i="29"/>
  <c r="P851" i="29"/>
  <c r="P852" i="29"/>
  <c r="P853" i="29"/>
  <c r="P854" i="29"/>
  <c r="P855" i="29"/>
  <c r="P856" i="29"/>
  <c r="P857" i="29"/>
  <c r="P858" i="29"/>
  <c r="P859" i="29"/>
  <c r="P860" i="29"/>
  <c r="P861" i="29"/>
  <c r="P862" i="29"/>
  <c r="P863" i="29"/>
  <c r="P864" i="29"/>
  <c r="P842" i="29"/>
  <c r="P843" i="29"/>
  <c r="P844" i="29"/>
  <c r="P845" i="29"/>
  <c r="P810" i="29"/>
  <c r="P811" i="29"/>
  <c r="P812" i="29"/>
  <c r="P813" i="29"/>
  <c r="P814" i="29"/>
  <c r="P815" i="29"/>
  <c r="P816" i="29"/>
  <c r="P817" i="29"/>
  <c r="P818" i="29"/>
  <c r="P819" i="29"/>
  <c r="P820" i="29"/>
  <c r="P821" i="29"/>
  <c r="P822" i="29"/>
  <c r="P823" i="29"/>
  <c r="P824" i="29"/>
  <c r="P825" i="29"/>
  <c r="P826" i="29"/>
  <c r="P827" i="29"/>
  <c r="P828" i="29"/>
  <c r="P829" i="29"/>
  <c r="P830" i="29"/>
  <c r="P831" i="29"/>
  <c r="P832" i="29"/>
  <c r="P833" i="29"/>
  <c r="P834" i="29"/>
  <c r="P835" i="29"/>
  <c r="P836" i="29"/>
  <c r="P837" i="29"/>
  <c r="P838" i="29"/>
  <c r="P296" i="29"/>
  <c r="P297" i="29"/>
  <c r="P298" i="29"/>
  <c r="P299" i="29"/>
  <c r="P300" i="29"/>
  <c r="P301" i="29"/>
  <c r="P302" i="29"/>
  <c r="P303" i="29"/>
  <c r="P304" i="29"/>
  <c r="P305" i="29"/>
  <c r="P306" i="29"/>
  <c r="P307" i="29"/>
  <c r="P308" i="29"/>
  <c r="P309" i="29"/>
  <c r="P310" i="29"/>
  <c r="P311" i="29"/>
  <c r="P312" i="29"/>
  <c r="P313" i="29"/>
  <c r="P314" i="29"/>
  <c r="P315" i="29"/>
  <c r="P316" i="29"/>
  <c r="P317" i="29"/>
  <c r="P318" i="29"/>
  <c r="P319" i="29"/>
  <c r="P321" i="29"/>
  <c r="P322" i="29"/>
  <c r="P323" i="29"/>
  <c r="P324" i="29"/>
  <c r="P325" i="29"/>
  <c r="P326" i="29"/>
  <c r="P327" i="29"/>
  <c r="P328" i="29"/>
  <c r="P329" i="29"/>
  <c r="P330" i="29"/>
  <c r="P331" i="29"/>
  <c r="P332" i="29"/>
  <c r="P333" i="29"/>
  <c r="P334" i="29"/>
  <c r="P335" i="29"/>
  <c r="P336" i="29"/>
  <c r="P337" i="29"/>
  <c r="P338" i="29"/>
  <c r="P339" i="29"/>
  <c r="P340" i="29"/>
  <c r="P341" i="29"/>
  <c r="P342" i="29"/>
  <c r="P343" i="29"/>
  <c r="P344" i="29"/>
  <c r="P345" i="29"/>
  <c r="P346" i="29"/>
  <c r="P347" i="29"/>
  <c r="P348" i="29"/>
  <c r="P349" i="29"/>
  <c r="P350" i="29"/>
  <c r="P351" i="29"/>
  <c r="P352" i="29"/>
  <c r="P353" i="29"/>
  <c r="P356" i="29"/>
  <c r="P357" i="29"/>
  <c r="P358" i="29"/>
  <c r="P359" i="29"/>
  <c r="P360" i="29"/>
  <c r="P361" i="29"/>
  <c r="P362" i="29"/>
  <c r="P363" i="29"/>
  <c r="P364" i="29"/>
  <c r="P365" i="29"/>
  <c r="P366" i="29"/>
  <c r="P378" i="29"/>
  <c r="P367" i="29"/>
  <c r="P368" i="29"/>
  <c r="P369" i="29"/>
  <c r="P370" i="29"/>
  <c r="P371" i="29"/>
  <c r="P373" i="29"/>
  <c r="P374" i="29"/>
  <c r="P377" i="29"/>
  <c r="P376" i="29"/>
  <c r="P380" i="29"/>
  <c r="P381" i="29"/>
  <c r="P382" i="29"/>
  <c r="P383" i="29"/>
  <c r="P384" i="29"/>
  <c r="P385" i="29"/>
  <c r="P386" i="29"/>
  <c r="P387" i="29"/>
  <c r="P388" i="29"/>
  <c r="P389" i="29"/>
  <c r="P390" i="29"/>
  <c r="P391" i="29"/>
  <c r="P392" i="29"/>
  <c r="P394" i="29"/>
  <c r="P395" i="29"/>
  <c r="P396" i="29"/>
  <c r="P397" i="29"/>
  <c r="P398" i="29"/>
  <c r="P399" i="29"/>
  <c r="P400" i="29"/>
  <c r="P401" i="29"/>
  <c r="P402" i="29"/>
  <c r="P403" i="29"/>
  <c r="P404" i="29"/>
  <c r="P405" i="29"/>
  <c r="P406" i="29"/>
  <c r="P407" i="29"/>
  <c r="P408" i="29"/>
  <c r="P409" i="29"/>
  <c r="P410" i="29"/>
  <c r="P411" i="29"/>
  <c r="P412" i="29"/>
  <c r="P413" i="29"/>
  <c r="P414" i="29"/>
  <c r="P415" i="29"/>
  <c r="P416" i="29"/>
  <c r="P417" i="29"/>
  <c r="P418" i="29"/>
  <c r="P419" i="29"/>
  <c r="P420" i="29"/>
  <c r="P421" i="29"/>
  <c r="P422" i="29"/>
  <c r="P423" i="29"/>
  <c r="P424" i="29"/>
  <c r="P425" i="29"/>
  <c r="P426" i="29"/>
  <c r="P427" i="29"/>
  <c r="P428" i="29"/>
  <c r="P429" i="29"/>
  <c r="P430" i="29"/>
  <c r="P431" i="29"/>
  <c r="P432" i="29"/>
  <c r="P433" i="29"/>
  <c r="P434" i="29"/>
  <c r="P435" i="29"/>
  <c r="P436" i="29"/>
  <c r="P437" i="29"/>
  <c r="P438" i="29"/>
  <c r="P439" i="29"/>
  <c r="P440" i="29"/>
  <c r="P441" i="29"/>
  <c r="P442" i="29"/>
  <c r="P443" i="29"/>
  <c r="P444" i="29"/>
  <c r="P445" i="29"/>
  <c r="P446" i="29"/>
  <c r="P447" i="29"/>
  <c r="P448" i="29"/>
  <c r="P449" i="29"/>
  <c r="P450" i="29"/>
  <c r="P451" i="29"/>
  <c r="P452" i="29"/>
  <c r="P453" i="29"/>
  <c r="P454" i="29"/>
  <c r="P455" i="29"/>
  <c r="P456" i="29"/>
  <c r="P457" i="29"/>
  <c r="P458" i="29"/>
  <c r="P459" i="29"/>
  <c r="P460" i="29"/>
  <c r="P461" i="29"/>
  <c r="P462" i="29"/>
  <c r="P463" i="29"/>
  <c r="P464" i="29"/>
  <c r="P465" i="29"/>
  <c r="P466" i="29"/>
  <c r="P467" i="29"/>
  <c r="P468" i="29"/>
  <c r="P469" i="29"/>
  <c r="P470" i="29"/>
  <c r="P471" i="29"/>
  <c r="P472" i="29"/>
  <c r="P473" i="29"/>
  <c r="P474" i="29"/>
  <c r="P475" i="29"/>
  <c r="P476" i="29"/>
  <c r="P477" i="29"/>
  <c r="P478" i="29"/>
  <c r="P479" i="29"/>
  <c r="P480" i="29"/>
  <c r="P481" i="29"/>
  <c r="P482" i="29"/>
  <c r="P483" i="29"/>
  <c r="P484" i="29"/>
  <c r="P485" i="29"/>
  <c r="P486" i="29"/>
  <c r="P487" i="29"/>
  <c r="P488" i="29"/>
  <c r="P489" i="29"/>
  <c r="P490" i="29"/>
  <c r="P491" i="29"/>
  <c r="P492" i="29"/>
  <c r="P493" i="29"/>
  <c r="P494" i="29"/>
  <c r="P495" i="29"/>
  <c r="P496" i="29"/>
  <c r="P497" i="29"/>
  <c r="P498" i="29"/>
  <c r="P499" i="29"/>
  <c r="P500" i="29"/>
  <c r="P501" i="29"/>
  <c r="P502" i="29"/>
  <c r="P503" i="29"/>
  <c r="P504" i="29"/>
  <c r="P505" i="29"/>
  <c r="P506" i="29"/>
  <c r="P507" i="29"/>
  <c r="P508" i="29"/>
  <c r="P509" i="29"/>
  <c r="P510" i="29"/>
  <c r="P511" i="29"/>
  <c r="P512" i="29"/>
  <c r="P513" i="29"/>
  <c r="P514" i="29"/>
  <c r="P515" i="29"/>
  <c r="P516" i="29"/>
  <c r="P517" i="29"/>
  <c r="P518" i="29"/>
  <c r="P519" i="29"/>
  <c r="P520" i="29"/>
  <c r="P521" i="29"/>
  <c r="P522" i="29"/>
  <c r="P523" i="29"/>
  <c r="P524" i="29"/>
  <c r="P525" i="29"/>
  <c r="P526" i="29"/>
  <c r="P527" i="29"/>
  <c r="P528" i="29"/>
  <c r="P529" i="29"/>
  <c r="P530" i="29"/>
  <c r="P531" i="29"/>
  <c r="P532" i="29"/>
  <c r="P533" i="29"/>
  <c r="P534" i="29"/>
  <c r="P535" i="29"/>
  <c r="P536" i="29"/>
  <c r="P537" i="29"/>
  <c r="P538" i="29"/>
  <c r="P539" i="29"/>
  <c r="P540" i="29"/>
  <c r="P541" i="29"/>
  <c r="P542" i="29"/>
  <c r="P543" i="29"/>
  <c r="P544" i="29"/>
  <c r="P545" i="29"/>
  <c r="P546" i="29"/>
  <c r="P547" i="29"/>
  <c r="P548" i="29"/>
  <c r="P549" i="29"/>
  <c r="P550" i="29"/>
  <c r="P551" i="29"/>
  <c r="P552" i="29"/>
  <c r="P553" i="29"/>
  <c r="P554" i="29"/>
  <c r="P555" i="29"/>
  <c r="P556" i="29"/>
  <c r="P557" i="29"/>
  <c r="P558" i="29"/>
  <c r="P559" i="29"/>
  <c r="P560" i="29"/>
  <c r="P561" i="29"/>
  <c r="P562" i="29"/>
  <c r="P563" i="29"/>
  <c r="P564" i="29"/>
  <c r="P565" i="29"/>
  <c r="P566" i="29"/>
  <c r="P567" i="29"/>
  <c r="P568" i="29"/>
  <c r="P569" i="29"/>
  <c r="P570" i="29"/>
  <c r="P571" i="29"/>
  <c r="P572" i="29"/>
  <c r="P573" i="29"/>
  <c r="P574" i="29"/>
  <c r="P575" i="29"/>
  <c r="P576" i="29"/>
  <c r="P577" i="29"/>
  <c r="P578" i="29"/>
  <c r="P579" i="29"/>
  <c r="P580" i="29"/>
  <c r="P581" i="29"/>
  <c r="P582" i="29"/>
  <c r="P583" i="29"/>
  <c r="P584" i="29"/>
  <c r="P585" i="29"/>
  <c r="P586" i="29"/>
  <c r="P587" i="29"/>
  <c r="P588" i="29"/>
  <c r="P589" i="29"/>
  <c r="P590" i="29"/>
  <c r="P591" i="29"/>
  <c r="P593" i="29"/>
  <c r="P594" i="29"/>
  <c r="P595" i="29"/>
  <c r="P596" i="29"/>
  <c r="P599" i="29"/>
  <c r="P600" i="29"/>
  <c r="P601" i="29"/>
  <c r="P602" i="29"/>
  <c r="P603" i="29"/>
  <c r="P604" i="29"/>
  <c r="P605" i="29"/>
  <c r="P606" i="29"/>
  <c r="P607" i="29"/>
  <c r="P608" i="29"/>
  <c r="P609" i="29"/>
  <c r="P610" i="29"/>
  <c r="P611" i="29"/>
  <c r="P612" i="29"/>
  <c r="P613" i="29"/>
  <c r="P614" i="29"/>
  <c r="P615" i="29"/>
  <c r="P616" i="29"/>
  <c r="P617" i="29"/>
  <c r="P618" i="29"/>
  <c r="P619" i="29"/>
  <c r="P620" i="29"/>
  <c r="P621" i="29"/>
  <c r="P622" i="29"/>
  <c r="P623" i="29"/>
  <c r="P624" i="29"/>
  <c r="P625" i="29"/>
  <c r="P626" i="29"/>
  <c r="P627" i="29"/>
  <c r="P628" i="29"/>
  <c r="P629" i="29"/>
  <c r="P630" i="29"/>
  <c r="P631" i="29"/>
  <c r="P632" i="29"/>
  <c r="P633" i="29"/>
  <c r="P634" i="29"/>
  <c r="P635" i="29"/>
  <c r="P636" i="29"/>
  <c r="P637" i="29"/>
  <c r="P638" i="29"/>
  <c r="P639" i="29"/>
  <c r="P640" i="29"/>
  <c r="P641" i="29"/>
  <c r="P642" i="29"/>
  <c r="P643" i="29"/>
  <c r="P644" i="29"/>
  <c r="P645" i="29"/>
  <c r="P646" i="29"/>
  <c r="P647" i="29"/>
  <c r="P648" i="29"/>
  <c r="P649" i="29"/>
  <c r="P650" i="29"/>
  <c r="P651" i="29"/>
  <c r="P652" i="29"/>
  <c r="P653" i="29"/>
  <c r="P654" i="29"/>
  <c r="P655" i="29"/>
  <c r="P656" i="29"/>
  <c r="P657" i="29"/>
  <c r="P658" i="29"/>
  <c r="P659" i="29"/>
  <c r="P660" i="29"/>
  <c r="P661" i="29"/>
  <c r="P662" i="29"/>
  <c r="P663" i="29"/>
  <c r="P664" i="29"/>
  <c r="P665" i="29"/>
  <c r="P666" i="29"/>
  <c r="P667" i="29"/>
  <c r="P668" i="29"/>
  <c r="P669" i="29"/>
  <c r="P670" i="29"/>
  <c r="P671" i="29"/>
  <c r="P672" i="29"/>
  <c r="P673" i="29"/>
  <c r="P674" i="29"/>
  <c r="P675" i="29"/>
  <c r="P676" i="29"/>
  <c r="P677" i="29"/>
  <c r="P678" i="29"/>
  <c r="P679" i="29"/>
  <c r="P680" i="29"/>
  <c r="P681" i="29"/>
  <c r="P682" i="29"/>
  <c r="P683" i="29"/>
  <c r="P684" i="29"/>
  <c r="P685" i="29"/>
  <c r="P686" i="29"/>
  <c r="P687" i="29"/>
  <c r="P688" i="29"/>
  <c r="P689" i="29"/>
  <c r="P690" i="29"/>
  <c r="P691" i="29"/>
  <c r="P692" i="29"/>
  <c r="P693" i="29"/>
  <c r="P694" i="29"/>
  <c r="P695" i="29"/>
  <c r="P696" i="29"/>
  <c r="P697" i="29"/>
  <c r="P698" i="29"/>
  <c r="P699" i="29"/>
  <c r="P700" i="29"/>
  <c r="P701" i="29"/>
  <c r="P702" i="29"/>
  <c r="P703" i="29"/>
  <c r="P704" i="29"/>
  <c r="P705" i="29"/>
  <c r="P706" i="29"/>
  <c r="P707" i="29"/>
  <c r="P708" i="29"/>
  <c r="P709" i="29"/>
  <c r="P710" i="29"/>
  <c r="P711" i="29"/>
  <c r="P712" i="29"/>
  <c r="P713" i="29"/>
  <c r="P714" i="29"/>
  <c r="P715" i="29"/>
  <c r="P716" i="29"/>
  <c r="P717" i="29"/>
  <c r="P718" i="29"/>
  <c r="P719" i="29"/>
  <c r="P720" i="29"/>
  <c r="P721" i="29"/>
  <c r="P722" i="29"/>
  <c r="P723" i="29"/>
  <c r="P724" i="29"/>
  <c r="P725" i="29"/>
  <c r="P726" i="29"/>
  <c r="P727" i="29"/>
  <c r="P728" i="29"/>
  <c r="P729" i="29"/>
  <c r="P730" i="29"/>
  <c r="P731" i="29"/>
  <c r="P732" i="29"/>
  <c r="P733" i="29"/>
  <c r="P734" i="29"/>
  <c r="P735" i="29"/>
  <c r="P736" i="29"/>
  <c r="P737" i="29"/>
  <c r="P738" i="29"/>
  <c r="P739" i="29"/>
  <c r="P740" i="29"/>
  <c r="P741" i="29"/>
  <c r="P742" i="29"/>
  <c r="P743" i="29"/>
  <c r="P744" i="29"/>
  <c r="P745" i="29"/>
  <c r="P746" i="29"/>
  <c r="P747" i="29"/>
  <c r="P748" i="29"/>
  <c r="P749" i="29"/>
  <c r="P750" i="29"/>
  <c r="P751" i="29"/>
  <c r="P752" i="29"/>
  <c r="P753" i="29"/>
  <c r="P754" i="29"/>
  <c r="P755" i="29"/>
  <c r="P756" i="29"/>
  <c r="P757" i="29"/>
  <c r="P758" i="29"/>
  <c r="P759" i="29"/>
  <c r="P760" i="29"/>
  <c r="P761" i="29"/>
  <c r="P762" i="29"/>
  <c r="P763" i="29"/>
  <c r="P764" i="29"/>
  <c r="P765" i="29"/>
  <c r="P766" i="29"/>
  <c r="P767" i="29"/>
  <c r="P768" i="29"/>
  <c r="P769" i="29"/>
  <c r="P770" i="29"/>
  <c r="P771" i="29"/>
  <c r="P772" i="29"/>
  <c r="P773" i="29"/>
  <c r="P774" i="29"/>
  <c r="P775" i="29"/>
  <c r="P776" i="29"/>
  <c r="P777" i="29"/>
  <c r="P778" i="29"/>
  <c r="P779" i="29"/>
  <c r="P780" i="29"/>
  <c r="P781" i="29"/>
  <c r="P782" i="29"/>
  <c r="P783" i="29"/>
  <c r="P784" i="29"/>
  <c r="P785" i="29"/>
  <c r="P786" i="29"/>
  <c r="P787" i="29"/>
  <c r="P788" i="29"/>
  <c r="P789" i="29"/>
  <c r="P790" i="29"/>
  <c r="P791" i="29"/>
  <c r="P792" i="29"/>
  <c r="P793" i="29"/>
  <c r="P794" i="29"/>
  <c r="P795" i="29"/>
  <c r="P796" i="29"/>
  <c r="P797" i="29"/>
  <c r="P798" i="29"/>
  <c r="P799" i="29"/>
  <c r="P800" i="29"/>
  <c r="P801" i="29"/>
  <c r="P802" i="29"/>
  <c r="P803" i="29"/>
  <c r="P804" i="29"/>
  <c r="P805" i="29"/>
  <c r="P806" i="29"/>
  <c r="P55" i="29"/>
  <c r="P56" i="29"/>
  <c r="P57" i="29"/>
  <c r="P58" i="29"/>
  <c r="P59" i="29"/>
  <c r="P60" i="29"/>
  <c r="P61" i="29"/>
  <c r="P62" i="29"/>
  <c r="P63" i="29"/>
  <c r="P64" i="29"/>
  <c r="P65" i="29"/>
  <c r="P66" i="29"/>
  <c r="P67" i="29"/>
  <c r="P68" i="29"/>
  <c r="P69" i="29"/>
  <c r="P70" i="29"/>
  <c r="P71" i="29"/>
  <c r="P72" i="29"/>
  <c r="P73" i="29"/>
  <c r="P74" i="29"/>
  <c r="P75" i="29"/>
  <c r="P76" i="29"/>
  <c r="P77" i="29"/>
  <c r="P78" i="29"/>
  <c r="P79" i="29"/>
  <c r="P80" i="29"/>
  <c r="P81" i="29"/>
  <c r="P82" i="29"/>
  <c r="P83" i="29"/>
  <c r="P84" i="29"/>
  <c r="P85" i="29"/>
  <c r="P86" i="29"/>
  <c r="P87" i="29"/>
  <c r="P88" i="29"/>
  <c r="P89" i="29"/>
  <c r="P90" i="29"/>
  <c r="P91" i="29"/>
  <c r="P92" i="29"/>
  <c r="P93" i="29"/>
  <c r="P94" i="29"/>
  <c r="P95" i="29"/>
  <c r="P96" i="29"/>
  <c r="P103" i="29"/>
  <c r="P104" i="29"/>
  <c r="P105" i="29"/>
  <c r="P106" i="29"/>
  <c r="P107" i="29"/>
  <c r="P108" i="29"/>
  <c r="P109" i="29"/>
  <c r="P110" i="29"/>
  <c r="P111" i="29"/>
  <c r="P112" i="29"/>
  <c r="P113" i="29"/>
  <c r="P114" i="29"/>
  <c r="P115" i="29"/>
  <c r="P116" i="29"/>
  <c r="P117" i="29"/>
  <c r="P118" i="29"/>
  <c r="P119" i="29"/>
  <c r="P120" i="29"/>
  <c r="P121" i="29"/>
  <c r="P122" i="29"/>
  <c r="P123" i="29"/>
  <c r="P124" i="29"/>
  <c r="P125" i="29"/>
  <c r="P126" i="29"/>
  <c r="P127" i="29"/>
  <c r="P128" i="29"/>
  <c r="P129" i="29"/>
  <c r="P130" i="29"/>
  <c r="P131" i="29"/>
  <c r="P132" i="29"/>
  <c r="P133" i="29"/>
  <c r="P134" i="29"/>
  <c r="P135" i="29"/>
  <c r="P136" i="29"/>
  <c r="P137" i="29"/>
  <c r="P138" i="29"/>
  <c r="P139" i="29"/>
  <c r="P140" i="29"/>
  <c r="P141" i="29"/>
  <c r="P142" i="29"/>
  <c r="P143" i="29"/>
  <c r="P144" i="29"/>
  <c r="P145" i="29"/>
  <c r="P146" i="29"/>
  <c r="P147" i="29"/>
  <c r="P148" i="29"/>
  <c r="P149" i="29"/>
  <c r="P150" i="29"/>
  <c r="P151" i="29"/>
  <c r="P152" i="29"/>
  <c r="P153" i="29"/>
  <c r="P154" i="29"/>
  <c r="P155" i="29"/>
  <c r="P156" i="29"/>
  <c r="P157" i="29"/>
  <c r="P158" i="29"/>
  <c r="P159" i="29"/>
  <c r="P160" i="29"/>
  <c r="P161" i="29"/>
  <c r="P162" i="29"/>
  <c r="P163" i="29"/>
  <c r="P165" i="29"/>
  <c r="P166" i="29"/>
  <c r="P167" i="29"/>
  <c r="P168" i="29"/>
  <c r="P169" i="29"/>
  <c r="P170" i="29"/>
  <c r="P171" i="29"/>
  <c r="P172" i="29"/>
  <c r="P173" i="29"/>
  <c r="P174" i="29"/>
  <c r="P175" i="29"/>
  <c r="P176" i="29"/>
  <c r="P177" i="29"/>
  <c r="P178" i="29"/>
  <c r="P179" i="29"/>
  <c r="P180" i="29"/>
  <c r="P181" i="29"/>
  <c r="P182" i="29"/>
  <c r="P183" i="29"/>
  <c r="P184" i="29"/>
  <c r="P185" i="29"/>
  <c r="P186" i="29"/>
  <c r="P187" i="29"/>
  <c r="P189" i="29"/>
  <c r="P190" i="29"/>
  <c r="P191" i="29"/>
  <c r="P192" i="29"/>
  <c r="P193" i="29"/>
  <c r="P194" i="29"/>
  <c r="P195" i="29"/>
  <c r="P197" i="29"/>
  <c r="P198" i="29"/>
  <c r="P199" i="29"/>
  <c r="P200" i="29"/>
  <c r="P201" i="29"/>
  <c r="P202" i="29"/>
  <c r="P203" i="29"/>
  <c r="P204" i="29"/>
  <c r="P205" i="29"/>
  <c r="P208" i="29"/>
  <c r="P209" i="29"/>
  <c r="P210" i="29"/>
  <c r="P211" i="29"/>
  <c r="P212" i="29"/>
  <c r="P214" i="29"/>
  <c r="P215" i="29"/>
  <c r="P216" i="29"/>
  <c r="P217" i="29"/>
  <c r="P218" i="29"/>
  <c r="P219" i="29"/>
  <c r="P220" i="29"/>
  <c r="P221" i="29"/>
  <c r="P222" i="29"/>
  <c r="P223" i="29"/>
  <c r="P224" i="29"/>
  <c r="P225" i="29"/>
  <c r="P226" i="29"/>
  <c r="P227" i="29"/>
  <c r="P228" i="29"/>
  <c r="P229" i="29"/>
  <c r="P230" i="29"/>
  <c r="P231" i="29"/>
  <c r="P232" i="29"/>
  <c r="P233" i="29"/>
  <c r="P234" i="29"/>
  <c r="P235" i="29"/>
  <c r="P236" i="29"/>
  <c r="P237" i="29"/>
  <c r="P238" i="29"/>
  <c r="P239" i="29"/>
  <c r="P240" i="29"/>
  <c r="P241" i="29"/>
  <c r="P242" i="29"/>
  <c r="P243" i="29"/>
  <c r="P244" i="29"/>
  <c r="P245" i="29"/>
  <c r="P246" i="29"/>
  <c r="P247" i="29"/>
  <c r="P248" i="29"/>
  <c r="P249" i="29"/>
  <c r="P250" i="29"/>
  <c r="P251" i="29"/>
  <c r="P252" i="29"/>
  <c r="P253" i="29"/>
  <c r="P256" i="29"/>
  <c r="P257" i="29"/>
  <c r="P258" i="29"/>
  <c r="P259" i="29"/>
  <c r="P260" i="29"/>
  <c r="P261" i="29"/>
  <c r="P262" i="29"/>
  <c r="P263" i="29"/>
  <c r="P264" i="29"/>
  <c r="P265" i="29"/>
  <c r="P266" i="29"/>
  <c r="P267" i="29"/>
  <c r="P268" i="29"/>
  <c r="P269" i="29"/>
  <c r="P270" i="29"/>
  <c r="P271" i="29"/>
  <c r="P272" i="29"/>
  <c r="P273" i="29"/>
  <c r="P274" i="29"/>
  <c r="P275" i="29"/>
  <c r="P276" i="29"/>
  <c r="P277" i="29"/>
  <c r="P278" i="29"/>
  <c r="P279" i="29"/>
  <c r="P280" i="29"/>
  <c r="P281" i="29"/>
  <c r="P282" i="29"/>
  <c r="P283" i="29"/>
  <c r="P284" i="29"/>
  <c r="P285" i="29"/>
  <c r="P286" i="29"/>
  <c r="P287" i="29"/>
  <c r="P288" i="29"/>
  <c r="P289" i="29"/>
  <c r="P290" i="29"/>
  <c r="P291" i="29"/>
  <c r="P292" i="29"/>
  <c r="P3" i="29"/>
  <c r="P4" i="29"/>
  <c r="P5" i="29"/>
  <c r="P6" i="29"/>
  <c r="P7" i="29"/>
  <c r="P8" i="29"/>
  <c r="P9" i="29"/>
  <c r="P10" i="29"/>
  <c r="P11" i="29"/>
  <c r="P12" i="29"/>
  <c r="P13" i="29"/>
  <c r="P14" i="29"/>
  <c r="P15" i="29"/>
  <c r="P16" i="29"/>
  <c r="P17" i="29"/>
  <c r="P18" i="29"/>
  <c r="P19" i="29"/>
  <c r="P20" i="29"/>
  <c r="P21" i="29"/>
  <c r="P22" i="29"/>
  <c r="P23" i="29"/>
  <c r="P24" i="29"/>
  <c r="P25" i="29"/>
  <c r="P26" i="29"/>
  <c r="P27" i="29"/>
  <c r="P28" i="29"/>
  <c r="P29" i="29"/>
  <c r="P30" i="29"/>
  <c r="P31" i="29"/>
  <c r="P32" i="29"/>
  <c r="P33" i="29"/>
  <c r="P34" i="29"/>
  <c r="P35" i="29"/>
  <c r="P36" i="29"/>
  <c r="P37" i="29"/>
  <c r="P38" i="29"/>
  <c r="P39" i="29"/>
  <c r="P40" i="29"/>
  <c r="P41" i="29"/>
  <c r="P42" i="29"/>
  <c r="P43" i="29"/>
  <c r="P44" i="29"/>
  <c r="P45" i="29"/>
  <c r="P46" i="29"/>
  <c r="P47" i="29"/>
  <c r="P48" i="29"/>
  <c r="P49" i="29"/>
  <c r="P50" i="29"/>
  <c r="P51" i="29"/>
  <c r="O598" i="29" l="1"/>
  <c r="N598" i="29"/>
  <c r="M598" i="29"/>
  <c r="Q598" i="29" s="1"/>
  <c r="K597" i="29"/>
  <c r="O597" i="29"/>
  <c r="K598" i="29"/>
  <c r="L592" i="29"/>
  <c r="K592" i="29" s="1"/>
  <c r="O592" i="29"/>
  <c r="N592" i="29"/>
  <c r="M375" i="29"/>
  <c r="Q375" i="29" s="1"/>
  <c r="O375" i="29"/>
  <c r="N375" i="29"/>
  <c r="K372" i="29"/>
  <c r="O372" i="29"/>
  <c r="M372" i="29"/>
  <c r="Q372" i="29" s="1"/>
  <c r="N372" i="29"/>
  <c r="L102" i="29"/>
  <c r="K102" i="29" s="1"/>
  <c r="M379" i="29"/>
  <c r="Q379" i="29" s="1"/>
  <c r="N379" i="29"/>
  <c r="O379" i="29"/>
  <c r="M393" i="29"/>
  <c r="Q393" i="29" s="1"/>
  <c r="K393" i="29"/>
  <c r="N393" i="29"/>
  <c r="O393" i="29"/>
  <c r="K188" i="29"/>
  <c r="N188" i="29"/>
  <c r="M188" i="29"/>
  <c r="Q188" i="29" s="1"/>
  <c r="O188" i="29"/>
  <c r="M255" i="29"/>
  <c r="Q255" i="29" s="1"/>
  <c r="M101" i="29"/>
  <c r="Q101" i="29" s="1"/>
  <c r="K101" i="29"/>
  <c r="O101" i="29"/>
  <c r="M100" i="29"/>
  <c r="Q100" i="29" s="1"/>
  <c r="M99" i="29"/>
  <c r="Q99" i="29" s="1"/>
  <c r="K97" i="29"/>
  <c r="O97" i="29"/>
  <c r="N97" i="29"/>
  <c r="M97" i="29"/>
  <c r="Q97" i="29" s="1"/>
  <c r="K100" i="29"/>
  <c r="O100" i="29"/>
  <c r="K99" i="29"/>
  <c r="O99" i="29"/>
  <c r="O98" i="29"/>
  <c r="K98" i="29"/>
  <c r="M98" i="29"/>
  <c r="Q98" i="29" s="1"/>
  <c r="L294" i="29"/>
  <c r="O294" i="29" s="1"/>
  <c r="K255" i="29"/>
  <c r="O255" i="29"/>
  <c r="M254" i="29"/>
  <c r="Q254" i="29" s="1"/>
  <c r="N254" i="29"/>
  <c r="K254" i="29"/>
  <c r="K164" i="29"/>
  <c r="O164" i="29"/>
  <c r="M164" i="29"/>
  <c r="Q164" i="29" s="1"/>
  <c r="L213" i="29"/>
  <c r="K213" i="29" s="1"/>
  <c r="L207" i="29"/>
  <c r="M196" i="29"/>
  <c r="Q196" i="29" s="1"/>
  <c r="K206" i="29"/>
  <c r="N206" i="29"/>
  <c r="O206" i="29"/>
  <c r="M206" i="29"/>
  <c r="Q206" i="29" s="1"/>
  <c r="O196" i="29"/>
  <c r="N196" i="29"/>
  <c r="K320" i="29"/>
  <c r="O320" i="29"/>
  <c r="L354" i="29"/>
  <c r="M320" i="29"/>
  <c r="Q320" i="29" s="1"/>
  <c r="K355" i="29"/>
  <c r="N355" i="29"/>
  <c r="M355" i="29"/>
  <c r="Q355" i="29" s="1"/>
  <c r="O355" i="29"/>
  <c r="U61" i="42"/>
  <c r="J864" i="29"/>
  <c r="L864" i="29" s="1"/>
  <c r="J863" i="29"/>
  <c r="L863" i="29" s="1"/>
  <c r="J191" i="29"/>
  <c r="M191" i="29" s="1"/>
  <c r="Q191" i="29" s="1"/>
  <c r="J232" i="29"/>
  <c r="L232" i="29" s="1"/>
  <c r="J362" i="29"/>
  <c r="M362" i="29" s="1"/>
  <c r="Q362" i="29" s="1"/>
  <c r="J527" i="29"/>
  <c r="L527" i="29" s="1"/>
  <c r="J518" i="29"/>
  <c r="L518" i="29" s="1"/>
  <c r="J519" i="29"/>
  <c r="L519" i="29" s="1"/>
  <c r="J520" i="29"/>
  <c r="M520" i="29" s="1"/>
  <c r="Q520" i="29" s="1"/>
  <c r="J521" i="29"/>
  <c r="M521" i="29" s="1"/>
  <c r="Q521" i="29" s="1"/>
  <c r="J522" i="29"/>
  <c r="M522" i="29" s="1"/>
  <c r="Q522" i="29" s="1"/>
  <c r="J523" i="29"/>
  <c r="L523" i="29" s="1"/>
  <c r="J524" i="29"/>
  <c r="L524" i="29" s="1"/>
  <c r="J525" i="29"/>
  <c r="L525" i="29" s="1"/>
  <c r="J526" i="29"/>
  <c r="M526" i="29" s="1"/>
  <c r="Q526" i="29" s="1"/>
  <c r="J584" i="29"/>
  <c r="L584" i="29" s="1"/>
  <c r="J297" i="29"/>
  <c r="L297" i="29" s="1"/>
  <c r="N102" i="29" l="1"/>
  <c r="O102" i="29"/>
  <c r="K294" i="29"/>
  <c r="N213" i="29"/>
  <c r="O213" i="29"/>
  <c r="K207" i="29"/>
  <c r="N207" i="29"/>
  <c r="O207" i="29"/>
  <c r="K354" i="29"/>
  <c r="O354" i="29"/>
  <c r="N354" i="29"/>
  <c r="K527" i="29"/>
  <c r="K864" i="29"/>
  <c r="L191" i="29"/>
  <c r="M864" i="29"/>
  <c r="Q864" i="29" s="1"/>
  <c r="N864" i="29"/>
  <c r="O864" i="29"/>
  <c r="O863" i="29"/>
  <c r="N863" i="29"/>
  <c r="M863" i="29"/>
  <c r="Q863" i="29" s="1"/>
  <c r="K863" i="29"/>
  <c r="K232" i="29"/>
  <c r="N232" i="29"/>
  <c r="M232" i="29"/>
  <c r="Q232" i="29" s="1"/>
  <c r="L362" i="29"/>
  <c r="O232" i="29"/>
  <c r="M527" i="29"/>
  <c r="Q527" i="29" s="1"/>
  <c r="M525" i="29"/>
  <c r="Q525" i="29" s="1"/>
  <c r="M523" i="29"/>
  <c r="Q523" i="29" s="1"/>
  <c r="K524" i="29"/>
  <c r="N524" i="29"/>
  <c r="K523" i="29"/>
  <c r="N523" i="29"/>
  <c r="M524" i="29"/>
  <c r="Q524" i="29" s="1"/>
  <c r="L526" i="29"/>
  <c r="L520" i="29"/>
  <c r="K525" i="29"/>
  <c r="N525" i="29"/>
  <c r="O525" i="29"/>
  <c r="O519" i="29"/>
  <c r="N519" i="29"/>
  <c r="K519" i="29"/>
  <c r="O524" i="29"/>
  <c r="N527" i="29"/>
  <c r="O523" i="29"/>
  <c r="M519" i="29"/>
  <c r="Q519" i="29" s="1"/>
  <c r="O518" i="29"/>
  <c r="N518" i="29"/>
  <c r="K518" i="29"/>
  <c r="M518" i="29"/>
  <c r="Q518" i="29" s="1"/>
  <c r="O527" i="29"/>
  <c r="O584" i="29"/>
  <c r="N584" i="29"/>
  <c r="L522" i="29"/>
  <c r="L521" i="29"/>
  <c r="M584" i="29"/>
  <c r="Q584" i="29" s="1"/>
  <c r="K584" i="29"/>
  <c r="M297" i="29"/>
  <c r="Q297" i="29" s="1"/>
  <c r="O297" i="29"/>
  <c r="N297" i="29"/>
  <c r="K297" i="29"/>
  <c r="J341" i="29"/>
  <c r="L341" i="29" s="1"/>
  <c r="J342" i="29"/>
  <c r="M342" i="29" s="1"/>
  <c r="Q342" i="29" s="1"/>
  <c r="J343" i="29"/>
  <c r="M343" i="29" s="1"/>
  <c r="Q343" i="29" s="1"/>
  <c r="J344" i="29"/>
  <c r="L344" i="29" s="1"/>
  <c r="J345" i="29"/>
  <c r="M345" i="29" s="1"/>
  <c r="Q345" i="29" s="1"/>
  <c r="J346" i="29"/>
  <c r="M346" i="29" s="1"/>
  <c r="Q346" i="29" s="1"/>
  <c r="J347" i="29"/>
  <c r="M347" i="29" s="1"/>
  <c r="Q347" i="29" s="1"/>
  <c r="J348" i="29"/>
  <c r="M348" i="29" s="1"/>
  <c r="Q348" i="29" s="1"/>
  <c r="J349" i="29"/>
  <c r="M349" i="29" s="1"/>
  <c r="Q349" i="29" s="1"/>
  <c r="J293" i="29"/>
  <c r="L293" i="29" s="1"/>
  <c r="N293" i="29" s="1"/>
  <c r="J292" i="29"/>
  <c r="L292" i="29" s="1"/>
  <c r="J291" i="29"/>
  <c r="M291" i="29" s="1"/>
  <c r="Q291" i="29" s="1"/>
  <c r="J512" i="29"/>
  <c r="L512" i="29" s="1"/>
  <c r="J23" i="29"/>
  <c r="L23" i="29" s="1"/>
  <c r="J24" i="29"/>
  <c r="L24" i="29" s="1"/>
  <c r="J499" i="29"/>
  <c r="L499" i="29" s="1"/>
  <c r="J496" i="29"/>
  <c r="L496" i="29" s="1"/>
  <c r="J497" i="29"/>
  <c r="M497" i="29" s="1"/>
  <c r="Q497" i="29" s="1"/>
  <c r="J498" i="29"/>
  <c r="L498" i="29" s="1"/>
  <c r="J477" i="29"/>
  <c r="M477" i="29" s="1"/>
  <c r="Q477" i="29" s="1"/>
  <c r="J478" i="29"/>
  <c r="M478" i="29" s="1"/>
  <c r="Q478" i="29" s="1"/>
  <c r="J479" i="29"/>
  <c r="M479" i="29" s="1"/>
  <c r="Q479" i="29" s="1"/>
  <c r="J480" i="29"/>
  <c r="M480" i="29" s="1"/>
  <c r="Q480" i="29" s="1"/>
  <c r="J481" i="29"/>
  <c r="L481" i="29" s="1"/>
  <c r="J482" i="29"/>
  <c r="L482" i="29" s="1"/>
  <c r="J483" i="29"/>
  <c r="L483" i="29" s="1"/>
  <c r="J484" i="29"/>
  <c r="M484" i="29" s="1"/>
  <c r="Q484" i="29" s="1"/>
  <c r="J485" i="29"/>
  <c r="M485" i="29" s="1"/>
  <c r="Q485" i="29" s="1"/>
  <c r="J261" i="29"/>
  <c r="L261" i="29" s="1"/>
  <c r="J259" i="29"/>
  <c r="L259" i="29" s="1"/>
  <c r="J260" i="29"/>
  <c r="L260" i="29" s="1"/>
  <c r="J154" i="29"/>
  <c r="M154" i="29" s="1"/>
  <c r="Q154" i="29" s="1"/>
  <c r="J55" i="29"/>
  <c r="L55" i="29" s="1"/>
  <c r="J56" i="29"/>
  <c r="L56" i="29" s="1"/>
  <c r="J57" i="29"/>
  <c r="L57" i="29" s="1"/>
  <c r="J58" i="29"/>
  <c r="L58" i="29" s="1"/>
  <c r="J59" i="29"/>
  <c r="L59" i="29" s="1"/>
  <c r="J60" i="29"/>
  <c r="L60" i="29" s="1"/>
  <c r="J61" i="29"/>
  <c r="L61" i="29" s="1"/>
  <c r="J62" i="29"/>
  <c r="L62" i="29" s="1"/>
  <c r="J63" i="29"/>
  <c r="L63" i="29" s="1"/>
  <c r="J64" i="29"/>
  <c r="L64" i="29" s="1"/>
  <c r="J65" i="29"/>
  <c r="L65" i="29" s="1"/>
  <c r="J66" i="29"/>
  <c r="L66" i="29" s="1"/>
  <c r="J67" i="29"/>
  <c r="L67" i="29" s="1"/>
  <c r="J68" i="29"/>
  <c r="L68" i="29" s="1"/>
  <c r="J69" i="29"/>
  <c r="L69" i="29" s="1"/>
  <c r="J70" i="29"/>
  <c r="L70" i="29" s="1"/>
  <c r="J71" i="29"/>
  <c r="L71" i="29" s="1"/>
  <c r="J72" i="29"/>
  <c r="L72" i="29" s="1"/>
  <c r="J73" i="29"/>
  <c r="L73" i="29" s="1"/>
  <c r="J74" i="29"/>
  <c r="L74" i="29" s="1"/>
  <c r="J75" i="29"/>
  <c r="L75" i="29" s="1"/>
  <c r="J76" i="29"/>
  <c r="L76" i="29" s="1"/>
  <c r="J77" i="29"/>
  <c r="L77" i="29" s="1"/>
  <c r="J78" i="29"/>
  <c r="L78" i="29" s="1"/>
  <c r="J79" i="29"/>
  <c r="L79" i="29" s="1"/>
  <c r="J80" i="29"/>
  <c r="L80" i="29" s="1"/>
  <c r="J81" i="29"/>
  <c r="L81" i="29" s="1"/>
  <c r="J82" i="29"/>
  <c r="L82" i="29" s="1"/>
  <c r="J83" i="29"/>
  <c r="L83" i="29" s="1"/>
  <c r="J84" i="29"/>
  <c r="L84" i="29" s="1"/>
  <c r="J85" i="29"/>
  <c r="L85" i="29" s="1"/>
  <c r="J86" i="29"/>
  <c r="L86" i="29" s="1"/>
  <c r="J87" i="29"/>
  <c r="L87" i="29" s="1"/>
  <c r="J88" i="29"/>
  <c r="L88" i="29" s="1"/>
  <c r="J89" i="29"/>
  <c r="L89" i="29" s="1"/>
  <c r="J90" i="29"/>
  <c r="L90" i="29" s="1"/>
  <c r="J91" i="29"/>
  <c r="L91" i="29" s="1"/>
  <c r="J92" i="29"/>
  <c r="L92" i="29" s="1"/>
  <c r="J93" i="29"/>
  <c r="L93" i="29" s="1"/>
  <c r="J94" i="29"/>
  <c r="L94" i="29" s="1"/>
  <c r="J95" i="29"/>
  <c r="L95" i="29" s="1"/>
  <c r="J96" i="29"/>
  <c r="L96" i="29" s="1"/>
  <c r="J103" i="29"/>
  <c r="L103" i="29" s="1"/>
  <c r="J104" i="29"/>
  <c r="L104" i="29" s="1"/>
  <c r="J105" i="29"/>
  <c r="L105" i="29" s="1"/>
  <c r="J106" i="29"/>
  <c r="L106" i="29" s="1"/>
  <c r="J107" i="29"/>
  <c r="L107" i="29" s="1"/>
  <c r="J108" i="29"/>
  <c r="L108" i="29" s="1"/>
  <c r="J109" i="29"/>
  <c r="L109" i="29" s="1"/>
  <c r="J110" i="29"/>
  <c r="L110" i="29" s="1"/>
  <c r="J111" i="29"/>
  <c r="L111" i="29" s="1"/>
  <c r="J112" i="29"/>
  <c r="L112" i="29" s="1"/>
  <c r="J113" i="29"/>
  <c r="L113" i="29" s="1"/>
  <c r="J114" i="29"/>
  <c r="L114" i="29" s="1"/>
  <c r="J115" i="29"/>
  <c r="L115" i="29" s="1"/>
  <c r="J116" i="29"/>
  <c r="L116" i="29" s="1"/>
  <c r="J117" i="29"/>
  <c r="L117" i="29" s="1"/>
  <c r="J118" i="29"/>
  <c r="L118" i="29" s="1"/>
  <c r="J119" i="29"/>
  <c r="L119" i="29" s="1"/>
  <c r="J120" i="29"/>
  <c r="L120" i="29" s="1"/>
  <c r="J121" i="29"/>
  <c r="L121" i="29" s="1"/>
  <c r="J122" i="29"/>
  <c r="L122" i="29" s="1"/>
  <c r="J123" i="29"/>
  <c r="L123" i="29" s="1"/>
  <c r="J124" i="29"/>
  <c r="L124" i="29" s="1"/>
  <c r="J125" i="29"/>
  <c r="L125" i="29" s="1"/>
  <c r="J126" i="29"/>
  <c r="L126" i="29" s="1"/>
  <c r="J127" i="29"/>
  <c r="L127" i="29" s="1"/>
  <c r="J128" i="29"/>
  <c r="L128" i="29" s="1"/>
  <c r="J129" i="29"/>
  <c r="L129" i="29" s="1"/>
  <c r="J130" i="29"/>
  <c r="L130" i="29" s="1"/>
  <c r="J131" i="29"/>
  <c r="L131" i="29" s="1"/>
  <c r="J132" i="29"/>
  <c r="L132" i="29" s="1"/>
  <c r="J133" i="29"/>
  <c r="L133" i="29" s="1"/>
  <c r="J134" i="29"/>
  <c r="L134" i="29" s="1"/>
  <c r="J135" i="29"/>
  <c r="L135" i="29" s="1"/>
  <c r="J136" i="29"/>
  <c r="L136" i="29" s="1"/>
  <c r="J137" i="29"/>
  <c r="L137" i="29" s="1"/>
  <c r="J138" i="29"/>
  <c r="L138" i="29" s="1"/>
  <c r="J139" i="29"/>
  <c r="L139" i="29" s="1"/>
  <c r="J140" i="29"/>
  <c r="L140" i="29" s="1"/>
  <c r="J141" i="29"/>
  <c r="L141" i="29" s="1"/>
  <c r="J142" i="29"/>
  <c r="L142" i="29" s="1"/>
  <c r="J143" i="29"/>
  <c r="L143" i="29" s="1"/>
  <c r="J144" i="29"/>
  <c r="L144" i="29" s="1"/>
  <c r="J145" i="29"/>
  <c r="L145" i="29" s="1"/>
  <c r="J146" i="29"/>
  <c r="L146" i="29" s="1"/>
  <c r="J147" i="29"/>
  <c r="L147" i="29" s="1"/>
  <c r="J148" i="29"/>
  <c r="L148" i="29" s="1"/>
  <c r="J149" i="29"/>
  <c r="L149" i="29" s="1"/>
  <c r="J150" i="29"/>
  <c r="L150" i="29" s="1"/>
  <c r="J151" i="29"/>
  <c r="L151" i="29" s="1"/>
  <c r="J152" i="29"/>
  <c r="L152" i="29" s="1"/>
  <c r="J153" i="29"/>
  <c r="L153" i="29" s="1"/>
  <c r="J155" i="29"/>
  <c r="L155" i="29" s="1"/>
  <c r="J156" i="29"/>
  <c r="L156" i="29" s="1"/>
  <c r="J157" i="29"/>
  <c r="L157" i="29" s="1"/>
  <c r="J158" i="29"/>
  <c r="L158" i="29" s="1"/>
  <c r="J159" i="29"/>
  <c r="L159" i="29" s="1"/>
  <c r="J160" i="29"/>
  <c r="L160" i="29" s="1"/>
  <c r="J161" i="29"/>
  <c r="L161" i="29" s="1"/>
  <c r="J162" i="29"/>
  <c r="L162" i="29" s="1"/>
  <c r="J163" i="29"/>
  <c r="L163" i="29" s="1"/>
  <c r="J165" i="29"/>
  <c r="L165" i="29" s="1"/>
  <c r="J166" i="29"/>
  <c r="L166" i="29" s="1"/>
  <c r="J167" i="29"/>
  <c r="L167" i="29" s="1"/>
  <c r="J168" i="29"/>
  <c r="L168" i="29" s="1"/>
  <c r="J169" i="29"/>
  <c r="L169" i="29" s="1"/>
  <c r="J170" i="29"/>
  <c r="L170" i="29" s="1"/>
  <c r="J171" i="29"/>
  <c r="L171" i="29" s="1"/>
  <c r="J172" i="29"/>
  <c r="L172" i="29" s="1"/>
  <c r="J173" i="29"/>
  <c r="L173" i="29" s="1"/>
  <c r="J174" i="29"/>
  <c r="L174" i="29" s="1"/>
  <c r="J175" i="29"/>
  <c r="L175" i="29" s="1"/>
  <c r="J176" i="29"/>
  <c r="L176" i="29" s="1"/>
  <c r="J177" i="29"/>
  <c r="L177" i="29" s="1"/>
  <c r="J178" i="29"/>
  <c r="L178" i="29" s="1"/>
  <c r="J179" i="29"/>
  <c r="L179" i="29" s="1"/>
  <c r="J180" i="29"/>
  <c r="L180" i="29" s="1"/>
  <c r="J181" i="29"/>
  <c r="L181" i="29" s="1"/>
  <c r="J182" i="29"/>
  <c r="L182" i="29" s="1"/>
  <c r="J183" i="29"/>
  <c r="L183" i="29" s="1"/>
  <c r="J184" i="29"/>
  <c r="L184" i="29" s="1"/>
  <c r="J185" i="29"/>
  <c r="L185" i="29" s="1"/>
  <c r="J186" i="29"/>
  <c r="L186" i="29" s="1"/>
  <c r="J187" i="29"/>
  <c r="L187" i="29" s="1"/>
  <c r="J189" i="29"/>
  <c r="L189" i="29" s="1"/>
  <c r="J190" i="29"/>
  <c r="L190" i="29" s="1"/>
  <c r="J192" i="29"/>
  <c r="L192" i="29" s="1"/>
  <c r="J193" i="29"/>
  <c r="L193" i="29" s="1"/>
  <c r="J194" i="29"/>
  <c r="L194" i="29" s="1"/>
  <c r="J195" i="29"/>
  <c r="L195" i="29" s="1"/>
  <c r="J197" i="29"/>
  <c r="L197" i="29" s="1"/>
  <c r="J198" i="29"/>
  <c r="L198" i="29" s="1"/>
  <c r="J199" i="29"/>
  <c r="L199" i="29" s="1"/>
  <c r="J200" i="29"/>
  <c r="L200" i="29" s="1"/>
  <c r="J201" i="29"/>
  <c r="L201" i="29" s="1"/>
  <c r="J202" i="29"/>
  <c r="L202" i="29" s="1"/>
  <c r="J203" i="29"/>
  <c r="L203" i="29" s="1"/>
  <c r="J204" i="29"/>
  <c r="L204" i="29" s="1"/>
  <c r="J205" i="29"/>
  <c r="L205" i="29" s="1"/>
  <c r="J208" i="29"/>
  <c r="L208" i="29" s="1"/>
  <c r="J209" i="29"/>
  <c r="L209" i="29" s="1"/>
  <c r="J210" i="29"/>
  <c r="L210" i="29" s="1"/>
  <c r="J211" i="29"/>
  <c r="L211" i="29" s="1"/>
  <c r="J212" i="29"/>
  <c r="L212" i="29" s="1"/>
  <c r="J214" i="29"/>
  <c r="L214" i="29" s="1"/>
  <c r="J215" i="29"/>
  <c r="L215" i="29" s="1"/>
  <c r="J216" i="29"/>
  <c r="L216" i="29" s="1"/>
  <c r="J217" i="29"/>
  <c r="L217" i="29" s="1"/>
  <c r="J218" i="29"/>
  <c r="L218" i="29" s="1"/>
  <c r="J219" i="29"/>
  <c r="L219" i="29" s="1"/>
  <c r="J220" i="29"/>
  <c r="L220" i="29" s="1"/>
  <c r="J221" i="29"/>
  <c r="L221" i="29" s="1"/>
  <c r="J222" i="29"/>
  <c r="L222" i="29" s="1"/>
  <c r="J223" i="29"/>
  <c r="L223" i="29" s="1"/>
  <c r="J224" i="29"/>
  <c r="L224" i="29" s="1"/>
  <c r="J225" i="29"/>
  <c r="L225" i="29" s="1"/>
  <c r="J226" i="29"/>
  <c r="L226" i="29" s="1"/>
  <c r="J227" i="29"/>
  <c r="L227" i="29" s="1"/>
  <c r="J228" i="29"/>
  <c r="L228" i="29" s="1"/>
  <c r="J229" i="29"/>
  <c r="L229" i="29" s="1"/>
  <c r="J230" i="29"/>
  <c r="L230" i="29" s="1"/>
  <c r="J231" i="29"/>
  <c r="L231" i="29" s="1"/>
  <c r="J233" i="29"/>
  <c r="L233" i="29" s="1"/>
  <c r="J234" i="29"/>
  <c r="L234" i="29" s="1"/>
  <c r="J235" i="29"/>
  <c r="L235" i="29" s="1"/>
  <c r="J236" i="29"/>
  <c r="L236" i="29" s="1"/>
  <c r="J237" i="29"/>
  <c r="L237" i="29" s="1"/>
  <c r="J238" i="29"/>
  <c r="L238" i="29" s="1"/>
  <c r="J239" i="29"/>
  <c r="L239" i="29" s="1"/>
  <c r="J240" i="29"/>
  <c r="L240" i="29" s="1"/>
  <c r="J241" i="29"/>
  <c r="L241" i="29" s="1"/>
  <c r="J242" i="29"/>
  <c r="L242" i="29" s="1"/>
  <c r="J243" i="29"/>
  <c r="L243" i="29" s="1"/>
  <c r="J244" i="29"/>
  <c r="L244" i="29" s="1"/>
  <c r="J245" i="29"/>
  <c r="L245" i="29" s="1"/>
  <c r="J246" i="29"/>
  <c r="L246" i="29" s="1"/>
  <c r="J247" i="29"/>
  <c r="L247" i="29" s="1"/>
  <c r="J248" i="29"/>
  <c r="L248" i="29" s="1"/>
  <c r="J249" i="29"/>
  <c r="L249" i="29" s="1"/>
  <c r="J250" i="29"/>
  <c r="L250" i="29" s="1"/>
  <c r="J251" i="29"/>
  <c r="L251" i="29" s="1"/>
  <c r="J252" i="29"/>
  <c r="L252" i="29" s="1"/>
  <c r="J253" i="29"/>
  <c r="L253" i="29" s="1"/>
  <c r="J256" i="29"/>
  <c r="L256" i="29" s="1"/>
  <c r="J257" i="29"/>
  <c r="L257" i="29" s="1"/>
  <c r="J258" i="29"/>
  <c r="L258" i="29" s="1"/>
  <c r="J262" i="29"/>
  <c r="L262" i="29" s="1"/>
  <c r="J263" i="29"/>
  <c r="L263" i="29" s="1"/>
  <c r="J264" i="29"/>
  <c r="L264" i="29" s="1"/>
  <c r="J265" i="29"/>
  <c r="L265" i="29" s="1"/>
  <c r="J266" i="29"/>
  <c r="L266" i="29" s="1"/>
  <c r="J267" i="29"/>
  <c r="L267" i="29" s="1"/>
  <c r="J268" i="29"/>
  <c r="L268" i="29" s="1"/>
  <c r="J269" i="29"/>
  <c r="L269" i="29" s="1"/>
  <c r="J270" i="29"/>
  <c r="L270" i="29" s="1"/>
  <c r="J271" i="29"/>
  <c r="L271" i="29" s="1"/>
  <c r="J272" i="29"/>
  <c r="L272" i="29" s="1"/>
  <c r="J273" i="29"/>
  <c r="L273" i="29" s="1"/>
  <c r="J274" i="29"/>
  <c r="L274" i="29" s="1"/>
  <c r="J275" i="29"/>
  <c r="L275" i="29" s="1"/>
  <c r="J276" i="29"/>
  <c r="L276" i="29" s="1"/>
  <c r="J277" i="29"/>
  <c r="L277" i="29" s="1"/>
  <c r="J278" i="29"/>
  <c r="L278" i="29" s="1"/>
  <c r="J279" i="29"/>
  <c r="L279" i="29" s="1"/>
  <c r="J280" i="29"/>
  <c r="L280" i="29" s="1"/>
  <c r="J281" i="29"/>
  <c r="L281" i="29" s="1"/>
  <c r="J282" i="29"/>
  <c r="L282" i="29" s="1"/>
  <c r="J283" i="29"/>
  <c r="L283" i="29" s="1"/>
  <c r="J284" i="29"/>
  <c r="L284" i="29" s="1"/>
  <c r="J285" i="29"/>
  <c r="L285" i="29" s="1"/>
  <c r="J286" i="29"/>
  <c r="L286" i="29" s="1"/>
  <c r="J287" i="29"/>
  <c r="L287" i="29" s="1"/>
  <c r="J288" i="29"/>
  <c r="L288" i="29" s="1"/>
  <c r="J289" i="29"/>
  <c r="L289" i="29" s="1"/>
  <c r="J290" i="29"/>
  <c r="L290" i="29" s="1"/>
  <c r="J368" i="29"/>
  <c r="J688" i="29"/>
  <c r="J624" i="29"/>
  <c r="L624" i="29" s="1"/>
  <c r="J13" i="29"/>
  <c r="L13" i="29" s="1"/>
  <c r="E2" i="48"/>
  <c r="E1" i="48" s="1"/>
  <c r="E3" i="48"/>
  <c r="E4" i="48"/>
  <c r="F4" i="48" s="1"/>
  <c r="E5" i="48"/>
  <c r="F5" i="48" s="1"/>
  <c r="E6" i="48"/>
  <c r="E7" i="48"/>
  <c r="E8" i="48"/>
  <c r="F8" i="48" s="1"/>
  <c r="E9" i="48"/>
  <c r="E10" i="48"/>
  <c r="F10" i="48" s="1"/>
  <c r="E11" i="48"/>
  <c r="F11" i="48" s="1"/>
  <c r="E12" i="48"/>
  <c r="E13" i="48"/>
  <c r="E14" i="48"/>
  <c r="E15" i="48"/>
  <c r="E16" i="48"/>
  <c r="E17" i="48"/>
  <c r="E18" i="48"/>
  <c r="E19" i="48"/>
  <c r="E20" i="48"/>
  <c r="E21" i="48"/>
  <c r="E22" i="48"/>
  <c r="E23" i="48"/>
  <c r="E24" i="48"/>
  <c r="E25" i="48"/>
  <c r="E26" i="48"/>
  <c r="E27" i="48"/>
  <c r="E28" i="48"/>
  <c r="E29" i="48"/>
  <c r="E30" i="48"/>
  <c r="F3" i="48"/>
  <c r="F6" i="48"/>
  <c r="F7" i="48"/>
  <c r="F9" i="48"/>
  <c r="F32" i="48"/>
  <c r="C32" i="48"/>
  <c r="B31" i="48"/>
  <c r="F30" i="48"/>
  <c r="C30" i="48"/>
  <c r="F29" i="48"/>
  <c r="C29" i="48"/>
  <c r="F28" i="48"/>
  <c r="C28" i="48"/>
  <c r="F27" i="48"/>
  <c r="C27" i="48"/>
  <c r="F26" i="48"/>
  <c r="C26" i="48"/>
  <c r="F25" i="48"/>
  <c r="C25" i="48"/>
  <c r="F24" i="48"/>
  <c r="C24" i="48"/>
  <c r="F23" i="48"/>
  <c r="C23" i="48"/>
  <c r="F22" i="48"/>
  <c r="C22" i="48"/>
  <c r="F21" i="48"/>
  <c r="C21" i="48"/>
  <c r="F20" i="48"/>
  <c r="C20" i="48"/>
  <c r="F19" i="48"/>
  <c r="C19" i="48"/>
  <c r="F18" i="48"/>
  <c r="C18" i="48"/>
  <c r="F17" i="48"/>
  <c r="C17" i="48"/>
  <c r="F16" i="48"/>
  <c r="C16" i="48"/>
  <c r="F15" i="48"/>
  <c r="C15" i="48"/>
  <c r="F14" i="48"/>
  <c r="C14" i="48"/>
  <c r="F13" i="48"/>
  <c r="C13" i="48"/>
  <c r="F12" i="48"/>
  <c r="C12" i="48"/>
  <c r="C11" i="48"/>
  <c r="C10" i="48"/>
  <c r="C9" i="48"/>
  <c r="C8" i="48"/>
  <c r="C7" i="48"/>
  <c r="C6" i="48"/>
  <c r="C5" i="48"/>
  <c r="C4" i="48"/>
  <c r="C3" i="48"/>
  <c r="C2" i="48"/>
  <c r="E2" i="47"/>
  <c r="E1" i="47" s="1"/>
  <c r="E3" i="47"/>
  <c r="E4" i="47"/>
  <c r="E5" i="47"/>
  <c r="F5" i="47" s="1"/>
  <c r="E6" i="47"/>
  <c r="E7" i="47"/>
  <c r="E8" i="47"/>
  <c r="F8" i="47" s="1"/>
  <c r="E9" i="47"/>
  <c r="E10" i="47"/>
  <c r="E11" i="47"/>
  <c r="E12" i="47"/>
  <c r="E13" i="47"/>
  <c r="E14" i="47"/>
  <c r="E15" i="47"/>
  <c r="E16" i="47"/>
  <c r="E17" i="47"/>
  <c r="E18" i="47"/>
  <c r="E19" i="47"/>
  <c r="E20" i="47"/>
  <c r="E21" i="47"/>
  <c r="E22" i="47"/>
  <c r="E23" i="47"/>
  <c r="E24" i="47"/>
  <c r="E25" i="47"/>
  <c r="E26" i="47"/>
  <c r="E27" i="47"/>
  <c r="E28" i="47"/>
  <c r="E29" i="47"/>
  <c r="E30" i="47"/>
  <c r="F32" i="47"/>
  <c r="C32" i="47"/>
  <c r="B31" i="47"/>
  <c r="F30" i="47"/>
  <c r="C30" i="47"/>
  <c r="F29" i="47"/>
  <c r="C29" i="47"/>
  <c r="F28" i="47"/>
  <c r="C28" i="47"/>
  <c r="F27" i="47"/>
  <c r="C27" i="47"/>
  <c r="F26" i="47"/>
  <c r="C26" i="47"/>
  <c r="F25" i="47"/>
  <c r="C25" i="47"/>
  <c r="F24" i="47"/>
  <c r="C24" i="47"/>
  <c r="F23" i="47"/>
  <c r="C23" i="47"/>
  <c r="F22" i="47"/>
  <c r="C22" i="47"/>
  <c r="F21" i="47"/>
  <c r="C21" i="47"/>
  <c r="F20" i="47"/>
  <c r="C20" i="47"/>
  <c r="F19" i="47"/>
  <c r="C19" i="47"/>
  <c r="F18" i="47"/>
  <c r="C18" i="47"/>
  <c r="F17" i="47"/>
  <c r="C17" i="47"/>
  <c r="F16" i="47"/>
  <c r="C16" i="47"/>
  <c r="F15" i="47"/>
  <c r="C15" i="47"/>
  <c r="F14" i="47"/>
  <c r="C14" i="47"/>
  <c r="F13" i="47"/>
  <c r="C13" i="47"/>
  <c r="F12" i="47"/>
  <c r="C12" i="47"/>
  <c r="F11" i="47"/>
  <c r="C11" i="47"/>
  <c r="F10" i="47"/>
  <c r="C10" i="47"/>
  <c r="F9" i="47"/>
  <c r="C9" i="47"/>
  <c r="C8" i="47"/>
  <c r="C7" i="47"/>
  <c r="C6" i="47"/>
  <c r="C5" i="47"/>
  <c r="C4" i="47"/>
  <c r="C3" i="47"/>
  <c r="C2" i="47"/>
  <c r="N260" i="29" l="1"/>
  <c r="N512" i="29"/>
  <c r="K259" i="29"/>
  <c r="K481" i="29"/>
  <c r="K341" i="29"/>
  <c r="K191" i="29"/>
  <c r="N261" i="29"/>
  <c r="N292" i="29"/>
  <c r="N521" i="29"/>
  <c r="K362" i="29"/>
  <c r="N499" i="29"/>
  <c r="N522" i="29"/>
  <c r="N24" i="29"/>
  <c r="K230" i="29"/>
  <c r="N483" i="29"/>
  <c r="N191" i="29"/>
  <c r="O191" i="29"/>
  <c r="O362" i="29"/>
  <c r="N362" i="29"/>
  <c r="K526" i="29"/>
  <c r="N526" i="29"/>
  <c r="O526" i="29"/>
  <c r="K520" i="29"/>
  <c r="N520" i="29"/>
  <c r="O520" i="29"/>
  <c r="K521" i="29"/>
  <c r="O521" i="29"/>
  <c r="K522" i="29"/>
  <c r="O522" i="29"/>
  <c r="M341" i="29"/>
  <c r="Q341" i="29" s="1"/>
  <c r="L345" i="29"/>
  <c r="M481" i="29"/>
  <c r="Q481" i="29" s="1"/>
  <c r="L342" i="29"/>
  <c r="N341" i="29"/>
  <c r="M344" i="29"/>
  <c r="Q344" i="29" s="1"/>
  <c r="O341" i="29"/>
  <c r="L349" i="29"/>
  <c r="L348" i="29"/>
  <c r="L347" i="29"/>
  <c r="L346" i="29"/>
  <c r="K344" i="29"/>
  <c r="O344" i="29"/>
  <c r="N344" i="29"/>
  <c r="L343" i="29"/>
  <c r="K293" i="29"/>
  <c r="O293" i="29"/>
  <c r="M293" i="29"/>
  <c r="Q293" i="29" s="1"/>
  <c r="K292" i="29"/>
  <c r="O292" i="29"/>
  <c r="M292" i="29"/>
  <c r="Q292" i="29" s="1"/>
  <c r="L291" i="29"/>
  <c r="M512" i="29"/>
  <c r="Q512" i="29" s="1"/>
  <c r="K512" i="29"/>
  <c r="O512" i="29"/>
  <c r="M24" i="29"/>
  <c r="Q24" i="29" s="1"/>
  <c r="M23" i="29"/>
  <c r="Q23" i="29" s="1"/>
  <c r="K23" i="29"/>
  <c r="N23" i="29"/>
  <c r="O23" i="29"/>
  <c r="K24" i="29"/>
  <c r="O24" i="29"/>
  <c r="K499" i="29"/>
  <c r="O499" i="29"/>
  <c r="M499" i="29"/>
  <c r="Q499" i="29" s="1"/>
  <c r="M483" i="29"/>
  <c r="Q483" i="29" s="1"/>
  <c r="K498" i="29"/>
  <c r="N498" i="29"/>
  <c r="O498" i="29"/>
  <c r="M498" i="29"/>
  <c r="Q498" i="29" s="1"/>
  <c r="L497" i="29"/>
  <c r="M496" i="29"/>
  <c r="Q496" i="29" s="1"/>
  <c r="K496" i="29"/>
  <c r="N496" i="29"/>
  <c r="O496" i="29"/>
  <c r="N481" i="29"/>
  <c r="L485" i="29"/>
  <c r="L484" i="29"/>
  <c r="K483" i="29"/>
  <c r="O483" i="29"/>
  <c r="M482" i="29"/>
  <c r="Q482" i="29" s="1"/>
  <c r="O482" i="29"/>
  <c r="N482" i="29"/>
  <c r="K482" i="29"/>
  <c r="O481" i="29"/>
  <c r="L480" i="29"/>
  <c r="L479" i="29"/>
  <c r="L478" i="29"/>
  <c r="L477" i="29"/>
  <c r="K261" i="29"/>
  <c r="O261" i="29"/>
  <c r="M261" i="29"/>
  <c r="Q261" i="29" s="1"/>
  <c r="M260" i="29"/>
  <c r="Q260" i="29" s="1"/>
  <c r="M259" i="29"/>
  <c r="Q259" i="29" s="1"/>
  <c r="N259" i="29"/>
  <c r="O259" i="29"/>
  <c r="K260" i="29"/>
  <c r="O260" i="29"/>
  <c r="L154" i="29"/>
  <c r="M155" i="29"/>
  <c r="Q155" i="29" s="1"/>
  <c r="K155" i="29"/>
  <c r="N155" i="29"/>
  <c r="O155" i="29"/>
  <c r="M231" i="29"/>
  <c r="Q231" i="29" s="1"/>
  <c r="N230" i="29"/>
  <c r="M230" i="29"/>
  <c r="Q230" i="29" s="1"/>
  <c r="O230" i="29"/>
  <c r="O13" i="29"/>
  <c r="K13" i="29"/>
  <c r="O231" i="29"/>
  <c r="N231" i="29"/>
  <c r="K231" i="29"/>
  <c r="M13" i="29"/>
  <c r="Q13" i="29" s="1"/>
  <c r="M624" i="29"/>
  <c r="Q624" i="29" s="1"/>
  <c r="L368" i="29"/>
  <c r="M368" i="29"/>
  <c r="Q368" i="29" s="1"/>
  <c r="O624" i="29"/>
  <c r="N624" i="29"/>
  <c r="K624" i="29"/>
  <c r="M688" i="29"/>
  <c r="Q688" i="29" s="1"/>
  <c r="L688" i="29"/>
  <c r="F2" i="47"/>
  <c r="F6" i="47"/>
  <c r="F7" i="47"/>
  <c r="F4" i="47"/>
  <c r="F3" i="47"/>
  <c r="N13" i="29"/>
  <c r="F2" i="48"/>
  <c r="F31" i="48" s="1"/>
  <c r="F33" i="48" s="1"/>
  <c r="F3" i="45"/>
  <c r="F4" i="45"/>
  <c r="F5" i="45"/>
  <c r="F6" i="45"/>
  <c r="F7" i="45"/>
  <c r="F8" i="45"/>
  <c r="F9" i="45"/>
  <c r="F10" i="45"/>
  <c r="F11" i="45"/>
  <c r="F12" i="45"/>
  <c r="F13" i="45"/>
  <c r="F14" i="45"/>
  <c r="F15" i="45"/>
  <c r="F16" i="45"/>
  <c r="F17" i="45"/>
  <c r="F18" i="45"/>
  <c r="F19" i="45"/>
  <c r="F20" i="45"/>
  <c r="F21" i="45"/>
  <c r="F22" i="45"/>
  <c r="F23" i="45"/>
  <c r="F24" i="45"/>
  <c r="F25" i="45"/>
  <c r="F26" i="45"/>
  <c r="F27" i="45"/>
  <c r="F28" i="45"/>
  <c r="F29" i="45"/>
  <c r="E2" i="45"/>
  <c r="E1" i="45" s="1"/>
  <c r="E3" i="45"/>
  <c r="E4" i="45"/>
  <c r="E5" i="45"/>
  <c r="E6" i="45"/>
  <c r="E7" i="45"/>
  <c r="E8" i="45"/>
  <c r="E9" i="45"/>
  <c r="E10" i="45"/>
  <c r="E11" i="45"/>
  <c r="E12" i="45"/>
  <c r="E13" i="45"/>
  <c r="E14" i="45"/>
  <c r="E15" i="45"/>
  <c r="E16" i="45"/>
  <c r="E17" i="45"/>
  <c r="E18" i="45"/>
  <c r="E19" i="45"/>
  <c r="E20" i="45"/>
  <c r="E21" i="45"/>
  <c r="E22" i="45"/>
  <c r="E23" i="45"/>
  <c r="E24" i="45"/>
  <c r="E25" i="45"/>
  <c r="E26" i="45"/>
  <c r="E27" i="45"/>
  <c r="E28" i="45"/>
  <c r="E29" i="45"/>
  <c r="E30" i="45"/>
  <c r="F30" i="45" s="1"/>
  <c r="B31" i="45"/>
  <c r="F32" i="45"/>
  <c r="C32" i="45"/>
  <c r="C30" i="45"/>
  <c r="C29" i="45"/>
  <c r="C28" i="45"/>
  <c r="C27" i="45"/>
  <c r="C26" i="45"/>
  <c r="C25" i="45"/>
  <c r="C24" i="45"/>
  <c r="C23" i="45"/>
  <c r="C22" i="45"/>
  <c r="C21" i="45"/>
  <c r="C20" i="45"/>
  <c r="C19" i="45"/>
  <c r="C18" i="45"/>
  <c r="C17" i="45"/>
  <c r="C16" i="45"/>
  <c r="C15" i="45"/>
  <c r="C14" i="45"/>
  <c r="C13" i="45"/>
  <c r="C12" i="45"/>
  <c r="C11" i="45"/>
  <c r="C10" i="45"/>
  <c r="C9" i="45"/>
  <c r="C8" i="45"/>
  <c r="C7" i="45"/>
  <c r="C6" i="45"/>
  <c r="C5" i="45"/>
  <c r="C4" i="45"/>
  <c r="C3" i="45"/>
  <c r="C2" i="45"/>
  <c r="J662" i="29"/>
  <c r="J663" i="29"/>
  <c r="J664" i="29"/>
  <c r="J665" i="29"/>
  <c r="J666" i="29"/>
  <c r="J653" i="29"/>
  <c r="J654" i="29"/>
  <c r="J655" i="29"/>
  <c r="J656" i="29"/>
  <c r="J657" i="29"/>
  <c r="J658" i="29"/>
  <c r="J659" i="29"/>
  <c r="J660" i="29"/>
  <c r="J661" i="29"/>
  <c r="J22" i="29"/>
  <c r="J20" i="29"/>
  <c r="J476" i="29"/>
  <c r="J11" i="29"/>
  <c r="J12" i="29"/>
  <c r="J14" i="29"/>
  <c r="J15" i="29"/>
  <c r="J390" i="29"/>
  <c r="J651" i="29"/>
  <c r="J494" i="29"/>
  <c r="J493" i="29"/>
  <c r="J492" i="29"/>
  <c r="J491" i="29"/>
  <c r="J490" i="29"/>
  <c r="J645" i="29"/>
  <c r="J646" i="29"/>
  <c r="J647" i="29"/>
  <c r="J648" i="29"/>
  <c r="J649" i="29"/>
  <c r="J650" i="29"/>
  <c r="J847" i="29"/>
  <c r="M847" i="29" s="1"/>
  <c r="Q847" i="29" s="1"/>
  <c r="J848" i="29"/>
  <c r="M848" i="29" s="1"/>
  <c r="Q848" i="29" s="1"/>
  <c r="J849" i="29"/>
  <c r="M849" i="29" s="1"/>
  <c r="Q849" i="29" s="1"/>
  <c r="J850" i="29"/>
  <c r="L850" i="29" s="1"/>
  <c r="J851" i="29"/>
  <c r="M851" i="29" s="1"/>
  <c r="Q851" i="29" s="1"/>
  <c r="J852" i="29"/>
  <c r="M852" i="29" s="1"/>
  <c r="Q852" i="29" s="1"/>
  <c r="J853" i="29"/>
  <c r="J854" i="29"/>
  <c r="M854" i="29" s="1"/>
  <c r="Q854" i="29" s="1"/>
  <c r="J855" i="29"/>
  <c r="M855" i="29" s="1"/>
  <c r="Q855" i="29" s="1"/>
  <c r="J856" i="29"/>
  <c r="M856" i="29" s="1"/>
  <c r="Q856" i="29" s="1"/>
  <c r="J857" i="29"/>
  <c r="L857" i="29" s="1"/>
  <c r="J858" i="29"/>
  <c r="M858" i="29" s="1"/>
  <c r="Q858" i="29" s="1"/>
  <c r="J859" i="29"/>
  <c r="L859" i="29" s="1"/>
  <c r="J860" i="29"/>
  <c r="M860" i="29" s="1"/>
  <c r="Q860" i="29" s="1"/>
  <c r="J861" i="29"/>
  <c r="J862" i="29"/>
  <c r="L862" i="29" s="1"/>
  <c r="J842" i="29"/>
  <c r="M842" i="29" s="1"/>
  <c r="Q842" i="29" s="1"/>
  <c r="J843" i="29"/>
  <c r="L843" i="29" s="1"/>
  <c r="J844" i="29"/>
  <c r="J845" i="29"/>
  <c r="J810" i="29"/>
  <c r="M810" i="29" s="1"/>
  <c r="Q810" i="29" s="1"/>
  <c r="J811" i="29"/>
  <c r="J812" i="29"/>
  <c r="L812" i="29" s="1"/>
  <c r="J813" i="29"/>
  <c r="J814" i="29"/>
  <c r="J815" i="29"/>
  <c r="M815" i="29" s="1"/>
  <c r="Q815" i="29" s="1"/>
  <c r="J816" i="29"/>
  <c r="M816" i="29" s="1"/>
  <c r="Q816" i="29" s="1"/>
  <c r="J817" i="29"/>
  <c r="J818" i="29"/>
  <c r="L818" i="29" s="1"/>
  <c r="J819" i="29"/>
  <c r="L819" i="29" s="1"/>
  <c r="J820" i="29"/>
  <c r="J821" i="29"/>
  <c r="J822" i="29"/>
  <c r="L822" i="29" s="1"/>
  <c r="J823" i="29"/>
  <c r="L823" i="29" s="1"/>
  <c r="J824" i="29"/>
  <c r="L824" i="29" s="1"/>
  <c r="J825" i="29"/>
  <c r="J826" i="29"/>
  <c r="J827" i="29"/>
  <c r="J828" i="29"/>
  <c r="J829" i="29"/>
  <c r="J830" i="29"/>
  <c r="L830" i="29" s="1"/>
  <c r="J831" i="29"/>
  <c r="L831" i="29" s="1"/>
  <c r="J832" i="29"/>
  <c r="M832" i="29" s="1"/>
  <c r="Q832" i="29" s="1"/>
  <c r="J833" i="29"/>
  <c r="J834" i="29"/>
  <c r="L834" i="29" s="1"/>
  <c r="J835" i="29"/>
  <c r="J836" i="29"/>
  <c r="M836" i="29" s="1"/>
  <c r="Q836" i="29" s="1"/>
  <c r="J837" i="29"/>
  <c r="J838" i="29"/>
  <c r="L838" i="29" s="1"/>
  <c r="J296" i="29"/>
  <c r="J298" i="29"/>
  <c r="J299" i="29"/>
  <c r="J300" i="29"/>
  <c r="J301" i="29"/>
  <c r="J302" i="29"/>
  <c r="J303" i="29"/>
  <c r="J304" i="29"/>
  <c r="J305" i="29"/>
  <c r="J306" i="29"/>
  <c r="J307" i="29"/>
  <c r="J308" i="29"/>
  <c r="J309" i="29"/>
  <c r="J310" i="29"/>
  <c r="J311" i="29"/>
  <c r="J312" i="29"/>
  <c r="J313" i="29"/>
  <c r="J314" i="29"/>
  <c r="J315" i="29"/>
  <c r="J316" i="29"/>
  <c r="J317" i="29"/>
  <c r="J318" i="29"/>
  <c r="J319" i="29"/>
  <c r="J321" i="29"/>
  <c r="J322" i="29"/>
  <c r="J323" i="29"/>
  <c r="J324" i="29"/>
  <c r="J325" i="29"/>
  <c r="J326" i="29"/>
  <c r="J327" i="29"/>
  <c r="J328" i="29"/>
  <c r="J329" i="29"/>
  <c r="J330" i="29"/>
  <c r="J331" i="29"/>
  <c r="J332" i="29"/>
  <c r="J333" i="29"/>
  <c r="J334" i="29"/>
  <c r="J335" i="29"/>
  <c r="J336" i="29"/>
  <c r="J337" i="29"/>
  <c r="J338" i="29"/>
  <c r="J339" i="29"/>
  <c r="J340" i="29"/>
  <c r="J350" i="29"/>
  <c r="J351" i="29"/>
  <c r="J352" i="29"/>
  <c r="J353" i="29"/>
  <c r="J356" i="29"/>
  <c r="J357" i="29"/>
  <c r="J358" i="29"/>
  <c r="J359" i="29"/>
  <c r="J360" i="29"/>
  <c r="J361" i="29"/>
  <c r="J363" i="29"/>
  <c r="J364" i="29"/>
  <c r="J365" i="29"/>
  <c r="J366" i="29"/>
  <c r="J378" i="29"/>
  <c r="J367" i="29"/>
  <c r="J369" i="29"/>
  <c r="J370" i="29"/>
  <c r="J371" i="29"/>
  <c r="J373" i="29"/>
  <c r="J374" i="29"/>
  <c r="J377" i="29"/>
  <c r="J376" i="29"/>
  <c r="J380" i="29"/>
  <c r="J381" i="29"/>
  <c r="J382" i="29"/>
  <c r="J383" i="29"/>
  <c r="J384" i="29"/>
  <c r="J385" i="29"/>
  <c r="J386" i="29"/>
  <c r="J387" i="29"/>
  <c r="J388" i="29"/>
  <c r="J389" i="29"/>
  <c r="J391" i="29"/>
  <c r="J392" i="29"/>
  <c r="J394" i="29"/>
  <c r="J395" i="29"/>
  <c r="J396" i="29"/>
  <c r="J397" i="29"/>
  <c r="J398" i="29"/>
  <c r="J399" i="29"/>
  <c r="J400" i="29"/>
  <c r="J401" i="29"/>
  <c r="J402" i="29"/>
  <c r="J403" i="29"/>
  <c r="J404" i="29"/>
  <c r="J405" i="29"/>
  <c r="J406" i="29"/>
  <c r="J407" i="29"/>
  <c r="J408" i="29"/>
  <c r="J409" i="29"/>
  <c r="J410" i="29"/>
  <c r="J411" i="29"/>
  <c r="J412" i="29"/>
  <c r="J413" i="29"/>
  <c r="J414" i="29"/>
  <c r="J415" i="29"/>
  <c r="J416" i="29"/>
  <c r="J417" i="29"/>
  <c r="J418" i="29"/>
  <c r="J426" i="29"/>
  <c r="J427" i="29"/>
  <c r="J419" i="29"/>
  <c r="J420" i="29"/>
  <c r="J421" i="29"/>
  <c r="J422" i="29"/>
  <c r="J423" i="29"/>
  <c r="J424" i="29"/>
  <c r="J425" i="29"/>
  <c r="J428" i="29"/>
  <c r="J429" i="29"/>
  <c r="J430" i="29"/>
  <c r="J431" i="29"/>
  <c r="J432" i="29"/>
  <c r="J433" i="29"/>
  <c r="J434" i="29"/>
  <c r="J435" i="29"/>
  <c r="J436" i="29"/>
  <c r="J440" i="29"/>
  <c r="J441" i="29"/>
  <c r="J442" i="29"/>
  <c r="J443" i="29"/>
  <c r="J444" i="29"/>
  <c r="J437" i="29"/>
  <c r="J438" i="29"/>
  <c r="J439" i="29"/>
  <c r="J445" i="29"/>
  <c r="J446" i="29"/>
  <c r="J447" i="29"/>
  <c r="J448" i="29"/>
  <c r="J449" i="29"/>
  <c r="J450" i="29"/>
  <c r="J451" i="29"/>
  <c r="J452" i="29"/>
  <c r="J453" i="29"/>
  <c r="J454" i="29"/>
  <c r="J455" i="29"/>
  <c r="J456" i="29"/>
  <c r="J457" i="29"/>
  <c r="J458" i="29"/>
  <c r="J459" i="29"/>
  <c r="J460" i="29"/>
  <c r="J461" i="29"/>
  <c r="J462" i="29"/>
  <c r="J463" i="29"/>
  <c r="J464" i="29"/>
  <c r="J465" i="29"/>
  <c r="J466" i="29"/>
  <c r="J467" i="29"/>
  <c r="J468" i="29"/>
  <c r="J469" i="29"/>
  <c r="J470" i="29"/>
  <c r="J471" i="29"/>
  <c r="J472" i="29"/>
  <c r="J473" i="29"/>
  <c r="J474" i="29"/>
  <c r="J475" i="29"/>
  <c r="J486" i="29"/>
  <c r="J487" i="29"/>
  <c r="J488" i="29"/>
  <c r="J489" i="29"/>
  <c r="J495" i="29"/>
  <c r="J500" i="29"/>
  <c r="J501" i="29"/>
  <c r="J502" i="29"/>
  <c r="J503" i="29"/>
  <c r="J504" i="29"/>
  <c r="J505" i="29"/>
  <c r="J506" i="29"/>
  <c r="J507" i="29"/>
  <c r="J508" i="29"/>
  <c r="J509" i="29"/>
  <c r="J510" i="29"/>
  <c r="J511" i="29"/>
  <c r="J513" i="29"/>
  <c r="J514" i="29"/>
  <c r="J515" i="29"/>
  <c r="J516" i="29"/>
  <c r="J517" i="29"/>
  <c r="J528" i="29"/>
  <c r="J529" i="29"/>
  <c r="J530" i="29"/>
  <c r="J531" i="29"/>
  <c r="J532" i="29"/>
  <c r="J533" i="29"/>
  <c r="J534" i="29"/>
  <c r="J535" i="29"/>
  <c r="J536" i="29"/>
  <c r="J537" i="29"/>
  <c r="J538" i="29"/>
  <c r="J539" i="29"/>
  <c r="J540" i="29"/>
  <c r="J541" i="29"/>
  <c r="J542" i="29"/>
  <c r="J543" i="29"/>
  <c r="J544" i="29"/>
  <c r="J545" i="29"/>
  <c r="J546" i="29"/>
  <c r="J547" i="29"/>
  <c r="J548" i="29"/>
  <c r="J549" i="29"/>
  <c r="J550" i="29"/>
  <c r="J551" i="29"/>
  <c r="J552" i="29"/>
  <c r="J553" i="29"/>
  <c r="J554" i="29"/>
  <c r="J555" i="29"/>
  <c r="J556" i="29"/>
  <c r="J557" i="29"/>
  <c r="J558" i="29"/>
  <c r="J559" i="29"/>
  <c r="J560" i="29"/>
  <c r="J561" i="29"/>
  <c r="J562" i="29"/>
  <c r="J563" i="29"/>
  <c r="J564" i="29"/>
  <c r="J565" i="29"/>
  <c r="J566" i="29"/>
  <c r="J567" i="29"/>
  <c r="J568" i="29"/>
  <c r="J569" i="29"/>
  <c r="J570" i="29"/>
  <c r="J571" i="29"/>
  <c r="J572" i="29"/>
  <c r="J573" i="29"/>
  <c r="J574" i="29"/>
  <c r="J575" i="29"/>
  <c r="J576" i="29"/>
  <c r="J577" i="29"/>
  <c r="J578" i="29"/>
  <c r="J579" i="29"/>
  <c r="J580" i="29"/>
  <c r="J581" i="29"/>
  <c r="J582" i="29"/>
  <c r="J583" i="29"/>
  <c r="J585" i="29"/>
  <c r="J586" i="29"/>
  <c r="J587" i="29"/>
  <c r="J588" i="29"/>
  <c r="J589" i="29"/>
  <c r="J590" i="29"/>
  <c r="J591" i="29"/>
  <c r="J593" i="29"/>
  <c r="J594" i="29"/>
  <c r="J595" i="29"/>
  <c r="J596" i="29"/>
  <c r="J599" i="29"/>
  <c r="J600" i="29"/>
  <c r="J601" i="29"/>
  <c r="J602" i="29"/>
  <c r="J603" i="29"/>
  <c r="J604" i="29"/>
  <c r="J605" i="29"/>
  <c r="J606" i="29"/>
  <c r="J607" i="29"/>
  <c r="J608" i="29"/>
  <c r="J609" i="29"/>
  <c r="J610" i="29"/>
  <c r="J611" i="29"/>
  <c r="J612" i="29"/>
  <c r="J613" i="29"/>
  <c r="J614" i="29"/>
  <c r="J615" i="29"/>
  <c r="J616" i="29"/>
  <c r="J617" i="29"/>
  <c r="J618" i="29"/>
  <c r="J619" i="29"/>
  <c r="J620" i="29"/>
  <c r="J621" i="29"/>
  <c r="J622" i="29"/>
  <c r="J623" i="29"/>
  <c r="J625" i="29"/>
  <c r="J626" i="29"/>
  <c r="J627" i="29"/>
  <c r="J628" i="29"/>
  <c r="J629" i="29"/>
  <c r="J630" i="29"/>
  <c r="J631" i="29"/>
  <c r="J632" i="29"/>
  <c r="J633" i="29"/>
  <c r="J634" i="29"/>
  <c r="J635" i="29"/>
  <c r="J636" i="29"/>
  <c r="J637" i="29"/>
  <c r="J638" i="29"/>
  <c r="J639" i="29"/>
  <c r="J640" i="29"/>
  <c r="J641" i="29"/>
  <c r="J642" i="29"/>
  <c r="J643" i="29"/>
  <c r="J644" i="29"/>
  <c r="J652" i="29"/>
  <c r="J667" i="29"/>
  <c r="J668" i="29"/>
  <c r="J669" i="29"/>
  <c r="J670" i="29"/>
  <c r="J671" i="29"/>
  <c r="J672" i="29"/>
  <c r="J673" i="29"/>
  <c r="J674" i="29"/>
  <c r="J675" i="29"/>
  <c r="J676" i="29"/>
  <c r="J677" i="29"/>
  <c r="J678" i="29"/>
  <c r="J679" i="29"/>
  <c r="J680" i="29"/>
  <c r="J681" i="29"/>
  <c r="J682" i="29"/>
  <c r="J683" i="29"/>
  <c r="J684" i="29"/>
  <c r="J685" i="29"/>
  <c r="J686" i="29"/>
  <c r="J687" i="29"/>
  <c r="J689" i="29"/>
  <c r="J690" i="29"/>
  <c r="J691" i="29"/>
  <c r="J692" i="29"/>
  <c r="J693" i="29"/>
  <c r="J694" i="29"/>
  <c r="J695" i="29"/>
  <c r="J696" i="29"/>
  <c r="J697" i="29"/>
  <c r="J698" i="29"/>
  <c r="J699" i="29"/>
  <c r="J700" i="29"/>
  <c r="J701" i="29"/>
  <c r="J702" i="29"/>
  <c r="J703" i="29"/>
  <c r="J704" i="29"/>
  <c r="J705" i="29"/>
  <c r="J706" i="29"/>
  <c r="J707" i="29"/>
  <c r="J708" i="29"/>
  <c r="J709" i="29"/>
  <c r="J710" i="29"/>
  <c r="J711" i="29"/>
  <c r="J712" i="29"/>
  <c r="J713" i="29"/>
  <c r="J714" i="29"/>
  <c r="J715" i="29"/>
  <c r="J716" i="29"/>
  <c r="J717" i="29"/>
  <c r="J718" i="29"/>
  <c r="J719" i="29"/>
  <c r="J720" i="29"/>
  <c r="J721" i="29"/>
  <c r="J722" i="29"/>
  <c r="J723" i="29"/>
  <c r="J724" i="29"/>
  <c r="J725" i="29"/>
  <c r="J726" i="29"/>
  <c r="J727" i="29"/>
  <c r="J728" i="29"/>
  <c r="J729" i="29"/>
  <c r="J730" i="29"/>
  <c r="J731" i="29"/>
  <c r="J732" i="29"/>
  <c r="J733" i="29"/>
  <c r="J734" i="29"/>
  <c r="J735" i="29"/>
  <c r="J736" i="29"/>
  <c r="J737" i="29"/>
  <c r="J738" i="29"/>
  <c r="J739" i="29"/>
  <c r="J740" i="29"/>
  <c r="J741" i="29"/>
  <c r="J742" i="29"/>
  <c r="J743" i="29"/>
  <c r="J744" i="29"/>
  <c r="J745" i="29"/>
  <c r="J746" i="29"/>
  <c r="J747" i="29"/>
  <c r="J748" i="29"/>
  <c r="J749" i="29"/>
  <c r="J750" i="29"/>
  <c r="J751" i="29"/>
  <c r="J752" i="29"/>
  <c r="J753" i="29"/>
  <c r="J754" i="29"/>
  <c r="J755" i="29"/>
  <c r="J756" i="29"/>
  <c r="J757" i="29"/>
  <c r="J758" i="29"/>
  <c r="J759" i="29"/>
  <c r="J760" i="29"/>
  <c r="J761" i="29"/>
  <c r="J762" i="29"/>
  <c r="J763" i="29"/>
  <c r="J764" i="29"/>
  <c r="J765" i="29"/>
  <c r="J766" i="29"/>
  <c r="J767" i="29"/>
  <c r="J768" i="29"/>
  <c r="J769" i="29"/>
  <c r="J770" i="29"/>
  <c r="J771" i="29"/>
  <c r="J772" i="29"/>
  <c r="J773" i="29"/>
  <c r="J774" i="29"/>
  <c r="J775" i="29"/>
  <c r="J776" i="29"/>
  <c r="J777" i="29"/>
  <c r="J778" i="29"/>
  <c r="J779" i="29"/>
  <c r="J780" i="29"/>
  <c r="J781" i="29"/>
  <c r="J782" i="29"/>
  <c r="J783" i="29"/>
  <c r="J784" i="29"/>
  <c r="J785" i="29"/>
  <c r="J786" i="29"/>
  <c r="J787" i="29"/>
  <c r="J788" i="29"/>
  <c r="J789" i="29"/>
  <c r="J790" i="29"/>
  <c r="J791" i="29"/>
  <c r="J792" i="29"/>
  <c r="J793" i="29"/>
  <c r="J794" i="29"/>
  <c r="J795" i="29"/>
  <c r="J796" i="29"/>
  <c r="J797" i="29"/>
  <c r="J798" i="29"/>
  <c r="J799" i="29"/>
  <c r="J800" i="29"/>
  <c r="J801" i="29"/>
  <c r="J802" i="29"/>
  <c r="J803" i="29"/>
  <c r="J804" i="29"/>
  <c r="J805" i="29"/>
  <c r="J806" i="29"/>
  <c r="J3" i="29"/>
  <c r="J4" i="29"/>
  <c r="J5" i="29"/>
  <c r="J6" i="29"/>
  <c r="J7" i="29"/>
  <c r="J8" i="29"/>
  <c r="J9" i="29"/>
  <c r="J10" i="29"/>
  <c r="J16" i="29"/>
  <c r="J17" i="29"/>
  <c r="J18" i="29"/>
  <c r="J19" i="29"/>
  <c r="J21" i="29"/>
  <c r="J25" i="29"/>
  <c r="J26" i="29"/>
  <c r="J27" i="29"/>
  <c r="J28" i="29"/>
  <c r="J29" i="29"/>
  <c r="J30" i="29"/>
  <c r="J31" i="29"/>
  <c r="J32" i="29"/>
  <c r="J33" i="29"/>
  <c r="J34" i="29"/>
  <c r="J35" i="29"/>
  <c r="J36" i="29"/>
  <c r="J37" i="29"/>
  <c r="J38" i="29"/>
  <c r="J39" i="29"/>
  <c r="J40" i="29"/>
  <c r="J41" i="29"/>
  <c r="J42" i="29"/>
  <c r="J43" i="29"/>
  <c r="J44" i="29"/>
  <c r="J45" i="29"/>
  <c r="J46" i="29"/>
  <c r="J47" i="29"/>
  <c r="J48" i="29"/>
  <c r="J49" i="29"/>
  <c r="J50" i="29"/>
  <c r="J51" i="29"/>
  <c r="K834" i="29" l="1"/>
  <c r="O291" i="29"/>
  <c r="K342" i="29"/>
  <c r="K154" i="29"/>
  <c r="O479" i="29"/>
  <c r="O480" i="29"/>
  <c r="N349" i="29"/>
  <c r="K345" i="29"/>
  <c r="N831" i="29"/>
  <c r="K830" i="29"/>
  <c r="N812" i="29"/>
  <c r="O484" i="29"/>
  <c r="O862" i="29"/>
  <c r="K850" i="29"/>
  <c r="O485" i="29"/>
  <c r="O497" i="29"/>
  <c r="O346" i="29"/>
  <c r="O349" i="29"/>
  <c r="O342" i="29"/>
  <c r="O345" i="29"/>
  <c r="N345" i="29"/>
  <c r="N342" i="29"/>
  <c r="K349" i="29"/>
  <c r="O348" i="29"/>
  <c r="K348" i="29"/>
  <c r="N348" i="29"/>
  <c r="K347" i="29"/>
  <c r="O347" i="29"/>
  <c r="N347" i="29"/>
  <c r="K346" i="29"/>
  <c r="N346" i="29"/>
  <c r="O343" i="29"/>
  <c r="K343" i="29"/>
  <c r="N343" i="29"/>
  <c r="K291" i="29"/>
  <c r="N291" i="29"/>
  <c r="K497" i="29"/>
  <c r="N497" i="29"/>
  <c r="M857" i="29"/>
  <c r="Q857" i="29" s="1"/>
  <c r="K485" i="29"/>
  <c r="N485" i="29"/>
  <c r="K484" i="29"/>
  <c r="N484" i="29"/>
  <c r="K480" i="29"/>
  <c r="N480" i="29"/>
  <c r="K479" i="29"/>
  <c r="N479" i="29"/>
  <c r="K478" i="29"/>
  <c r="N478" i="29"/>
  <c r="O478" i="29"/>
  <c r="O477" i="29"/>
  <c r="N477" i="29"/>
  <c r="K477" i="29"/>
  <c r="L855" i="29"/>
  <c r="L849" i="29"/>
  <c r="L816" i="29"/>
  <c r="L851" i="29"/>
  <c r="M824" i="29"/>
  <c r="Q824" i="29" s="1"/>
  <c r="N154" i="29"/>
  <c r="M830" i="29"/>
  <c r="Q830" i="29" s="1"/>
  <c r="O154" i="29"/>
  <c r="L854" i="29"/>
  <c r="M818" i="29"/>
  <c r="Q818" i="29" s="1"/>
  <c r="M850" i="29"/>
  <c r="Q850" i="29" s="1"/>
  <c r="M823" i="29"/>
  <c r="Q823" i="29" s="1"/>
  <c r="L832" i="29"/>
  <c r="K862" i="29"/>
  <c r="M862" i="29"/>
  <c r="Q862" i="29" s="1"/>
  <c r="L847" i="29"/>
  <c r="L848" i="29"/>
  <c r="L860" i="29"/>
  <c r="M47" i="29"/>
  <c r="Q47" i="29" s="1"/>
  <c r="L47" i="29"/>
  <c r="M29" i="29"/>
  <c r="Q29" i="29" s="1"/>
  <c r="L29" i="29"/>
  <c r="M290" i="29"/>
  <c r="Q290" i="29" s="1"/>
  <c r="M278" i="29"/>
  <c r="Q278" i="29" s="1"/>
  <c r="M257" i="29"/>
  <c r="Q257" i="29" s="1"/>
  <c r="M243" i="29"/>
  <c r="Q243" i="29" s="1"/>
  <c r="M222" i="29"/>
  <c r="Q222" i="29" s="1"/>
  <c r="M216" i="29"/>
  <c r="Q216" i="29" s="1"/>
  <c r="M193" i="29"/>
  <c r="Q193" i="29" s="1"/>
  <c r="M173" i="29"/>
  <c r="Q173" i="29" s="1"/>
  <c r="M160" i="29"/>
  <c r="Q160" i="29" s="1"/>
  <c r="M147" i="29"/>
  <c r="Q147" i="29" s="1"/>
  <c r="M129" i="29"/>
  <c r="Q129" i="29" s="1"/>
  <c r="M111" i="29"/>
  <c r="Q111" i="29" s="1"/>
  <c r="M84" i="29"/>
  <c r="Q84" i="29" s="1"/>
  <c r="M78" i="29"/>
  <c r="Q78" i="29" s="1"/>
  <c r="M60" i="29"/>
  <c r="Q60" i="29" s="1"/>
  <c r="M794" i="29"/>
  <c r="Q794" i="29" s="1"/>
  <c r="L794" i="29"/>
  <c r="M776" i="29"/>
  <c r="Q776" i="29" s="1"/>
  <c r="L776" i="29"/>
  <c r="M758" i="29"/>
  <c r="Q758" i="29" s="1"/>
  <c r="L758" i="29"/>
  <c r="M740" i="29"/>
  <c r="Q740" i="29" s="1"/>
  <c r="L740" i="29"/>
  <c r="M716" i="29"/>
  <c r="Q716" i="29" s="1"/>
  <c r="L716" i="29"/>
  <c r="M673" i="29"/>
  <c r="Q673" i="29" s="1"/>
  <c r="L673" i="29"/>
  <c r="M634" i="29"/>
  <c r="Q634" i="29" s="1"/>
  <c r="L634" i="29"/>
  <c r="M621" i="29"/>
  <c r="Q621" i="29" s="1"/>
  <c r="L621" i="29"/>
  <c r="M596" i="29"/>
  <c r="Q596" i="29" s="1"/>
  <c r="L596" i="29"/>
  <c r="L576" i="29"/>
  <c r="M576" i="29"/>
  <c r="Q576" i="29" s="1"/>
  <c r="M558" i="29"/>
  <c r="Q558" i="29" s="1"/>
  <c r="L558" i="29"/>
  <c r="M540" i="29"/>
  <c r="Q540" i="29" s="1"/>
  <c r="L540" i="29"/>
  <c r="M528" i="29"/>
  <c r="Q528" i="29" s="1"/>
  <c r="L528" i="29"/>
  <c r="M475" i="29"/>
  <c r="Q475" i="29" s="1"/>
  <c r="L475" i="29"/>
  <c r="M457" i="29"/>
  <c r="Q457" i="29" s="1"/>
  <c r="L457" i="29"/>
  <c r="M445" i="29"/>
  <c r="Q445" i="29" s="1"/>
  <c r="L445" i="29"/>
  <c r="M433" i="29"/>
  <c r="Q433" i="29" s="1"/>
  <c r="L433" i="29"/>
  <c r="M419" i="29"/>
  <c r="Q419" i="29" s="1"/>
  <c r="L419" i="29"/>
  <c r="M403" i="29"/>
  <c r="Q403" i="29" s="1"/>
  <c r="L403" i="29"/>
  <c r="M389" i="29"/>
  <c r="Q389" i="29" s="1"/>
  <c r="L389" i="29"/>
  <c r="M367" i="29"/>
  <c r="Q367" i="29" s="1"/>
  <c r="L367" i="29"/>
  <c r="M326" i="29"/>
  <c r="Q326" i="29" s="1"/>
  <c r="L326" i="29"/>
  <c r="M650" i="29"/>
  <c r="Q650" i="29" s="1"/>
  <c r="L650" i="29"/>
  <c r="M491" i="29"/>
  <c r="Q491" i="29" s="1"/>
  <c r="L491" i="29"/>
  <c r="M476" i="29"/>
  <c r="Q476" i="29" s="1"/>
  <c r="L476" i="29"/>
  <c r="L40" i="29"/>
  <c r="M40" i="29"/>
  <c r="Q40" i="29" s="1"/>
  <c r="L18" i="29"/>
  <c r="M18" i="29"/>
  <c r="Q18" i="29" s="1"/>
  <c r="M283" i="29"/>
  <c r="Q283" i="29" s="1"/>
  <c r="M256" i="29"/>
  <c r="Q256" i="29" s="1"/>
  <c r="M236" i="29"/>
  <c r="Q236" i="29" s="1"/>
  <c r="M221" i="29"/>
  <c r="Q221" i="29" s="1"/>
  <c r="M201" i="29"/>
  <c r="Q201" i="29" s="1"/>
  <c r="M178" i="29"/>
  <c r="Q178" i="29" s="1"/>
  <c r="M159" i="29"/>
  <c r="Q159" i="29" s="1"/>
  <c r="M140" i="29"/>
  <c r="Q140" i="29" s="1"/>
  <c r="M122" i="29"/>
  <c r="Q122" i="29" s="1"/>
  <c r="M95" i="29"/>
  <c r="Q95" i="29" s="1"/>
  <c r="M77" i="29"/>
  <c r="Q77" i="29" s="1"/>
  <c r="M65" i="29"/>
  <c r="Q65" i="29" s="1"/>
  <c r="M805" i="29"/>
  <c r="Q805" i="29" s="1"/>
  <c r="L805" i="29"/>
  <c r="M787" i="29"/>
  <c r="Q787" i="29" s="1"/>
  <c r="L787" i="29"/>
  <c r="M769" i="29"/>
  <c r="Q769" i="29" s="1"/>
  <c r="L769" i="29"/>
  <c r="L757" i="29"/>
  <c r="M757" i="29"/>
  <c r="Q757" i="29" s="1"/>
  <c r="M733" i="29"/>
  <c r="Q733" i="29" s="1"/>
  <c r="L733" i="29"/>
  <c r="M715" i="29"/>
  <c r="Q715" i="29" s="1"/>
  <c r="L715" i="29"/>
  <c r="M691" i="29"/>
  <c r="Q691" i="29" s="1"/>
  <c r="L691" i="29"/>
  <c r="M672" i="29"/>
  <c r="Q672" i="29" s="1"/>
  <c r="L672" i="29"/>
  <c r="M639" i="29"/>
  <c r="Q639" i="29" s="1"/>
  <c r="L639" i="29"/>
  <c r="M620" i="29"/>
  <c r="Q620" i="29" s="1"/>
  <c r="L620" i="29"/>
  <c r="M588" i="29"/>
  <c r="Q588" i="29" s="1"/>
  <c r="L588" i="29"/>
  <c r="L569" i="29"/>
  <c r="M569" i="29"/>
  <c r="Q569" i="29" s="1"/>
  <c r="M551" i="29"/>
  <c r="Q551" i="29" s="1"/>
  <c r="L551" i="29"/>
  <c r="M545" i="29"/>
  <c r="Q545" i="29" s="1"/>
  <c r="L545" i="29"/>
  <c r="M517" i="29"/>
  <c r="Q517" i="29" s="1"/>
  <c r="L517" i="29"/>
  <c r="L468" i="29"/>
  <c r="M468" i="29"/>
  <c r="Q468" i="29" s="1"/>
  <c r="M439" i="29"/>
  <c r="Q439" i="29" s="1"/>
  <c r="L439" i="29"/>
  <c r="M441" i="29"/>
  <c r="Q441" i="29" s="1"/>
  <c r="L441" i="29"/>
  <c r="L424" i="29"/>
  <c r="M424" i="29"/>
  <c r="Q424" i="29" s="1"/>
  <c r="M402" i="29"/>
  <c r="Q402" i="29" s="1"/>
  <c r="L402" i="29"/>
  <c r="M396" i="29"/>
  <c r="Q396" i="29" s="1"/>
  <c r="L396" i="29"/>
  <c r="M382" i="29"/>
  <c r="Q382" i="29" s="1"/>
  <c r="L382" i="29"/>
  <c r="M360" i="29"/>
  <c r="Q360" i="29" s="1"/>
  <c r="L360" i="29"/>
  <c r="L331" i="29"/>
  <c r="M331" i="29"/>
  <c r="Q331" i="29" s="1"/>
  <c r="M312" i="29"/>
  <c r="Q312" i="29" s="1"/>
  <c r="L312" i="29"/>
  <c r="L649" i="29"/>
  <c r="M649" i="29"/>
  <c r="Q649" i="29" s="1"/>
  <c r="L842" i="29"/>
  <c r="L6" i="29"/>
  <c r="M6" i="29"/>
  <c r="Q6" i="29" s="1"/>
  <c r="M276" i="29"/>
  <c r="Q276" i="29" s="1"/>
  <c r="M241" i="29"/>
  <c r="Q241" i="29" s="1"/>
  <c r="M220" i="29"/>
  <c r="Q220" i="29" s="1"/>
  <c r="M200" i="29"/>
  <c r="Q200" i="29" s="1"/>
  <c r="M177" i="29"/>
  <c r="Q177" i="29" s="1"/>
  <c r="M158" i="29"/>
  <c r="Q158" i="29" s="1"/>
  <c r="M139" i="29"/>
  <c r="Q139" i="29" s="1"/>
  <c r="M127" i="29"/>
  <c r="Q127" i="29" s="1"/>
  <c r="M115" i="29"/>
  <c r="Q115" i="29" s="1"/>
  <c r="M88" i="29"/>
  <c r="Q88" i="29" s="1"/>
  <c r="M70" i="29"/>
  <c r="Q70" i="29" s="1"/>
  <c r="M58" i="29"/>
  <c r="Q58" i="29" s="1"/>
  <c r="M792" i="29"/>
  <c r="Q792" i="29" s="1"/>
  <c r="L792" i="29"/>
  <c r="M780" i="29"/>
  <c r="Q780" i="29" s="1"/>
  <c r="L780" i="29"/>
  <c r="M762" i="29"/>
  <c r="Q762" i="29" s="1"/>
  <c r="L762" i="29"/>
  <c r="M744" i="29"/>
  <c r="Q744" i="29" s="1"/>
  <c r="L744" i="29"/>
  <c r="M738" i="29"/>
  <c r="Q738" i="29" s="1"/>
  <c r="L738" i="29"/>
  <c r="M720" i="29"/>
  <c r="Q720" i="29" s="1"/>
  <c r="L720" i="29"/>
  <c r="L702" i="29"/>
  <c r="M702" i="29"/>
  <c r="Q702" i="29" s="1"/>
  <c r="L683" i="29"/>
  <c r="M683" i="29"/>
  <c r="Q683" i="29" s="1"/>
  <c r="M677" i="29"/>
  <c r="Q677" i="29" s="1"/>
  <c r="L677" i="29"/>
  <c r="L644" i="29"/>
  <c r="M644" i="29"/>
  <c r="Q644" i="29" s="1"/>
  <c r="M632" i="29"/>
  <c r="Q632" i="29" s="1"/>
  <c r="L632" i="29"/>
  <c r="L613" i="29"/>
  <c r="M613" i="29"/>
  <c r="Q613" i="29" s="1"/>
  <c r="L602" i="29"/>
  <c r="M602" i="29"/>
  <c r="Q602" i="29" s="1"/>
  <c r="M587" i="29"/>
  <c r="Q587" i="29" s="1"/>
  <c r="L587" i="29"/>
  <c r="M568" i="29"/>
  <c r="Q568" i="29" s="1"/>
  <c r="L568" i="29"/>
  <c r="M538" i="29"/>
  <c r="Q538" i="29" s="1"/>
  <c r="L538" i="29"/>
  <c r="M503" i="29"/>
  <c r="Q503" i="29" s="1"/>
  <c r="L503" i="29"/>
  <c r="L467" i="29"/>
  <c r="M467" i="29"/>
  <c r="Q467" i="29" s="1"/>
  <c r="M449" i="29"/>
  <c r="Q449" i="29" s="1"/>
  <c r="L449" i="29"/>
  <c r="M440" i="29"/>
  <c r="Q440" i="29" s="1"/>
  <c r="L440" i="29"/>
  <c r="L423" i="29"/>
  <c r="M423" i="29"/>
  <c r="Q423" i="29" s="1"/>
  <c r="L407" i="29"/>
  <c r="M407" i="29"/>
  <c r="Q407" i="29" s="1"/>
  <c r="M387" i="29"/>
  <c r="Q387" i="29" s="1"/>
  <c r="L387" i="29"/>
  <c r="M366" i="29"/>
  <c r="Q366" i="29" s="1"/>
  <c r="L366" i="29"/>
  <c r="M351" i="29"/>
  <c r="Q351" i="29" s="1"/>
  <c r="L351" i="29"/>
  <c r="L324" i="29"/>
  <c r="M324" i="29"/>
  <c r="Q324" i="29" s="1"/>
  <c r="M317" i="29"/>
  <c r="Q317" i="29" s="1"/>
  <c r="L317" i="29"/>
  <c r="L299" i="29"/>
  <c r="M299" i="29"/>
  <c r="Q299" i="29" s="1"/>
  <c r="M648" i="29"/>
  <c r="Q648" i="29" s="1"/>
  <c r="L648" i="29"/>
  <c r="M15" i="29"/>
  <c r="Q15" i="29" s="1"/>
  <c r="L15" i="29"/>
  <c r="M22" i="29"/>
  <c r="Q22" i="29" s="1"/>
  <c r="L22" i="29"/>
  <c r="L656" i="29"/>
  <c r="M656" i="29"/>
  <c r="Q656" i="29" s="1"/>
  <c r="M664" i="29"/>
  <c r="Q664" i="29" s="1"/>
  <c r="L664" i="29"/>
  <c r="L836" i="29"/>
  <c r="L50" i="29"/>
  <c r="M50" i="29"/>
  <c r="Q50" i="29" s="1"/>
  <c r="L44" i="29"/>
  <c r="M44" i="29"/>
  <c r="Q44" i="29" s="1"/>
  <c r="L38" i="29"/>
  <c r="M38" i="29"/>
  <c r="Q38" i="29" s="1"/>
  <c r="L32" i="29"/>
  <c r="M32" i="29"/>
  <c r="Q32" i="29" s="1"/>
  <c r="L26" i="29"/>
  <c r="M26" i="29"/>
  <c r="Q26" i="29" s="1"/>
  <c r="M16" i="29"/>
  <c r="Q16" i="29" s="1"/>
  <c r="L16" i="29"/>
  <c r="L5" i="29"/>
  <c r="M5" i="29"/>
  <c r="Q5" i="29" s="1"/>
  <c r="M287" i="29"/>
  <c r="Q287" i="29" s="1"/>
  <c r="M281" i="29"/>
  <c r="Q281" i="29" s="1"/>
  <c r="M275" i="29"/>
  <c r="Q275" i="29" s="1"/>
  <c r="M269" i="29"/>
  <c r="Q269" i="29" s="1"/>
  <c r="M263" i="29"/>
  <c r="Q263" i="29" s="1"/>
  <c r="M252" i="29"/>
  <c r="Q252" i="29" s="1"/>
  <c r="M246" i="29"/>
  <c r="Q246" i="29" s="1"/>
  <c r="M240" i="29"/>
  <c r="Q240" i="29" s="1"/>
  <c r="M234" i="29"/>
  <c r="Q234" i="29" s="1"/>
  <c r="M225" i="29"/>
  <c r="Q225" i="29" s="1"/>
  <c r="M219" i="29"/>
  <c r="Q219" i="29" s="1"/>
  <c r="M212" i="29"/>
  <c r="Q212" i="29" s="1"/>
  <c r="M199" i="29"/>
  <c r="Q199" i="29" s="1"/>
  <c r="M189" i="29"/>
  <c r="Q189" i="29" s="1"/>
  <c r="M182" i="29"/>
  <c r="Q182" i="29" s="1"/>
  <c r="M176" i="29"/>
  <c r="Q176" i="29" s="1"/>
  <c r="M170" i="29"/>
  <c r="Q170" i="29" s="1"/>
  <c r="M163" i="29"/>
  <c r="Q163" i="29" s="1"/>
  <c r="M157" i="29"/>
  <c r="Q157" i="29" s="1"/>
  <c r="M150" i="29"/>
  <c r="Q150" i="29" s="1"/>
  <c r="M144" i="29"/>
  <c r="Q144" i="29" s="1"/>
  <c r="M138" i="29"/>
  <c r="Q138" i="29" s="1"/>
  <c r="M132" i="29"/>
  <c r="Q132" i="29" s="1"/>
  <c r="M126" i="29"/>
  <c r="Q126" i="29" s="1"/>
  <c r="M120" i="29"/>
  <c r="Q120" i="29" s="1"/>
  <c r="M114" i="29"/>
  <c r="Q114" i="29" s="1"/>
  <c r="M107" i="29"/>
  <c r="Q107" i="29" s="1"/>
  <c r="M93" i="29"/>
  <c r="Q93" i="29" s="1"/>
  <c r="M87" i="29"/>
  <c r="Q87" i="29" s="1"/>
  <c r="M81" i="29"/>
  <c r="Q81" i="29" s="1"/>
  <c r="M75" i="29"/>
  <c r="Q75" i="29" s="1"/>
  <c r="M69" i="29"/>
  <c r="Q69" i="29" s="1"/>
  <c r="M63" i="29"/>
  <c r="Q63" i="29" s="1"/>
  <c r="M57" i="29"/>
  <c r="Q57" i="29" s="1"/>
  <c r="M803" i="29"/>
  <c r="Q803" i="29" s="1"/>
  <c r="L803" i="29"/>
  <c r="L797" i="29"/>
  <c r="M797" i="29"/>
  <c r="Q797" i="29" s="1"/>
  <c r="M791" i="29"/>
  <c r="Q791" i="29" s="1"/>
  <c r="L791" i="29"/>
  <c r="M785" i="29"/>
  <c r="Q785" i="29" s="1"/>
  <c r="L785" i="29"/>
  <c r="L779" i="29"/>
  <c r="M779" i="29"/>
  <c r="Q779" i="29" s="1"/>
  <c r="L773" i="29"/>
  <c r="M773" i="29"/>
  <c r="Q773" i="29" s="1"/>
  <c r="L767" i="29"/>
  <c r="M767" i="29"/>
  <c r="Q767" i="29" s="1"/>
  <c r="L761" i="29"/>
  <c r="M761" i="29"/>
  <c r="Q761" i="29" s="1"/>
  <c r="L755" i="29"/>
  <c r="M755" i="29"/>
  <c r="Q755" i="29" s="1"/>
  <c r="M749" i="29"/>
  <c r="Q749" i="29" s="1"/>
  <c r="L749" i="29"/>
  <c r="L743" i="29"/>
  <c r="M743" i="29"/>
  <c r="Q743" i="29" s="1"/>
  <c r="L737" i="29"/>
  <c r="M737" i="29"/>
  <c r="Q737" i="29" s="1"/>
  <c r="L731" i="29"/>
  <c r="M731" i="29"/>
  <c r="Q731" i="29" s="1"/>
  <c r="L725" i="29"/>
  <c r="M725" i="29"/>
  <c r="Q725" i="29" s="1"/>
  <c r="L719" i="29"/>
  <c r="M719" i="29"/>
  <c r="Q719" i="29" s="1"/>
  <c r="M713" i="29"/>
  <c r="Q713" i="29" s="1"/>
  <c r="L713" i="29"/>
  <c r="L707" i="29"/>
  <c r="M707" i="29"/>
  <c r="Q707" i="29" s="1"/>
  <c r="L701" i="29"/>
  <c r="M701" i="29"/>
  <c r="Q701" i="29" s="1"/>
  <c r="L695" i="29"/>
  <c r="M695" i="29"/>
  <c r="Q695" i="29" s="1"/>
  <c r="L689" i="29"/>
  <c r="M689" i="29"/>
  <c r="Q689" i="29" s="1"/>
  <c r="M682" i="29"/>
  <c r="Q682" i="29" s="1"/>
  <c r="L682" i="29"/>
  <c r="M676" i="29"/>
  <c r="Q676" i="29" s="1"/>
  <c r="L676" i="29"/>
  <c r="M670" i="29"/>
  <c r="Q670" i="29" s="1"/>
  <c r="L670" i="29"/>
  <c r="M643" i="29"/>
  <c r="Q643" i="29" s="1"/>
  <c r="L643" i="29"/>
  <c r="L637" i="29"/>
  <c r="M637" i="29"/>
  <c r="Q637" i="29" s="1"/>
  <c r="M631" i="29"/>
  <c r="Q631" i="29" s="1"/>
  <c r="L631" i="29"/>
  <c r="M625" i="29"/>
  <c r="Q625" i="29" s="1"/>
  <c r="L625" i="29"/>
  <c r="M618" i="29"/>
  <c r="Q618" i="29" s="1"/>
  <c r="L618" i="29"/>
  <c r="M612" i="29"/>
  <c r="Q612" i="29" s="1"/>
  <c r="L612" i="29"/>
  <c r="L606" i="29"/>
  <c r="M606" i="29"/>
  <c r="Q606" i="29" s="1"/>
  <c r="M601" i="29"/>
  <c r="Q601" i="29" s="1"/>
  <c r="L601" i="29"/>
  <c r="L593" i="29"/>
  <c r="M593" i="29"/>
  <c r="Q593" i="29" s="1"/>
  <c r="M586" i="29"/>
  <c r="Q586" i="29" s="1"/>
  <c r="L586" i="29"/>
  <c r="M579" i="29"/>
  <c r="Q579" i="29" s="1"/>
  <c r="L579" i="29"/>
  <c r="M573" i="29"/>
  <c r="Q573" i="29" s="1"/>
  <c r="L573" i="29"/>
  <c r="L567" i="29"/>
  <c r="M567" i="29"/>
  <c r="Q567" i="29" s="1"/>
  <c r="M561" i="29"/>
  <c r="Q561" i="29" s="1"/>
  <c r="L561" i="29"/>
  <c r="M555" i="29"/>
  <c r="Q555" i="29" s="1"/>
  <c r="L555" i="29"/>
  <c r="L549" i="29"/>
  <c r="M549" i="29"/>
  <c r="Q549" i="29" s="1"/>
  <c r="M543" i="29"/>
  <c r="Q543" i="29" s="1"/>
  <c r="L543" i="29"/>
  <c r="L537" i="29"/>
  <c r="M537" i="29"/>
  <c r="Q537" i="29" s="1"/>
  <c r="M531" i="29"/>
  <c r="Q531" i="29" s="1"/>
  <c r="L531" i="29"/>
  <c r="L515" i="29"/>
  <c r="M515" i="29"/>
  <c r="Q515" i="29" s="1"/>
  <c r="L508" i="29"/>
  <c r="M508" i="29"/>
  <c r="Q508" i="29" s="1"/>
  <c r="L502" i="29"/>
  <c r="M502" i="29"/>
  <c r="Q502" i="29" s="1"/>
  <c r="M488" i="29"/>
  <c r="Q488" i="29" s="1"/>
  <c r="L488" i="29"/>
  <c r="L472" i="29"/>
  <c r="M472" i="29"/>
  <c r="Q472" i="29" s="1"/>
  <c r="L466" i="29"/>
  <c r="M466" i="29"/>
  <c r="Q466" i="29" s="1"/>
  <c r="L460" i="29"/>
  <c r="M460" i="29"/>
  <c r="Q460" i="29" s="1"/>
  <c r="L454" i="29"/>
  <c r="M454" i="29"/>
  <c r="Q454" i="29" s="1"/>
  <c r="L448" i="29"/>
  <c r="M448" i="29"/>
  <c r="Q448" i="29" s="1"/>
  <c r="L437" i="29"/>
  <c r="M437" i="29"/>
  <c r="Q437" i="29" s="1"/>
  <c r="L436" i="29"/>
  <c r="M436" i="29"/>
  <c r="Q436" i="29" s="1"/>
  <c r="L430" i="29"/>
  <c r="M430" i="29"/>
  <c r="Q430" i="29" s="1"/>
  <c r="M422" i="29"/>
  <c r="Q422" i="29" s="1"/>
  <c r="L422" i="29"/>
  <c r="M418" i="29"/>
  <c r="Q418" i="29" s="1"/>
  <c r="L418" i="29"/>
  <c r="L412" i="29"/>
  <c r="M412" i="29"/>
  <c r="Q412" i="29" s="1"/>
  <c r="M406" i="29"/>
  <c r="Q406" i="29" s="1"/>
  <c r="L406" i="29"/>
  <c r="L400" i="29"/>
  <c r="M400" i="29"/>
  <c r="Q400" i="29" s="1"/>
  <c r="M394" i="29"/>
  <c r="Q394" i="29" s="1"/>
  <c r="L394" i="29"/>
  <c r="L386" i="29"/>
  <c r="M386" i="29"/>
  <c r="Q386" i="29" s="1"/>
  <c r="M380" i="29"/>
  <c r="Q380" i="29" s="1"/>
  <c r="L380" i="29"/>
  <c r="M371" i="29"/>
  <c r="Q371" i="29" s="1"/>
  <c r="L371" i="29"/>
  <c r="L365" i="29"/>
  <c r="M365" i="29"/>
  <c r="Q365" i="29" s="1"/>
  <c r="L358" i="29"/>
  <c r="M358" i="29"/>
  <c r="Q358" i="29" s="1"/>
  <c r="L350" i="29"/>
  <c r="M350" i="29"/>
  <c r="Q350" i="29" s="1"/>
  <c r="L335" i="29"/>
  <c r="M335" i="29"/>
  <c r="Q335" i="29" s="1"/>
  <c r="L329" i="29"/>
  <c r="M329" i="29"/>
  <c r="Q329" i="29" s="1"/>
  <c r="L323" i="29"/>
  <c r="M323" i="29"/>
  <c r="Q323" i="29" s="1"/>
  <c r="L316" i="29"/>
  <c r="M316" i="29"/>
  <c r="Q316" i="29" s="1"/>
  <c r="L310" i="29"/>
  <c r="M310" i="29"/>
  <c r="Q310" i="29" s="1"/>
  <c r="L304" i="29"/>
  <c r="M304" i="29"/>
  <c r="Q304" i="29" s="1"/>
  <c r="L298" i="29"/>
  <c r="M298" i="29"/>
  <c r="Q298" i="29" s="1"/>
  <c r="L647" i="29"/>
  <c r="M647" i="29"/>
  <c r="Q647" i="29" s="1"/>
  <c r="M494" i="29"/>
  <c r="Q494" i="29" s="1"/>
  <c r="L494" i="29"/>
  <c r="L14" i="29"/>
  <c r="M14" i="29"/>
  <c r="Q14" i="29" s="1"/>
  <c r="M661" i="29"/>
  <c r="Q661" i="29" s="1"/>
  <c r="L661" i="29"/>
  <c r="M655" i="29"/>
  <c r="Q655" i="29" s="1"/>
  <c r="L655" i="29"/>
  <c r="M663" i="29"/>
  <c r="Q663" i="29" s="1"/>
  <c r="L663" i="29"/>
  <c r="M41" i="29"/>
  <c r="Q41" i="29" s="1"/>
  <c r="L41" i="29"/>
  <c r="M19" i="29"/>
  <c r="Q19" i="29" s="1"/>
  <c r="L19" i="29"/>
  <c r="M284" i="29"/>
  <c r="Q284" i="29" s="1"/>
  <c r="M266" i="29"/>
  <c r="Q266" i="29" s="1"/>
  <c r="M237" i="29"/>
  <c r="Q237" i="29" s="1"/>
  <c r="M209" i="29"/>
  <c r="Q209" i="29" s="1"/>
  <c r="M185" i="29"/>
  <c r="Q185" i="29" s="1"/>
  <c r="M167" i="29"/>
  <c r="Q167" i="29" s="1"/>
  <c r="M153" i="29"/>
  <c r="Q153" i="29" s="1"/>
  <c r="M135" i="29"/>
  <c r="Q135" i="29" s="1"/>
  <c r="M123" i="29"/>
  <c r="Q123" i="29" s="1"/>
  <c r="M96" i="29"/>
  <c r="Q96" i="29" s="1"/>
  <c r="M72" i="29"/>
  <c r="Q72" i="29" s="1"/>
  <c r="M806" i="29"/>
  <c r="Q806" i="29" s="1"/>
  <c r="L806" i="29"/>
  <c r="M782" i="29"/>
  <c r="Q782" i="29" s="1"/>
  <c r="L782" i="29"/>
  <c r="L764" i="29"/>
  <c r="M764" i="29"/>
  <c r="Q764" i="29" s="1"/>
  <c r="L746" i="29"/>
  <c r="M746" i="29"/>
  <c r="Q746" i="29" s="1"/>
  <c r="M728" i="29"/>
  <c r="Q728" i="29" s="1"/>
  <c r="L728" i="29"/>
  <c r="M710" i="29"/>
  <c r="Q710" i="29" s="1"/>
  <c r="L710" i="29"/>
  <c r="M698" i="29"/>
  <c r="Q698" i="29" s="1"/>
  <c r="L698" i="29"/>
  <c r="M685" i="29"/>
  <c r="Q685" i="29" s="1"/>
  <c r="L685" i="29"/>
  <c r="L667" i="29"/>
  <c r="M667" i="29"/>
  <c r="Q667" i="29" s="1"/>
  <c r="M628" i="29"/>
  <c r="Q628" i="29" s="1"/>
  <c r="L628" i="29"/>
  <c r="M609" i="29"/>
  <c r="Q609" i="29" s="1"/>
  <c r="L609" i="29"/>
  <c r="L589" i="29"/>
  <c r="M589" i="29"/>
  <c r="Q589" i="29" s="1"/>
  <c r="M570" i="29"/>
  <c r="Q570" i="29" s="1"/>
  <c r="L570" i="29"/>
  <c r="M552" i="29"/>
  <c r="Q552" i="29" s="1"/>
  <c r="L552" i="29"/>
  <c r="M534" i="29"/>
  <c r="Q534" i="29" s="1"/>
  <c r="L534" i="29"/>
  <c r="M505" i="29"/>
  <c r="Q505" i="29" s="1"/>
  <c r="L505" i="29"/>
  <c r="M463" i="29"/>
  <c r="Q463" i="29" s="1"/>
  <c r="L463" i="29"/>
  <c r="L409" i="29"/>
  <c r="M409" i="29"/>
  <c r="Q409" i="29" s="1"/>
  <c r="L383" i="29"/>
  <c r="M383" i="29"/>
  <c r="Q383" i="29" s="1"/>
  <c r="M361" i="29"/>
  <c r="Q361" i="29" s="1"/>
  <c r="L361" i="29"/>
  <c r="M338" i="29"/>
  <c r="Q338" i="29" s="1"/>
  <c r="L338" i="29"/>
  <c r="M319" i="29"/>
  <c r="Q319" i="29" s="1"/>
  <c r="L319" i="29"/>
  <c r="M307" i="29"/>
  <c r="Q307" i="29" s="1"/>
  <c r="L307" i="29"/>
  <c r="L858" i="29"/>
  <c r="L46" i="29"/>
  <c r="M46" i="29"/>
  <c r="Q46" i="29" s="1"/>
  <c r="L28" i="29"/>
  <c r="M28" i="29"/>
  <c r="Q28" i="29" s="1"/>
  <c r="M289" i="29"/>
  <c r="Q289" i="29" s="1"/>
  <c r="M271" i="29"/>
  <c r="Q271" i="29" s="1"/>
  <c r="M248" i="29"/>
  <c r="Q248" i="29" s="1"/>
  <c r="M227" i="29"/>
  <c r="Q227" i="29" s="1"/>
  <c r="M208" i="29"/>
  <c r="Q208" i="29" s="1"/>
  <c r="M184" i="29"/>
  <c r="Q184" i="29" s="1"/>
  <c r="M166" i="29"/>
  <c r="Q166" i="29" s="1"/>
  <c r="M152" i="29"/>
  <c r="Q152" i="29" s="1"/>
  <c r="M134" i="29"/>
  <c r="Q134" i="29" s="1"/>
  <c r="M116" i="29"/>
  <c r="Q116" i="29" s="1"/>
  <c r="M89" i="29"/>
  <c r="Q89" i="29" s="1"/>
  <c r="M71" i="29"/>
  <c r="Q71" i="29" s="1"/>
  <c r="M799" i="29"/>
  <c r="Q799" i="29" s="1"/>
  <c r="L799" i="29"/>
  <c r="M775" i="29"/>
  <c r="Q775" i="29" s="1"/>
  <c r="L775" i="29"/>
  <c r="M751" i="29"/>
  <c r="Q751" i="29" s="1"/>
  <c r="L751" i="29"/>
  <c r="M727" i="29"/>
  <c r="Q727" i="29" s="1"/>
  <c r="L727" i="29"/>
  <c r="L709" i="29"/>
  <c r="M709" i="29"/>
  <c r="Q709" i="29" s="1"/>
  <c r="M697" i="29"/>
  <c r="Q697" i="29" s="1"/>
  <c r="L697" i="29"/>
  <c r="M684" i="29"/>
  <c r="Q684" i="29" s="1"/>
  <c r="L684" i="29"/>
  <c r="M652" i="29"/>
  <c r="Q652" i="29" s="1"/>
  <c r="L652" i="29"/>
  <c r="L627" i="29"/>
  <c r="M627" i="29"/>
  <c r="Q627" i="29" s="1"/>
  <c r="M608" i="29"/>
  <c r="Q608" i="29" s="1"/>
  <c r="L608" i="29"/>
  <c r="M595" i="29"/>
  <c r="Q595" i="29" s="1"/>
  <c r="L595" i="29"/>
  <c r="M575" i="29"/>
  <c r="Q575" i="29" s="1"/>
  <c r="L575" i="29"/>
  <c r="M557" i="29"/>
  <c r="Q557" i="29" s="1"/>
  <c r="L557" i="29"/>
  <c r="L533" i="29"/>
  <c r="M533" i="29"/>
  <c r="Q533" i="29" s="1"/>
  <c r="M504" i="29"/>
  <c r="Q504" i="29" s="1"/>
  <c r="L504" i="29"/>
  <c r="M462" i="29"/>
  <c r="Q462" i="29" s="1"/>
  <c r="L462" i="29"/>
  <c r="M450" i="29"/>
  <c r="Q450" i="29" s="1"/>
  <c r="L450" i="29"/>
  <c r="M427" i="29"/>
  <c r="Q427" i="29" s="1"/>
  <c r="L427" i="29"/>
  <c r="L378" i="29"/>
  <c r="M378" i="29"/>
  <c r="Q378" i="29" s="1"/>
  <c r="M337" i="29"/>
  <c r="Q337" i="29" s="1"/>
  <c r="L337" i="29"/>
  <c r="M325" i="29"/>
  <c r="Q325" i="29" s="1"/>
  <c r="L325" i="29"/>
  <c r="L306" i="29"/>
  <c r="M306" i="29"/>
  <c r="Q306" i="29" s="1"/>
  <c r="L492" i="29"/>
  <c r="M492" i="29"/>
  <c r="Q492" i="29" s="1"/>
  <c r="M657" i="29"/>
  <c r="Q657" i="29" s="1"/>
  <c r="L657" i="29"/>
  <c r="L51" i="29"/>
  <c r="M51" i="29"/>
  <c r="Q51" i="29" s="1"/>
  <c r="M33" i="29"/>
  <c r="Q33" i="29" s="1"/>
  <c r="L33" i="29"/>
  <c r="L17" i="29"/>
  <c r="M17" i="29"/>
  <c r="Q17" i="29" s="1"/>
  <c r="M282" i="29"/>
  <c r="Q282" i="29" s="1"/>
  <c r="M264" i="29"/>
  <c r="Q264" i="29" s="1"/>
  <c r="M247" i="29"/>
  <c r="Q247" i="29" s="1"/>
  <c r="M226" i="29"/>
  <c r="Q226" i="29" s="1"/>
  <c r="M214" i="29"/>
  <c r="Q214" i="29" s="1"/>
  <c r="M190" i="29"/>
  <c r="Q190" i="29" s="1"/>
  <c r="M171" i="29"/>
  <c r="Q171" i="29" s="1"/>
  <c r="M151" i="29"/>
  <c r="Q151" i="29" s="1"/>
  <c r="M121" i="29"/>
  <c r="Q121" i="29" s="1"/>
  <c r="M94" i="29"/>
  <c r="Q94" i="29" s="1"/>
  <c r="M76" i="29"/>
  <c r="Q76" i="29" s="1"/>
  <c r="M804" i="29"/>
  <c r="Q804" i="29" s="1"/>
  <c r="L804" i="29"/>
  <c r="L786" i="29"/>
  <c r="M786" i="29"/>
  <c r="Q786" i="29" s="1"/>
  <c r="M768" i="29"/>
  <c r="Q768" i="29" s="1"/>
  <c r="L768" i="29"/>
  <c r="M750" i="29"/>
  <c r="Q750" i="29" s="1"/>
  <c r="L750" i="29"/>
  <c r="L732" i="29"/>
  <c r="M732" i="29"/>
  <c r="Q732" i="29" s="1"/>
  <c r="L714" i="29"/>
  <c r="M714" i="29"/>
  <c r="Q714" i="29" s="1"/>
  <c r="M690" i="29"/>
  <c r="Q690" i="29" s="1"/>
  <c r="L690" i="29"/>
  <c r="M638" i="29"/>
  <c r="Q638" i="29" s="1"/>
  <c r="L638" i="29"/>
  <c r="M619" i="29"/>
  <c r="Q619" i="29" s="1"/>
  <c r="L619" i="29"/>
  <c r="L594" i="29"/>
  <c r="M594" i="29"/>
  <c r="Q594" i="29" s="1"/>
  <c r="M574" i="29"/>
  <c r="Q574" i="29" s="1"/>
  <c r="L574" i="29"/>
  <c r="L556" i="29"/>
  <c r="M556" i="29"/>
  <c r="Q556" i="29" s="1"/>
  <c r="L544" i="29"/>
  <c r="M544" i="29"/>
  <c r="Q544" i="29" s="1"/>
  <c r="L516" i="29"/>
  <c r="M516" i="29"/>
  <c r="Q516" i="29" s="1"/>
  <c r="L489" i="29"/>
  <c r="M489" i="29"/>
  <c r="Q489" i="29" s="1"/>
  <c r="M455" i="29"/>
  <c r="Q455" i="29" s="1"/>
  <c r="L455" i="29"/>
  <c r="M431" i="29"/>
  <c r="Q431" i="29" s="1"/>
  <c r="L431" i="29"/>
  <c r="M413" i="29"/>
  <c r="Q413" i="29" s="1"/>
  <c r="L413" i="29"/>
  <c r="L395" i="29"/>
  <c r="M395" i="29"/>
  <c r="Q395" i="29" s="1"/>
  <c r="M373" i="29"/>
  <c r="Q373" i="29" s="1"/>
  <c r="L373" i="29"/>
  <c r="L336" i="29"/>
  <c r="M336" i="29"/>
  <c r="Q336" i="29" s="1"/>
  <c r="M305" i="29"/>
  <c r="Q305" i="29" s="1"/>
  <c r="L305" i="29"/>
  <c r="M812" i="29"/>
  <c r="Q812" i="29" s="1"/>
  <c r="L49" i="29"/>
  <c r="M49" i="29"/>
  <c r="Q49" i="29" s="1"/>
  <c r="L43" i="29"/>
  <c r="M43" i="29"/>
  <c r="Q43" i="29" s="1"/>
  <c r="L37" i="29"/>
  <c r="M37" i="29"/>
  <c r="Q37" i="29" s="1"/>
  <c r="L31" i="29"/>
  <c r="M31" i="29"/>
  <c r="Q31" i="29" s="1"/>
  <c r="L25" i="29"/>
  <c r="M25" i="29"/>
  <c r="Q25" i="29" s="1"/>
  <c r="M10" i="29"/>
  <c r="Q10" i="29" s="1"/>
  <c r="L10" i="29"/>
  <c r="M4" i="29"/>
  <c r="Q4" i="29" s="1"/>
  <c r="L4" i="29"/>
  <c r="M286" i="29"/>
  <c r="Q286" i="29" s="1"/>
  <c r="M280" i="29"/>
  <c r="Q280" i="29" s="1"/>
  <c r="M274" i="29"/>
  <c r="Q274" i="29" s="1"/>
  <c r="M268" i="29"/>
  <c r="Q268" i="29" s="1"/>
  <c r="M262" i="29"/>
  <c r="Q262" i="29" s="1"/>
  <c r="M251" i="29"/>
  <c r="Q251" i="29" s="1"/>
  <c r="M245" i="29"/>
  <c r="Q245" i="29" s="1"/>
  <c r="M239" i="29"/>
  <c r="Q239" i="29" s="1"/>
  <c r="M233" i="29"/>
  <c r="Q233" i="29" s="1"/>
  <c r="M224" i="29"/>
  <c r="Q224" i="29" s="1"/>
  <c r="M218" i="29"/>
  <c r="Q218" i="29" s="1"/>
  <c r="M211" i="29"/>
  <c r="Q211" i="29" s="1"/>
  <c r="M204" i="29"/>
  <c r="Q204" i="29" s="1"/>
  <c r="M198" i="29"/>
  <c r="Q198" i="29" s="1"/>
  <c r="M187" i="29"/>
  <c r="Q187" i="29" s="1"/>
  <c r="M181" i="29"/>
  <c r="Q181" i="29" s="1"/>
  <c r="M175" i="29"/>
  <c r="Q175" i="29" s="1"/>
  <c r="M169" i="29"/>
  <c r="Q169" i="29" s="1"/>
  <c r="M162" i="29"/>
  <c r="Q162" i="29" s="1"/>
  <c r="M156" i="29"/>
  <c r="Q156" i="29" s="1"/>
  <c r="M149" i="29"/>
  <c r="Q149" i="29" s="1"/>
  <c r="M143" i="29"/>
  <c r="Q143" i="29" s="1"/>
  <c r="M137" i="29"/>
  <c r="Q137" i="29" s="1"/>
  <c r="M131" i="29"/>
  <c r="Q131" i="29" s="1"/>
  <c r="M125" i="29"/>
  <c r="Q125" i="29" s="1"/>
  <c r="M119" i="29"/>
  <c r="Q119" i="29" s="1"/>
  <c r="M113" i="29"/>
  <c r="Q113" i="29" s="1"/>
  <c r="M106" i="29"/>
  <c r="Q106" i="29" s="1"/>
  <c r="M92" i="29"/>
  <c r="Q92" i="29" s="1"/>
  <c r="M86" i="29"/>
  <c r="Q86" i="29" s="1"/>
  <c r="M80" i="29"/>
  <c r="Q80" i="29" s="1"/>
  <c r="M74" i="29"/>
  <c r="Q74" i="29" s="1"/>
  <c r="M68" i="29"/>
  <c r="Q68" i="29" s="1"/>
  <c r="M62" i="29"/>
  <c r="Q62" i="29" s="1"/>
  <c r="M56" i="29"/>
  <c r="Q56" i="29" s="1"/>
  <c r="M802" i="29"/>
  <c r="Q802" i="29" s="1"/>
  <c r="L802" i="29"/>
  <c r="M796" i="29"/>
  <c r="Q796" i="29" s="1"/>
  <c r="L796" i="29"/>
  <c r="M790" i="29"/>
  <c r="Q790" i="29" s="1"/>
  <c r="L790" i="29"/>
  <c r="M784" i="29"/>
  <c r="Q784" i="29" s="1"/>
  <c r="L784" i="29"/>
  <c r="M778" i="29"/>
  <c r="Q778" i="29" s="1"/>
  <c r="L778" i="29"/>
  <c r="M772" i="29"/>
  <c r="Q772" i="29" s="1"/>
  <c r="L772" i="29"/>
  <c r="M766" i="29"/>
  <c r="Q766" i="29" s="1"/>
  <c r="L766" i="29"/>
  <c r="M760" i="29"/>
  <c r="Q760" i="29" s="1"/>
  <c r="L760" i="29"/>
  <c r="M754" i="29"/>
  <c r="Q754" i="29" s="1"/>
  <c r="L754" i="29"/>
  <c r="M748" i="29"/>
  <c r="Q748" i="29" s="1"/>
  <c r="L748" i="29"/>
  <c r="M742" i="29"/>
  <c r="Q742" i="29" s="1"/>
  <c r="L742" i="29"/>
  <c r="M736" i="29"/>
  <c r="Q736" i="29" s="1"/>
  <c r="L736" i="29"/>
  <c r="M730" i="29"/>
  <c r="Q730" i="29" s="1"/>
  <c r="L730" i="29"/>
  <c r="M724" i="29"/>
  <c r="Q724" i="29" s="1"/>
  <c r="L724" i="29"/>
  <c r="M718" i="29"/>
  <c r="Q718" i="29" s="1"/>
  <c r="L718" i="29"/>
  <c r="M712" i="29"/>
  <c r="Q712" i="29" s="1"/>
  <c r="L712" i="29"/>
  <c r="M706" i="29"/>
  <c r="Q706" i="29" s="1"/>
  <c r="L706" i="29"/>
  <c r="M700" i="29"/>
  <c r="Q700" i="29" s="1"/>
  <c r="L700" i="29"/>
  <c r="M694" i="29"/>
  <c r="Q694" i="29" s="1"/>
  <c r="L694" i="29"/>
  <c r="L687" i="29"/>
  <c r="M687" i="29"/>
  <c r="Q687" i="29" s="1"/>
  <c r="L681" i="29"/>
  <c r="M681" i="29"/>
  <c r="Q681" i="29" s="1"/>
  <c r="M675" i="29"/>
  <c r="Q675" i="29" s="1"/>
  <c r="L675" i="29"/>
  <c r="M669" i="29"/>
  <c r="Q669" i="29" s="1"/>
  <c r="L669" i="29"/>
  <c r="M642" i="29"/>
  <c r="Q642" i="29" s="1"/>
  <c r="L642" i="29"/>
  <c r="M636" i="29"/>
  <c r="Q636" i="29" s="1"/>
  <c r="L636" i="29"/>
  <c r="M630" i="29"/>
  <c r="Q630" i="29" s="1"/>
  <c r="L630" i="29"/>
  <c r="L623" i="29"/>
  <c r="M623" i="29"/>
  <c r="Q623" i="29" s="1"/>
  <c r="L617" i="29"/>
  <c r="M617" i="29"/>
  <c r="Q617" i="29" s="1"/>
  <c r="L611" i="29"/>
  <c r="M611" i="29"/>
  <c r="Q611" i="29" s="1"/>
  <c r="M605" i="29"/>
  <c r="Q605" i="29" s="1"/>
  <c r="L605" i="29"/>
  <c r="L600" i="29"/>
  <c r="M600" i="29"/>
  <c r="Q600" i="29" s="1"/>
  <c r="L591" i="29"/>
  <c r="M591" i="29"/>
  <c r="Q591" i="29" s="1"/>
  <c r="L585" i="29"/>
  <c r="M585" i="29"/>
  <c r="Q585" i="29" s="1"/>
  <c r="L578" i="29"/>
  <c r="M578" i="29"/>
  <c r="Q578" i="29" s="1"/>
  <c r="L572" i="29"/>
  <c r="M572" i="29"/>
  <c r="Q572" i="29" s="1"/>
  <c r="M566" i="29"/>
  <c r="Q566" i="29" s="1"/>
  <c r="L566" i="29"/>
  <c r="L560" i="29"/>
  <c r="M560" i="29"/>
  <c r="Q560" i="29" s="1"/>
  <c r="L554" i="29"/>
  <c r="M554" i="29"/>
  <c r="Q554" i="29" s="1"/>
  <c r="M548" i="29"/>
  <c r="Q548" i="29" s="1"/>
  <c r="L548" i="29"/>
  <c r="M542" i="29"/>
  <c r="Q542" i="29" s="1"/>
  <c r="L542" i="29"/>
  <c r="M536" i="29"/>
  <c r="Q536" i="29" s="1"/>
  <c r="L536" i="29"/>
  <c r="M530" i="29"/>
  <c r="Q530" i="29" s="1"/>
  <c r="L530" i="29"/>
  <c r="M514" i="29"/>
  <c r="Q514" i="29" s="1"/>
  <c r="L514" i="29"/>
  <c r="M507" i="29"/>
  <c r="Q507" i="29" s="1"/>
  <c r="L507" i="29"/>
  <c r="L501" i="29"/>
  <c r="M501" i="29"/>
  <c r="Q501" i="29" s="1"/>
  <c r="L487" i="29"/>
  <c r="M487" i="29"/>
  <c r="Q487" i="29" s="1"/>
  <c r="L471" i="29"/>
  <c r="M471" i="29"/>
  <c r="Q471" i="29" s="1"/>
  <c r="L465" i="29"/>
  <c r="M465" i="29"/>
  <c r="Q465" i="29" s="1"/>
  <c r="M459" i="29"/>
  <c r="Q459" i="29" s="1"/>
  <c r="L459" i="29"/>
  <c r="L453" i="29"/>
  <c r="M453" i="29"/>
  <c r="Q453" i="29" s="1"/>
  <c r="M447" i="29"/>
  <c r="Q447" i="29" s="1"/>
  <c r="L447" i="29"/>
  <c r="L444" i="29"/>
  <c r="M444" i="29"/>
  <c r="Q444" i="29" s="1"/>
  <c r="L435" i="29"/>
  <c r="M435" i="29"/>
  <c r="Q435" i="29" s="1"/>
  <c r="L429" i="29"/>
  <c r="M429" i="29"/>
  <c r="Q429" i="29" s="1"/>
  <c r="L421" i="29"/>
  <c r="M421" i="29"/>
  <c r="Q421" i="29" s="1"/>
  <c r="L417" i="29"/>
  <c r="M417" i="29"/>
  <c r="Q417" i="29" s="1"/>
  <c r="L411" i="29"/>
  <c r="M411" i="29"/>
  <c r="Q411" i="29" s="1"/>
  <c r="L405" i="29"/>
  <c r="M405" i="29"/>
  <c r="Q405" i="29" s="1"/>
  <c r="L399" i="29"/>
  <c r="M399" i="29"/>
  <c r="Q399" i="29" s="1"/>
  <c r="L392" i="29"/>
  <c r="M392" i="29"/>
  <c r="Q392" i="29" s="1"/>
  <c r="L385" i="29"/>
  <c r="M385" i="29"/>
  <c r="Q385" i="29" s="1"/>
  <c r="L376" i="29"/>
  <c r="M376" i="29"/>
  <c r="Q376" i="29" s="1"/>
  <c r="L370" i="29"/>
  <c r="M370" i="29"/>
  <c r="Q370" i="29" s="1"/>
  <c r="M364" i="29"/>
  <c r="Q364" i="29" s="1"/>
  <c r="L364" i="29"/>
  <c r="L357" i="29"/>
  <c r="M357" i="29"/>
  <c r="Q357" i="29" s="1"/>
  <c r="L340" i="29"/>
  <c r="M340" i="29"/>
  <c r="Q340" i="29" s="1"/>
  <c r="M334" i="29"/>
  <c r="Q334" i="29" s="1"/>
  <c r="L334" i="29"/>
  <c r="L328" i="29"/>
  <c r="M328" i="29"/>
  <c r="Q328" i="29" s="1"/>
  <c r="M322" i="29"/>
  <c r="Q322" i="29" s="1"/>
  <c r="L322" i="29"/>
  <c r="M315" i="29"/>
  <c r="Q315" i="29" s="1"/>
  <c r="L315" i="29"/>
  <c r="L309" i="29"/>
  <c r="M309" i="29"/>
  <c r="Q309" i="29" s="1"/>
  <c r="L303" i="29"/>
  <c r="M303" i="29"/>
  <c r="Q303" i="29" s="1"/>
  <c r="M296" i="29"/>
  <c r="Q296" i="29" s="1"/>
  <c r="L296" i="29"/>
  <c r="M646" i="29"/>
  <c r="Q646" i="29" s="1"/>
  <c r="L646" i="29"/>
  <c r="M651" i="29"/>
  <c r="Q651" i="29" s="1"/>
  <c r="L651" i="29"/>
  <c r="L12" i="29"/>
  <c r="M12" i="29"/>
  <c r="Q12" i="29" s="1"/>
  <c r="L660" i="29"/>
  <c r="M660" i="29"/>
  <c r="Q660" i="29" s="1"/>
  <c r="M654" i="29"/>
  <c r="Q654" i="29" s="1"/>
  <c r="L654" i="29"/>
  <c r="M662" i="29"/>
  <c r="Q662" i="29" s="1"/>
  <c r="L662" i="29"/>
  <c r="O688" i="29"/>
  <c r="N688" i="29"/>
  <c r="K688" i="29"/>
  <c r="N368" i="29"/>
  <c r="O368" i="29"/>
  <c r="K368" i="29"/>
  <c r="M35" i="29"/>
  <c r="Q35" i="29" s="1"/>
  <c r="L35" i="29"/>
  <c r="L8" i="29"/>
  <c r="M8" i="29"/>
  <c r="Q8" i="29" s="1"/>
  <c r="M272" i="29"/>
  <c r="Q272" i="29" s="1"/>
  <c r="M249" i="29"/>
  <c r="Q249" i="29" s="1"/>
  <c r="M228" i="29"/>
  <c r="Q228" i="29" s="1"/>
  <c r="M202" i="29"/>
  <c r="Q202" i="29" s="1"/>
  <c r="M179" i="29"/>
  <c r="Q179" i="29" s="1"/>
  <c r="M141" i="29"/>
  <c r="Q141" i="29" s="1"/>
  <c r="M117" i="29"/>
  <c r="Q117" i="29" s="1"/>
  <c r="M90" i="29"/>
  <c r="Q90" i="29" s="1"/>
  <c r="M66" i="29"/>
  <c r="Q66" i="29" s="1"/>
  <c r="L800" i="29"/>
  <c r="M800" i="29"/>
  <c r="Q800" i="29" s="1"/>
  <c r="L788" i="29"/>
  <c r="M788" i="29"/>
  <c r="Q788" i="29" s="1"/>
  <c r="M770" i="29"/>
  <c r="Q770" i="29" s="1"/>
  <c r="L770" i="29"/>
  <c r="L752" i="29"/>
  <c r="M752" i="29"/>
  <c r="Q752" i="29" s="1"/>
  <c r="M734" i="29"/>
  <c r="Q734" i="29" s="1"/>
  <c r="L734" i="29"/>
  <c r="M722" i="29"/>
  <c r="Q722" i="29" s="1"/>
  <c r="L722" i="29"/>
  <c r="M704" i="29"/>
  <c r="Q704" i="29" s="1"/>
  <c r="L704" i="29"/>
  <c r="L692" i="29"/>
  <c r="M692" i="29"/>
  <c r="Q692" i="29" s="1"/>
  <c r="M679" i="29"/>
  <c r="Q679" i="29" s="1"/>
  <c r="L679" i="29"/>
  <c r="M640" i="29"/>
  <c r="Q640" i="29" s="1"/>
  <c r="L640" i="29"/>
  <c r="L615" i="29"/>
  <c r="M615" i="29"/>
  <c r="Q615" i="29" s="1"/>
  <c r="M582" i="29"/>
  <c r="Q582" i="29" s="1"/>
  <c r="L582" i="29"/>
  <c r="M564" i="29"/>
  <c r="Q564" i="29" s="1"/>
  <c r="L564" i="29"/>
  <c r="M546" i="29"/>
  <c r="Q546" i="29" s="1"/>
  <c r="L546" i="29"/>
  <c r="M511" i="29"/>
  <c r="Q511" i="29" s="1"/>
  <c r="L511" i="29"/>
  <c r="M495" i="29"/>
  <c r="Q495" i="29" s="1"/>
  <c r="L495" i="29"/>
  <c r="M469" i="29"/>
  <c r="Q469" i="29" s="1"/>
  <c r="L469" i="29"/>
  <c r="M451" i="29"/>
  <c r="Q451" i="29" s="1"/>
  <c r="L451" i="29"/>
  <c r="L442" i="29"/>
  <c r="M442" i="29"/>
  <c r="Q442" i="29" s="1"/>
  <c r="M415" i="29"/>
  <c r="Q415" i="29" s="1"/>
  <c r="L415" i="29"/>
  <c r="M397" i="29"/>
  <c r="Q397" i="29" s="1"/>
  <c r="L397" i="29"/>
  <c r="M377" i="29"/>
  <c r="Q377" i="29" s="1"/>
  <c r="L377" i="29"/>
  <c r="M353" i="29"/>
  <c r="Q353" i="29" s="1"/>
  <c r="L353" i="29"/>
  <c r="M332" i="29"/>
  <c r="Q332" i="29" s="1"/>
  <c r="L332" i="29"/>
  <c r="M313" i="29"/>
  <c r="Q313" i="29" s="1"/>
  <c r="L313" i="29"/>
  <c r="M301" i="29"/>
  <c r="Q301" i="29" s="1"/>
  <c r="L301" i="29"/>
  <c r="M195" i="29"/>
  <c r="Q195" i="29" s="1"/>
  <c r="M104" i="29"/>
  <c r="Q104" i="29" s="1"/>
  <c r="M658" i="29"/>
  <c r="Q658" i="29" s="1"/>
  <c r="L658" i="29"/>
  <c r="L666" i="29"/>
  <c r="M666" i="29"/>
  <c r="Q666" i="29" s="1"/>
  <c r="L34" i="29"/>
  <c r="M34" i="29"/>
  <c r="Q34" i="29" s="1"/>
  <c r="M7" i="29"/>
  <c r="Q7" i="29" s="1"/>
  <c r="L7" i="29"/>
  <c r="M277" i="29"/>
  <c r="Q277" i="29" s="1"/>
  <c r="M265" i="29"/>
  <c r="Q265" i="29" s="1"/>
  <c r="M242" i="29"/>
  <c r="Q242" i="29" s="1"/>
  <c r="M215" i="29"/>
  <c r="Q215" i="29" s="1"/>
  <c r="M192" i="29"/>
  <c r="Q192" i="29" s="1"/>
  <c r="M172" i="29"/>
  <c r="Q172" i="29" s="1"/>
  <c r="M146" i="29"/>
  <c r="Q146" i="29" s="1"/>
  <c r="M128" i="29"/>
  <c r="Q128" i="29" s="1"/>
  <c r="M110" i="29"/>
  <c r="Q110" i="29" s="1"/>
  <c r="M83" i="29"/>
  <c r="Q83" i="29" s="1"/>
  <c r="M59" i="29"/>
  <c r="Q59" i="29" s="1"/>
  <c r="M793" i="29"/>
  <c r="Q793" i="29" s="1"/>
  <c r="L793" i="29"/>
  <c r="M781" i="29"/>
  <c r="Q781" i="29" s="1"/>
  <c r="L781" i="29"/>
  <c r="M763" i="29"/>
  <c r="Q763" i="29" s="1"/>
  <c r="L763" i="29"/>
  <c r="L745" i="29"/>
  <c r="M745" i="29"/>
  <c r="Q745" i="29" s="1"/>
  <c r="M739" i="29"/>
  <c r="Q739" i="29" s="1"/>
  <c r="L739" i="29"/>
  <c r="L721" i="29"/>
  <c r="M721" i="29"/>
  <c r="Q721" i="29" s="1"/>
  <c r="M703" i="29"/>
  <c r="Q703" i="29" s="1"/>
  <c r="L703" i="29"/>
  <c r="L678" i="29"/>
  <c r="M678" i="29"/>
  <c r="Q678" i="29" s="1"/>
  <c r="M633" i="29"/>
  <c r="Q633" i="29" s="1"/>
  <c r="L633" i="29"/>
  <c r="M614" i="29"/>
  <c r="Q614" i="29" s="1"/>
  <c r="L614" i="29"/>
  <c r="L603" i="29"/>
  <c r="M603" i="29"/>
  <c r="Q603" i="29" s="1"/>
  <c r="L581" i="29"/>
  <c r="M581" i="29"/>
  <c r="Q581" i="29" s="1"/>
  <c r="M563" i="29"/>
  <c r="Q563" i="29" s="1"/>
  <c r="L563" i="29"/>
  <c r="M539" i="29"/>
  <c r="Q539" i="29" s="1"/>
  <c r="L539" i="29"/>
  <c r="M510" i="29"/>
  <c r="Q510" i="29" s="1"/>
  <c r="L510" i="29"/>
  <c r="M474" i="29"/>
  <c r="Q474" i="29" s="1"/>
  <c r="L474" i="29"/>
  <c r="M456" i="29"/>
  <c r="Q456" i="29" s="1"/>
  <c r="L456" i="29"/>
  <c r="L432" i="29"/>
  <c r="M432" i="29"/>
  <c r="Q432" i="29" s="1"/>
  <c r="M414" i="29"/>
  <c r="Q414" i="29" s="1"/>
  <c r="L414" i="29"/>
  <c r="M408" i="29"/>
  <c r="Q408" i="29" s="1"/>
  <c r="L408" i="29"/>
  <c r="M374" i="29"/>
  <c r="Q374" i="29" s="1"/>
  <c r="L374" i="29"/>
  <c r="L352" i="29"/>
  <c r="M352" i="29"/>
  <c r="Q352" i="29" s="1"/>
  <c r="L318" i="29"/>
  <c r="M318" i="29"/>
  <c r="Q318" i="29" s="1"/>
  <c r="M300" i="29"/>
  <c r="Q300" i="29" s="1"/>
  <c r="L300" i="29"/>
  <c r="M194" i="29"/>
  <c r="Q194" i="29" s="1"/>
  <c r="L20" i="29"/>
  <c r="M20" i="29"/>
  <c r="Q20" i="29" s="1"/>
  <c r="L665" i="29"/>
  <c r="M665" i="29"/>
  <c r="Q665" i="29" s="1"/>
  <c r="M45" i="29"/>
  <c r="Q45" i="29" s="1"/>
  <c r="L45" i="29"/>
  <c r="L39" i="29"/>
  <c r="M39" i="29"/>
  <c r="Q39" i="29" s="1"/>
  <c r="L27" i="29"/>
  <c r="M27" i="29"/>
  <c r="Q27" i="29" s="1"/>
  <c r="M288" i="29"/>
  <c r="Q288" i="29" s="1"/>
  <c r="M270" i="29"/>
  <c r="Q270" i="29" s="1"/>
  <c r="M253" i="29"/>
  <c r="Q253" i="29" s="1"/>
  <c r="M235" i="29"/>
  <c r="Q235" i="29" s="1"/>
  <c r="M205" i="29"/>
  <c r="Q205" i="29" s="1"/>
  <c r="M183" i="29"/>
  <c r="Q183" i="29" s="1"/>
  <c r="M165" i="29"/>
  <c r="Q165" i="29" s="1"/>
  <c r="M145" i="29"/>
  <c r="Q145" i="29" s="1"/>
  <c r="M133" i="29"/>
  <c r="Q133" i="29" s="1"/>
  <c r="M108" i="29"/>
  <c r="Q108" i="29" s="1"/>
  <c r="M82" i="29"/>
  <c r="Q82" i="29" s="1"/>
  <c r="M64" i="29"/>
  <c r="Q64" i="29" s="1"/>
  <c r="M798" i="29"/>
  <c r="Q798" i="29" s="1"/>
  <c r="L798" i="29"/>
  <c r="L774" i="29"/>
  <c r="M774" i="29"/>
  <c r="Q774" i="29" s="1"/>
  <c r="M756" i="29"/>
  <c r="Q756" i="29" s="1"/>
  <c r="L756" i="29"/>
  <c r="M726" i="29"/>
  <c r="Q726" i="29" s="1"/>
  <c r="L726" i="29"/>
  <c r="M708" i="29"/>
  <c r="Q708" i="29" s="1"/>
  <c r="L708" i="29"/>
  <c r="M696" i="29"/>
  <c r="Q696" i="29" s="1"/>
  <c r="L696" i="29"/>
  <c r="L671" i="29"/>
  <c r="M671" i="29"/>
  <c r="Q671" i="29" s="1"/>
  <c r="M626" i="29"/>
  <c r="Q626" i="29" s="1"/>
  <c r="L626" i="29"/>
  <c r="M607" i="29"/>
  <c r="Q607" i="29" s="1"/>
  <c r="L607" i="29"/>
  <c r="M580" i="29"/>
  <c r="Q580" i="29" s="1"/>
  <c r="L580" i="29"/>
  <c r="M562" i="29"/>
  <c r="Q562" i="29" s="1"/>
  <c r="L562" i="29"/>
  <c r="M550" i="29"/>
  <c r="Q550" i="29" s="1"/>
  <c r="L550" i="29"/>
  <c r="M532" i="29"/>
  <c r="Q532" i="29" s="1"/>
  <c r="L532" i="29"/>
  <c r="M509" i="29"/>
  <c r="Q509" i="29" s="1"/>
  <c r="L509" i="29"/>
  <c r="L473" i="29"/>
  <c r="M473" i="29"/>
  <c r="Q473" i="29" s="1"/>
  <c r="L461" i="29"/>
  <c r="M461" i="29"/>
  <c r="Q461" i="29" s="1"/>
  <c r="M438" i="29"/>
  <c r="Q438" i="29" s="1"/>
  <c r="L438" i="29"/>
  <c r="M426" i="29"/>
  <c r="Q426" i="29" s="1"/>
  <c r="L426" i="29"/>
  <c r="L401" i="29"/>
  <c r="M401" i="29"/>
  <c r="Q401" i="29" s="1"/>
  <c r="M381" i="29"/>
  <c r="Q381" i="29" s="1"/>
  <c r="L381" i="29"/>
  <c r="L359" i="29"/>
  <c r="M359" i="29"/>
  <c r="Q359" i="29" s="1"/>
  <c r="M330" i="29"/>
  <c r="Q330" i="29" s="1"/>
  <c r="L330" i="29"/>
  <c r="L311" i="29"/>
  <c r="M311" i="29"/>
  <c r="Q311" i="29" s="1"/>
  <c r="M493" i="29"/>
  <c r="Q493" i="29" s="1"/>
  <c r="L493" i="29"/>
  <c r="N862" i="29"/>
  <c r="L856" i="29"/>
  <c r="M48" i="29"/>
  <c r="Q48" i="29" s="1"/>
  <c r="L48" i="29"/>
  <c r="M42" i="29"/>
  <c r="Q42" i="29" s="1"/>
  <c r="L42" i="29"/>
  <c r="M36" i="29"/>
  <c r="Q36" i="29" s="1"/>
  <c r="L36" i="29"/>
  <c r="M30" i="29"/>
  <c r="Q30" i="29" s="1"/>
  <c r="L30" i="29"/>
  <c r="M21" i="29"/>
  <c r="Q21" i="29" s="1"/>
  <c r="L21" i="29"/>
  <c r="M9" i="29"/>
  <c r="Q9" i="29" s="1"/>
  <c r="L9" i="29"/>
  <c r="M3" i="29"/>
  <c r="Q3" i="29" s="1"/>
  <c r="L3" i="29"/>
  <c r="M285" i="29"/>
  <c r="Q285" i="29" s="1"/>
  <c r="M279" i="29"/>
  <c r="Q279" i="29" s="1"/>
  <c r="M273" i="29"/>
  <c r="Q273" i="29" s="1"/>
  <c r="M267" i="29"/>
  <c r="Q267" i="29" s="1"/>
  <c r="M258" i="29"/>
  <c r="Q258" i="29" s="1"/>
  <c r="M250" i="29"/>
  <c r="Q250" i="29" s="1"/>
  <c r="M244" i="29"/>
  <c r="Q244" i="29" s="1"/>
  <c r="M238" i="29"/>
  <c r="Q238" i="29" s="1"/>
  <c r="M223" i="29"/>
  <c r="Q223" i="29" s="1"/>
  <c r="M217" i="29"/>
  <c r="Q217" i="29" s="1"/>
  <c r="M210" i="29"/>
  <c r="Q210" i="29" s="1"/>
  <c r="M203" i="29"/>
  <c r="Q203" i="29" s="1"/>
  <c r="M197" i="29"/>
  <c r="Q197" i="29" s="1"/>
  <c r="M186" i="29"/>
  <c r="Q186" i="29" s="1"/>
  <c r="M180" i="29"/>
  <c r="Q180" i="29" s="1"/>
  <c r="M174" i="29"/>
  <c r="Q174" i="29" s="1"/>
  <c r="M168" i="29"/>
  <c r="Q168" i="29" s="1"/>
  <c r="M161" i="29"/>
  <c r="Q161" i="29" s="1"/>
  <c r="M148" i="29"/>
  <c r="Q148" i="29" s="1"/>
  <c r="M142" i="29"/>
  <c r="Q142" i="29" s="1"/>
  <c r="M136" i="29"/>
  <c r="Q136" i="29" s="1"/>
  <c r="M130" i="29"/>
  <c r="Q130" i="29" s="1"/>
  <c r="M124" i="29"/>
  <c r="Q124" i="29" s="1"/>
  <c r="M118" i="29"/>
  <c r="Q118" i="29" s="1"/>
  <c r="M112" i="29"/>
  <c r="Q112" i="29" s="1"/>
  <c r="M105" i="29"/>
  <c r="Q105" i="29" s="1"/>
  <c r="M91" i="29"/>
  <c r="Q91" i="29" s="1"/>
  <c r="M85" i="29"/>
  <c r="Q85" i="29" s="1"/>
  <c r="M79" i="29"/>
  <c r="Q79" i="29" s="1"/>
  <c r="M73" i="29"/>
  <c r="Q73" i="29" s="1"/>
  <c r="M67" i="29"/>
  <c r="Q67" i="29" s="1"/>
  <c r="M61" i="29"/>
  <c r="Q61" i="29" s="1"/>
  <c r="M55" i="29"/>
  <c r="Q55" i="29" s="1"/>
  <c r="M801" i="29"/>
  <c r="Q801" i="29" s="1"/>
  <c r="L801" i="29"/>
  <c r="M795" i="29"/>
  <c r="Q795" i="29" s="1"/>
  <c r="L795" i="29"/>
  <c r="L789" i="29"/>
  <c r="M789" i="29"/>
  <c r="Q789" i="29" s="1"/>
  <c r="M783" i="29"/>
  <c r="Q783" i="29" s="1"/>
  <c r="L783" i="29"/>
  <c r="M777" i="29"/>
  <c r="Q777" i="29" s="1"/>
  <c r="L777" i="29"/>
  <c r="M771" i="29"/>
  <c r="Q771" i="29" s="1"/>
  <c r="L771" i="29"/>
  <c r="M765" i="29"/>
  <c r="Q765" i="29" s="1"/>
  <c r="L765" i="29"/>
  <c r="M759" i="29"/>
  <c r="Q759" i="29" s="1"/>
  <c r="L759" i="29"/>
  <c r="L753" i="29"/>
  <c r="M753" i="29"/>
  <c r="Q753" i="29" s="1"/>
  <c r="M747" i="29"/>
  <c r="Q747" i="29" s="1"/>
  <c r="L747" i="29"/>
  <c r="M741" i="29"/>
  <c r="Q741" i="29" s="1"/>
  <c r="L741" i="29"/>
  <c r="L735" i="29"/>
  <c r="M735" i="29"/>
  <c r="Q735" i="29" s="1"/>
  <c r="M729" i="29"/>
  <c r="Q729" i="29" s="1"/>
  <c r="L729" i="29"/>
  <c r="L723" i="29"/>
  <c r="M723" i="29"/>
  <c r="Q723" i="29" s="1"/>
  <c r="M717" i="29"/>
  <c r="Q717" i="29" s="1"/>
  <c r="L717" i="29"/>
  <c r="M711" i="29"/>
  <c r="Q711" i="29" s="1"/>
  <c r="L711" i="29"/>
  <c r="M705" i="29"/>
  <c r="Q705" i="29" s="1"/>
  <c r="L705" i="29"/>
  <c r="L699" i="29"/>
  <c r="M699" i="29"/>
  <c r="Q699" i="29" s="1"/>
  <c r="M693" i="29"/>
  <c r="Q693" i="29" s="1"/>
  <c r="L693" i="29"/>
  <c r="M686" i="29"/>
  <c r="Q686" i="29" s="1"/>
  <c r="L686" i="29"/>
  <c r="L680" i="29"/>
  <c r="M680" i="29"/>
  <c r="Q680" i="29" s="1"/>
  <c r="M674" i="29"/>
  <c r="Q674" i="29" s="1"/>
  <c r="L674" i="29"/>
  <c r="M668" i="29"/>
  <c r="Q668" i="29" s="1"/>
  <c r="L668" i="29"/>
  <c r="M641" i="29"/>
  <c r="Q641" i="29" s="1"/>
  <c r="L641" i="29"/>
  <c r="L635" i="29"/>
  <c r="M635" i="29"/>
  <c r="Q635" i="29" s="1"/>
  <c r="L629" i="29"/>
  <c r="M629" i="29"/>
  <c r="Q629" i="29" s="1"/>
  <c r="M622" i="29"/>
  <c r="Q622" i="29" s="1"/>
  <c r="L622" i="29"/>
  <c r="M616" i="29"/>
  <c r="Q616" i="29" s="1"/>
  <c r="L616" i="29"/>
  <c r="M610" i="29"/>
  <c r="Q610" i="29" s="1"/>
  <c r="L610" i="29"/>
  <c r="M604" i="29"/>
  <c r="Q604" i="29" s="1"/>
  <c r="L604" i="29"/>
  <c r="M599" i="29"/>
  <c r="Q599" i="29" s="1"/>
  <c r="L599" i="29"/>
  <c r="M590" i="29"/>
  <c r="Q590" i="29" s="1"/>
  <c r="L590" i="29"/>
  <c r="M583" i="29"/>
  <c r="Q583" i="29" s="1"/>
  <c r="L583" i="29"/>
  <c r="M577" i="29"/>
  <c r="Q577" i="29" s="1"/>
  <c r="L577" i="29"/>
  <c r="M571" i="29"/>
  <c r="Q571" i="29" s="1"/>
  <c r="L571" i="29"/>
  <c r="M565" i="29"/>
  <c r="Q565" i="29" s="1"/>
  <c r="L565" i="29"/>
  <c r="M559" i="29"/>
  <c r="Q559" i="29" s="1"/>
  <c r="L559" i="29"/>
  <c r="L547" i="29"/>
  <c r="M547" i="29"/>
  <c r="Q547" i="29" s="1"/>
  <c r="L541" i="29"/>
  <c r="M541" i="29"/>
  <c r="Q541" i="29" s="1"/>
  <c r="L535" i="29"/>
  <c r="M535" i="29"/>
  <c r="Q535" i="29" s="1"/>
  <c r="M529" i="29"/>
  <c r="Q529" i="29" s="1"/>
  <c r="L529" i="29"/>
  <c r="L513" i="29"/>
  <c r="M513" i="29"/>
  <c r="Q513" i="29" s="1"/>
  <c r="L506" i="29"/>
  <c r="M506" i="29"/>
  <c r="Q506" i="29" s="1"/>
  <c r="M500" i="29"/>
  <c r="Q500" i="29" s="1"/>
  <c r="L500" i="29"/>
  <c r="M486" i="29"/>
  <c r="Q486" i="29" s="1"/>
  <c r="L486" i="29"/>
  <c r="M470" i="29"/>
  <c r="Q470" i="29" s="1"/>
  <c r="L470" i="29"/>
  <c r="M464" i="29"/>
  <c r="Q464" i="29" s="1"/>
  <c r="L464" i="29"/>
  <c r="L458" i="29"/>
  <c r="M458" i="29"/>
  <c r="Q458" i="29" s="1"/>
  <c r="M452" i="29"/>
  <c r="Q452" i="29" s="1"/>
  <c r="L452" i="29"/>
  <c r="L446" i="29"/>
  <c r="M446" i="29"/>
  <c r="Q446" i="29" s="1"/>
  <c r="M443" i="29"/>
  <c r="Q443" i="29" s="1"/>
  <c r="L443" i="29"/>
  <c r="M434" i="29"/>
  <c r="Q434" i="29" s="1"/>
  <c r="L434" i="29"/>
  <c r="L428" i="29"/>
  <c r="M428" i="29"/>
  <c r="Q428" i="29" s="1"/>
  <c r="M420" i="29"/>
  <c r="Q420" i="29" s="1"/>
  <c r="L420" i="29"/>
  <c r="L416" i="29"/>
  <c r="M416" i="29"/>
  <c r="Q416" i="29" s="1"/>
  <c r="M410" i="29"/>
  <c r="Q410" i="29" s="1"/>
  <c r="L410" i="29"/>
  <c r="M404" i="29"/>
  <c r="Q404" i="29" s="1"/>
  <c r="L404" i="29"/>
  <c r="M398" i="29"/>
  <c r="Q398" i="29" s="1"/>
  <c r="L398" i="29"/>
  <c r="L391" i="29"/>
  <c r="M391" i="29"/>
  <c r="Q391" i="29" s="1"/>
  <c r="M384" i="29"/>
  <c r="Q384" i="29" s="1"/>
  <c r="L384" i="29"/>
  <c r="M369" i="29"/>
  <c r="Q369" i="29" s="1"/>
  <c r="L369" i="29"/>
  <c r="M363" i="29"/>
  <c r="Q363" i="29" s="1"/>
  <c r="L363" i="29"/>
  <c r="M356" i="29"/>
  <c r="Q356" i="29" s="1"/>
  <c r="L356" i="29"/>
  <c r="M339" i="29"/>
  <c r="Q339" i="29" s="1"/>
  <c r="L339" i="29"/>
  <c r="L333" i="29"/>
  <c r="M333" i="29"/>
  <c r="Q333" i="29" s="1"/>
  <c r="M327" i="29"/>
  <c r="Q327" i="29" s="1"/>
  <c r="L327" i="29"/>
  <c r="L321" i="29"/>
  <c r="M321" i="29"/>
  <c r="Q321" i="29" s="1"/>
  <c r="M314" i="29"/>
  <c r="Q314" i="29" s="1"/>
  <c r="L314" i="29"/>
  <c r="M308" i="29"/>
  <c r="Q308" i="29" s="1"/>
  <c r="L308" i="29"/>
  <c r="L302" i="29"/>
  <c r="M302" i="29"/>
  <c r="Q302" i="29" s="1"/>
  <c r="M645" i="29"/>
  <c r="Q645" i="29" s="1"/>
  <c r="L645" i="29"/>
  <c r="L490" i="29"/>
  <c r="M490" i="29"/>
  <c r="Q490" i="29" s="1"/>
  <c r="L390" i="29"/>
  <c r="M390" i="29"/>
  <c r="Q390" i="29" s="1"/>
  <c r="L11" i="29"/>
  <c r="M11" i="29"/>
  <c r="Q11" i="29" s="1"/>
  <c r="L659" i="29"/>
  <c r="M659" i="29"/>
  <c r="Q659" i="29" s="1"/>
  <c r="L653" i="29"/>
  <c r="M653" i="29"/>
  <c r="Q653" i="29" s="1"/>
  <c r="M109" i="29"/>
  <c r="Q109" i="29" s="1"/>
  <c r="M229" i="29"/>
  <c r="Q229" i="29" s="1"/>
  <c r="M553" i="29"/>
  <c r="Q553" i="29" s="1"/>
  <c r="L553" i="29"/>
  <c r="L425" i="29"/>
  <c r="M425" i="29"/>
  <c r="Q425" i="29" s="1"/>
  <c r="M103" i="29"/>
  <c r="Q103" i="29" s="1"/>
  <c r="L388" i="29"/>
  <c r="M388" i="29"/>
  <c r="Q388" i="29" s="1"/>
  <c r="M859" i="29"/>
  <c r="Q859" i="29" s="1"/>
  <c r="M822" i="29"/>
  <c r="Q822" i="29" s="1"/>
  <c r="F31" i="47"/>
  <c r="F33" i="47" s="1"/>
  <c r="M826" i="29"/>
  <c r="Q826" i="29" s="1"/>
  <c r="L826" i="29"/>
  <c r="L820" i="29"/>
  <c r="M820" i="29"/>
  <c r="Q820" i="29" s="1"/>
  <c r="L814" i="29"/>
  <c r="M814" i="29"/>
  <c r="Q814" i="29" s="1"/>
  <c r="L844" i="29"/>
  <c r="M844" i="29"/>
  <c r="Q844" i="29" s="1"/>
  <c r="O859" i="29"/>
  <c r="K859" i="29"/>
  <c r="L853" i="29"/>
  <c r="M853" i="29"/>
  <c r="Q853" i="29" s="1"/>
  <c r="L852" i="29"/>
  <c r="O824" i="29"/>
  <c r="K824" i="29"/>
  <c r="N824" i="29"/>
  <c r="O818" i="29"/>
  <c r="N818" i="29"/>
  <c r="K818" i="29"/>
  <c r="O857" i="29"/>
  <c r="K857" i="29"/>
  <c r="L810" i="29"/>
  <c r="M834" i="29"/>
  <c r="Q834" i="29" s="1"/>
  <c r="O834" i="29"/>
  <c r="N834" i="29"/>
  <c r="M828" i="29"/>
  <c r="Q828" i="29" s="1"/>
  <c r="L828" i="29"/>
  <c r="L861" i="29"/>
  <c r="M861" i="29"/>
  <c r="Q861" i="29" s="1"/>
  <c r="N859" i="29"/>
  <c r="M831" i="29"/>
  <c r="Q831" i="29" s="1"/>
  <c r="O838" i="29"/>
  <c r="N838" i="29"/>
  <c r="M837" i="29"/>
  <c r="Q837" i="29" s="1"/>
  <c r="L837" i="29"/>
  <c r="O831" i="29"/>
  <c r="K831" i="29"/>
  <c r="L825" i="29"/>
  <c r="M825" i="29"/>
  <c r="Q825" i="29" s="1"/>
  <c r="M843" i="29"/>
  <c r="Q843" i="29" s="1"/>
  <c r="L833" i="29"/>
  <c r="M833" i="29"/>
  <c r="Q833" i="29" s="1"/>
  <c r="M845" i="29"/>
  <c r="Q845" i="29" s="1"/>
  <c r="L845" i="29"/>
  <c r="O819" i="29"/>
  <c r="K819" i="29"/>
  <c r="M813" i="29"/>
  <c r="Q813" i="29" s="1"/>
  <c r="L813" i="29"/>
  <c r="O843" i="29"/>
  <c r="N843" i="29"/>
  <c r="M819" i="29"/>
  <c r="Q819" i="29" s="1"/>
  <c r="M838" i="29"/>
  <c r="Q838" i="29" s="1"/>
  <c r="O850" i="29"/>
  <c r="N850" i="29"/>
  <c r="N857" i="29"/>
  <c r="O822" i="29"/>
  <c r="N822" i="29"/>
  <c r="K822" i="29"/>
  <c r="O812" i="29"/>
  <c r="K812" i="29"/>
  <c r="O830" i="29"/>
  <c r="N830" i="29"/>
  <c r="O849" i="29"/>
  <c r="K849" i="29"/>
  <c r="M835" i="29"/>
  <c r="Q835" i="29" s="1"/>
  <c r="L835" i="29"/>
  <c r="M829" i="29"/>
  <c r="Q829" i="29" s="1"/>
  <c r="L829" i="29"/>
  <c r="O823" i="29"/>
  <c r="N823" i="29"/>
  <c r="K823" i="29"/>
  <c r="L817" i="29"/>
  <c r="M817" i="29"/>
  <c r="Q817" i="29" s="1"/>
  <c r="M811" i="29"/>
  <c r="Q811" i="29" s="1"/>
  <c r="L811" i="29"/>
  <c r="L815" i="29"/>
  <c r="M827" i="29"/>
  <c r="Q827" i="29" s="1"/>
  <c r="L827" i="29"/>
  <c r="L821" i="29"/>
  <c r="M821" i="29"/>
  <c r="Q821" i="29" s="1"/>
  <c r="N819" i="29"/>
  <c r="K843" i="29"/>
  <c r="K838" i="29"/>
  <c r="F2" i="45"/>
  <c r="F31" i="45" s="1"/>
  <c r="F33" i="45" s="1"/>
  <c r="F61" i="42"/>
  <c r="J61" i="42"/>
  <c r="N61" i="42"/>
  <c r="B61" i="42"/>
  <c r="R61" i="42"/>
  <c r="N8" i="29" l="1"/>
  <c r="O858" i="29"/>
  <c r="N41" i="29"/>
  <c r="N849" i="29"/>
  <c r="O828" i="29"/>
  <c r="O820" i="29"/>
  <c r="N35" i="29"/>
  <c r="N37" i="29"/>
  <c r="O832" i="29"/>
  <c r="K855" i="29"/>
  <c r="N833" i="29"/>
  <c r="N856" i="29"/>
  <c r="K845" i="29"/>
  <c r="K852" i="29"/>
  <c r="K844" i="29"/>
  <c r="N11" i="29"/>
  <c r="N21" i="29"/>
  <c r="N42" i="29"/>
  <c r="N842" i="29"/>
  <c r="O860" i="29"/>
  <c r="N45" i="29"/>
  <c r="K825" i="29"/>
  <c r="N14" i="29"/>
  <c r="O848" i="29"/>
  <c r="N48" i="29"/>
  <c r="N12" i="29"/>
  <c r="N32" i="29"/>
  <c r="N40" i="29"/>
  <c r="N29" i="29"/>
  <c r="O847" i="29"/>
  <c r="O851" i="29"/>
  <c r="O814" i="29"/>
  <c r="O861" i="29"/>
  <c r="N16" i="29"/>
  <c r="N836" i="29"/>
  <c r="O854" i="29"/>
  <c r="O816" i="29"/>
  <c r="K832" i="29"/>
  <c r="K816" i="29"/>
  <c r="N832" i="29"/>
  <c r="N855" i="29"/>
  <c r="N816" i="29"/>
  <c r="N854" i="29"/>
  <c r="K854" i="29"/>
  <c r="O855" i="29"/>
  <c r="N858" i="29"/>
  <c r="N851" i="29"/>
  <c r="K847" i="29"/>
  <c r="N847" i="29"/>
  <c r="K851" i="29"/>
  <c r="N848" i="29"/>
  <c r="K848" i="29"/>
  <c r="K860" i="29"/>
  <c r="K842" i="29"/>
  <c r="O842" i="29"/>
  <c r="K820" i="29"/>
  <c r="N860" i="29"/>
  <c r="O836" i="29"/>
  <c r="O856" i="29"/>
  <c r="K856" i="29"/>
  <c r="K858" i="29"/>
  <c r="N321" i="29"/>
  <c r="O321" i="29"/>
  <c r="K321" i="29"/>
  <c r="O391" i="29"/>
  <c r="N391" i="29"/>
  <c r="K391" i="29"/>
  <c r="O311" i="29"/>
  <c r="N311" i="29"/>
  <c r="K311" i="29"/>
  <c r="O774" i="29"/>
  <c r="N774" i="29"/>
  <c r="K774" i="29"/>
  <c r="O82" i="29"/>
  <c r="N82" i="29"/>
  <c r="K82" i="29"/>
  <c r="O39" i="29"/>
  <c r="K39" i="29"/>
  <c r="O678" i="29"/>
  <c r="N678" i="29"/>
  <c r="K678" i="29"/>
  <c r="O195" i="29"/>
  <c r="N195" i="29"/>
  <c r="K195" i="29"/>
  <c r="O303" i="29"/>
  <c r="N303" i="29"/>
  <c r="K303" i="29"/>
  <c r="O501" i="29"/>
  <c r="N501" i="29"/>
  <c r="K501" i="29"/>
  <c r="O681" i="29"/>
  <c r="N681" i="29"/>
  <c r="K681" i="29"/>
  <c r="O732" i="29"/>
  <c r="N732" i="29"/>
  <c r="K732" i="29"/>
  <c r="O306" i="29"/>
  <c r="N306" i="29"/>
  <c r="K306" i="29"/>
  <c r="O463" i="29"/>
  <c r="N463" i="29"/>
  <c r="K463" i="29"/>
  <c r="O728" i="29"/>
  <c r="N728" i="29"/>
  <c r="K728" i="29"/>
  <c r="O406" i="29"/>
  <c r="N406" i="29"/>
  <c r="K406" i="29"/>
  <c r="O601" i="29"/>
  <c r="N601" i="29"/>
  <c r="K601" i="29"/>
  <c r="O676" i="29"/>
  <c r="N676" i="29"/>
  <c r="K676" i="29"/>
  <c r="O785" i="29"/>
  <c r="N785" i="29"/>
  <c r="K785" i="29"/>
  <c r="O803" i="29"/>
  <c r="N803" i="29"/>
  <c r="K803" i="29"/>
  <c r="O69" i="29"/>
  <c r="N69" i="29"/>
  <c r="K69" i="29"/>
  <c r="O87" i="29"/>
  <c r="N87" i="29"/>
  <c r="K87" i="29"/>
  <c r="O212" i="29"/>
  <c r="N212" i="29"/>
  <c r="K212" i="29"/>
  <c r="N234" i="29"/>
  <c r="O234" i="29"/>
  <c r="K234" i="29"/>
  <c r="O252" i="29"/>
  <c r="N252" i="29"/>
  <c r="K252" i="29"/>
  <c r="N275" i="29"/>
  <c r="O275" i="29"/>
  <c r="K275" i="29"/>
  <c r="O656" i="29"/>
  <c r="N656" i="29"/>
  <c r="K656" i="29"/>
  <c r="O324" i="29"/>
  <c r="N324" i="29"/>
  <c r="K324" i="29"/>
  <c r="O683" i="29"/>
  <c r="N683" i="29"/>
  <c r="K683" i="29"/>
  <c r="O70" i="29"/>
  <c r="N70" i="29"/>
  <c r="K70" i="29"/>
  <c r="O360" i="29"/>
  <c r="N360" i="29"/>
  <c r="K360" i="29"/>
  <c r="O402" i="29"/>
  <c r="N402" i="29"/>
  <c r="K402" i="29"/>
  <c r="O439" i="29"/>
  <c r="N439" i="29"/>
  <c r="K439" i="29"/>
  <c r="O517" i="29"/>
  <c r="K517" i="29"/>
  <c r="N517" i="29"/>
  <c r="O639" i="29"/>
  <c r="N639" i="29"/>
  <c r="K639" i="29"/>
  <c r="N715" i="29"/>
  <c r="O715" i="29"/>
  <c r="K715" i="29"/>
  <c r="N769" i="29"/>
  <c r="O769" i="29"/>
  <c r="K769" i="29"/>
  <c r="O236" i="29"/>
  <c r="N236" i="29"/>
  <c r="K236" i="29"/>
  <c r="O491" i="29"/>
  <c r="N491" i="29"/>
  <c r="K491" i="29"/>
  <c r="O367" i="29"/>
  <c r="N367" i="29"/>
  <c r="K367" i="29"/>
  <c r="O419" i="29"/>
  <c r="N419" i="29"/>
  <c r="K419" i="29"/>
  <c r="O457" i="29"/>
  <c r="N457" i="29"/>
  <c r="K457" i="29"/>
  <c r="O540" i="29"/>
  <c r="N540" i="29"/>
  <c r="K540" i="29"/>
  <c r="O596" i="29"/>
  <c r="N596" i="29"/>
  <c r="K596" i="29"/>
  <c r="O634" i="29"/>
  <c r="N634" i="29"/>
  <c r="K634" i="29"/>
  <c r="O740" i="29"/>
  <c r="N740" i="29"/>
  <c r="K740" i="29"/>
  <c r="O794" i="29"/>
  <c r="N794" i="29"/>
  <c r="K794" i="29"/>
  <c r="O147" i="29"/>
  <c r="N147" i="29"/>
  <c r="K147" i="29"/>
  <c r="N193" i="29"/>
  <c r="O193" i="29"/>
  <c r="K193" i="29"/>
  <c r="N820" i="29"/>
  <c r="N308" i="29"/>
  <c r="O308" i="29"/>
  <c r="K308" i="29"/>
  <c r="N327" i="29"/>
  <c r="O327" i="29"/>
  <c r="K327" i="29"/>
  <c r="O356" i="29"/>
  <c r="N356" i="29"/>
  <c r="K356" i="29"/>
  <c r="O398" i="29"/>
  <c r="N398" i="29"/>
  <c r="K398" i="29"/>
  <c r="N434" i="29"/>
  <c r="O434" i="29"/>
  <c r="K434" i="29"/>
  <c r="N452" i="29"/>
  <c r="O452" i="29"/>
  <c r="K452" i="29"/>
  <c r="N470" i="29"/>
  <c r="O470" i="29"/>
  <c r="K470" i="29"/>
  <c r="O559" i="29"/>
  <c r="N559" i="29"/>
  <c r="K559" i="29"/>
  <c r="O577" i="29"/>
  <c r="N577" i="29"/>
  <c r="K577" i="29"/>
  <c r="O599" i="29"/>
  <c r="N599" i="29"/>
  <c r="K599" i="29"/>
  <c r="O616" i="29"/>
  <c r="N616" i="29"/>
  <c r="K616" i="29"/>
  <c r="O674" i="29"/>
  <c r="N674" i="29"/>
  <c r="K674" i="29"/>
  <c r="O693" i="29"/>
  <c r="N693" i="29"/>
  <c r="K693" i="29"/>
  <c r="O711" i="29"/>
  <c r="N711" i="29"/>
  <c r="K711" i="29"/>
  <c r="O729" i="29"/>
  <c r="N729" i="29"/>
  <c r="K729" i="29"/>
  <c r="O747" i="29"/>
  <c r="N747" i="29"/>
  <c r="K747" i="29"/>
  <c r="O765" i="29"/>
  <c r="K765" i="29"/>
  <c r="N765" i="29"/>
  <c r="O783" i="29"/>
  <c r="N783" i="29"/>
  <c r="K783" i="29"/>
  <c r="O801" i="29"/>
  <c r="K801" i="29"/>
  <c r="N801" i="29"/>
  <c r="O112" i="29"/>
  <c r="N112" i="29"/>
  <c r="K112" i="29"/>
  <c r="O130" i="29"/>
  <c r="N130" i="29"/>
  <c r="K130" i="29"/>
  <c r="O148" i="29"/>
  <c r="N148" i="29"/>
  <c r="K148" i="29"/>
  <c r="O168" i="29"/>
  <c r="N168" i="29"/>
  <c r="K168" i="29"/>
  <c r="O186" i="29"/>
  <c r="N186" i="29"/>
  <c r="K186" i="29"/>
  <c r="O238" i="29"/>
  <c r="K238" i="29"/>
  <c r="N238" i="29"/>
  <c r="O258" i="29"/>
  <c r="K258" i="29"/>
  <c r="N258" i="29"/>
  <c r="O279" i="29"/>
  <c r="K279" i="29"/>
  <c r="N279" i="29"/>
  <c r="K9" i="29"/>
  <c r="O9" i="29"/>
  <c r="K36" i="29"/>
  <c r="O36" i="29"/>
  <c r="O330" i="29"/>
  <c r="N330" i="29"/>
  <c r="K330" i="29"/>
  <c r="O532" i="29"/>
  <c r="N532" i="29"/>
  <c r="K532" i="29"/>
  <c r="O580" i="29"/>
  <c r="N580" i="29"/>
  <c r="K580" i="29"/>
  <c r="O726" i="29"/>
  <c r="N726" i="29"/>
  <c r="K726" i="29"/>
  <c r="O798" i="29"/>
  <c r="N798" i="29"/>
  <c r="K798" i="29"/>
  <c r="N165" i="29"/>
  <c r="K165" i="29"/>
  <c r="O165" i="29"/>
  <c r="N235" i="29"/>
  <c r="K235" i="29"/>
  <c r="O235" i="29"/>
  <c r="N288" i="29"/>
  <c r="O288" i="29"/>
  <c r="K288" i="29"/>
  <c r="K45" i="29"/>
  <c r="O45" i="29"/>
  <c r="O194" i="29"/>
  <c r="N194" i="29"/>
  <c r="K194" i="29"/>
  <c r="O414" i="29"/>
  <c r="N414" i="29"/>
  <c r="K414" i="29"/>
  <c r="O474" i="29"/>
  <c r="N474" i="29"/>
  <c r="K474" i="29"/>
  <c r="O563" i="29"/>
  <c r="N563" i="29"/>
  <c r="K563" i="29"/>
  <c r="O614" i="29"/>
  <c r="N614" i="29"/>
  <c r="K614" i="29"/>
  <c r="O703" i="29"/>
  <c r="N703" i="29"/>
  <c r="K703" i="29"/>
  <c r="O793" i="29"/>
  <c r="N793" i="29"/>
  <c r="K793" i="29"/>
  <c r="O172" i="29"/>
  <c r="N172" i="29"/>
  <c r="K172" i="29"/>
  <c r="O242" i="29"/>
  <c r="K242" i="29"/>
  <c r="N242" i="29"/>
  <c r="K7" i="29"/>
  <c r="O7" i="29"/>
  <c r="O658" i="29"/>
  <c r="N658" i="29"/>
  <c r="K658" i="29"/>
  <c r="O301" i="29"/>
  <c r="N301" i="29"/>
  <c r="K301" i="29"/>
  <c r="O353" i="29"/>
  <c r="N353" i="29"/>
  <c r="K353" i="29"/>
  <c r="O415" i="29"/>
  <c r="N415" i="29"/>
  <c r="K415" i="29"/>
  <c r="O469" i="29"/>
  <c r="N469" i="29"/>
  <c r="K469" i="29"/>
  <c r="O546" i="29"/>
  <c r="N546" i="29"/>
  <c r="K546" i="29"/>
  <c r="O734" i="29"/>
  <c r="N734" i="29"/>
  <c r="K734" i="29"/>
  <c r="O179" i="29"/>
  <c r="N179" i="29"/>
  <c r="K179" i="29"/>
  <c r="K35" i="29"/>
  <c r="O35" i="29"/>
  <c r="O646" i="29"/>
  <c r="N646" i="29"/>
  <c r="K646" i="29"/>
  <c r="N507" i="29"/>
  <c r="O507" i="29"/>
  <c r="K507" i="29"/>
  <c r="O536" i="29"/>
  <c r="N536" i="29"/>
  <c r="K536" i="29"/>
  <c r="N630" i="29"/>
  <c r="O630" i="29"/>
  <c r="K630" i="29"/>
  <c r="O669" i="29"/>
  <c r="N669" i="29"/>
  <c r="K669" i="29"/>
  <c r="O706" i="29"/>
  <c r="N706" i="29"/>
  <c r="K706" i="29"/>
  <c r="O724" i="29"/>
  <c r="N724" i="29"/>
  <c r="K724" i="29"/>
  <c r="O742" i="29"/>
  <c r="N742" i="29"/>
  <c r="K742" i="29"/>
  <c r="O760" i="29"/>
  <c r="N760" i="29"/>
  <c r="K760" i="29"/>
  <c r="O778" i="29"/>
  <c r="N778" i="29"/>
  <c r="K778" i="29"/>
  <c r="O796" i="29"/>
  <c r="N796" i="29"/>
  <c r="K796" i="29"/>
  <c r="N62" i="29"/>
  <c r="O62" i="29"/>
  <c r="K62" i="29"/>
  <c r="O80" i="29"/>
  <c r="N80" i="29"/>
  <c r="K80" i="29"/>
  <c r="O106" i="29"/>
  <c r="K106" i="29"/>
  <c r="N106" i="29"/>
  <c r="N204" i="29"/>
  <c r="K204" i="29"/>
  <c r="O204" i="29"/>
  <c r="N224" i="29"/>
  <c r="K224" i="29"/>
  <c r="O224" i="29"/>
  <c r="N245" i="29"/>
  <c r="K245" i="29"/>
  <c r="O245" i="29"/>
  <c r="N268" i="29"/>
  <c r="O268" i="29"/>
  <c r="K268" i="29"/>
  <c r="N286" i="29"/>
  <c r="O286" i="29"/>
  <c r="K286" i="29"/>
  <c r="O305" i="29"/>
  <c r="N305" i="29"/>
  <c r="K305" i="29"/>
  <c r="O455" i="29"/>
  <c r="N455" i="29"/>
  <c r="K455" i="29"/>
  <c r="O690" i="29"/>
  <c r="N690" i="29"/>
  <c r="K690" i="29"/>
  <c r="O750" i="29"/>
  <c r="N750" i="29"/>
  <c r="K750" i="29"/>
  <c r="O804" i="29"/>
  <c r="N804" i="29"/>
  <c r="K804" i="29"/>
  <c r="O121" i="29"/>
  <c r="N121" i="29"/>
  <c r="K121" i="29"/>
  <c r="N190" i="29"/>
  <c r="K190" i="29"/>
  <c r="O190" i="29"/>
  <c r="N247" i="29"/>
  <c r="O247" i="29"/>
  <c r="K247" i="29"/>
  <c r="O657" i="29"/>
  <c r="N657" i="29"/>
  <c r="K657" i="29"/>
  <c r="O325" i="29"/>
  <c r="N325" i="29"/>
  <c r="K325" i="29"/>
  <c r="O427" i="29"/>
  <c r="N427" i="29"/>
  <c r="K427" i="29"/>
  <c r="O504" i="29"/>
  <c r="N504" i="29"/>
  <c r="K504" i="29"/>
  <c r="O575" i="29"/>
  <c r="N575" i="29"/>
  <c r="K575" i="29"/>
  <c r="N697" i="29"/>
  <c r="O697" i="29"/>
  <c r="K697" i="29"/>
  <c r="N751" i="29"/>
  <c r="O751" i="29"/>
  <c r="K751" i="29"/>
  <c r="O134" i="29"/>
  <c r="N134" i="29"/>
  <c r="K134" i="29"/>
  <c r="O248" i="29"/>
  <c r="N248" i="29"/>
  <c r="K248" i="29"/>
  <c r="N96" i="29"/>
  <c r="K96" i="29"/>
  <c r="O96" i="29"/>
  <c r="N209" i="29"/>
  <c r="K209" i="29"/>
  <c r="O209" i="29"/>
  <c r="O284" i="29"/>
  <c r="N284" i="29"/>
  <c r="K284" i="29"/>
  <c r="K14" i="29"/>
  <c r="O14" i="29"/>
  <c r="O298" i="29"/>
  <c r="N298" i="29"/>
  <c r="K298" i="29"/>
  <c r="O316" i="29"/>
  <c r="N316" i="29"/>
  <c r="K316" i="29"/>
  <c r="O335" i="29"/>
  <c r="N335" i="29"/>
  <c r="K335" i="29"/>
  <c r="O365" i="29"/>
  <c r="N365" i="29"/>
  <c r="K365" i="29"/>
  <c r="O386" i="29"/>
  <c r="N386" i="29"/>
  <c r="K386" i="29"/>
  <c r="O437" i="29"/>
  <c r="N437" i="29"/>
  <c r="K437" i="29"/>
  <c r="O460" i="29"/>
  <c r="N460" i="29"/>
  <c r="K460" i="29"/>
  <c r="O515" i="29"/>
  <c r="N515" i="29"/>
  <c r="K515" i="29"/>
  <c r="O637" i="29"/>
  <c r="N637" i="29"/>
  <c r="K637" i="29"/>
  <c r="O695" i="29"/>
  <c r="N695" i="29"/>
  <c r="K695" i="29"/>
  <c r="O731" i="29"/>
  <c r="N731" i="29"/>
  <c r="K731" i="29"/>
  <c r="O767" i="29"/>
  <c r="N767" i="29"/>
  <c r="K767" i="29"/>
  <c r="O114" i="29"/>
  <c r="N114" i="29"/>
  <c r="K114" i="29"/>
  <c r="O132" i="29"/>
  <c r="N132" i="29"/>
  <c r="K132" i="29"/>
  <c r="O150" i="29"/>
  <c r="N150" i="29"/>
  <c r="K150" i="29"/>
  <c r="O170" i="29"/>
  <c r="N170" i="29"/>
  <c r="K170" i="29"/>
  <c r="O189" i="29"/>
  <c r="N189" i="29"/>
  <c r="K189" i="29"/>
  <c r="O5" i="29"/>
  <c r="K5" i="29"/>
  <c r="O32" i="29"/>
  <c r="K32" i="29"/>
  <c r="O50" i="29"/>
  <c r="K50" i="29"/>
  <c r="K22" i="29"/>
  <c r="O22" i="29"/>
  <c r="O351" i="29"/>
  <c r="N351" i="29"/>
  <c r="K351" i="29"/>
  <c r="O449" i="29"/>
  <c r="N449" i="29"/>
  <c r="K449" i="29"/>
  <c r="O538" i="29"/>
  <c r="N538" i="29"/>
  <c r="K538" i="29"/>
  <c r="O744" i="29"/>
  <c r="N744" i="29"/>
  <c r="K744" i="29"/>
  <c r="O792" i="29"/>
  <c r="N792" i="29"/>
  <c r="K792" i="29"/>
  <c r="N139" i="29"/>
  <c r="K139" i="29"/>
  <c r="O139" i="29"/>
  <c r="N200" i="29"/>
  <c r="O200" i="29"/>
  <c r="K200" i="29"/>
  <c r="N276" i="29"/>
  <c r="O276" i="29"/>
  <c r="K276" i="29"/>
  <c r="O649" i="29"/>
  <c r="N649" i="29"/>
  <c r="K649" i="29"/>
  <c r="O569" i="29"/>
  <c r="N569" i="29"/>
  <c r="K569" i="29"/>
  <c r="K65" i="29"/>
  <c r="O65" i="29"/>
  <c r="N65" i="29"/>
  <c r="O122" i="29"/>
  <c r="N122" i="29"/>
  <c r="K122" i="29"/>
  <c r="O178" i="29"/>
  <c r="N178" i="29"/>
  <c r="K178" i="29"/>
  <c r="K18" i="29"/>
  <c r="O18" i="29"/>
  <c r="N18" i="29"/>
  <c r="N84" i="29"/>
  <c r="K84" i="29"/>
  <c r="O84" i="29"/>
  <c r="O243" i="29"/>
  <c r="N243" i="29"/>
  <c r="K243" i="29"/>
  <c r="O290" i="29"/>
  <c r="N290" i="29"/>
  <c r="K290" i="29"/>
  <c r="N390" i="29"/>
  <c r="O390" i="29"/>
  <c r="K390" i="29"/>
  <c r="N428" i="29"/>
  <c r="O428" i="29"/>
  <c r="K428" i="29"/>
  <c r="N446" i="29"/>
  <c r="O446" i="29"/>
  <c r="K446" i="29"/>
  <c r="O629" i="29"/>
  <c r="N629" i="29"/>
  <c r="K629" i="29"/>
  <c r="O723" i="29"/>
  <c r="N723" i="29"/>
  <c r="K723" i="29"/>
  <c r="O79" i="29"/>
  <c r="N79" i="29"/>
  <c r="K79" i="29"/>
  <c r="O250" i="29"/>
  <c r="N250" i="29"/>
  <c r="K250" i="29"/>
  <c r="O603" i="29"/>
  <c r="N603" i="29"/>
  <c r="K603" i="29"/>
  <c r="O66" i="29"/>
  <c r="N66" i="29"/>
  <c r="K66" i="29"/>
  <c r="O340" i="29"/>
  <c r="N340" i="29"/>
  <c r="K340" i="29"/>
  <c r="O411" i="29"/>
  <c r="N411" i="29"/>
  <c r="K411" i="29"/>
  <c r="O465" i="29"/>
  <c r="N465" i="29"/>
  <c r="K465" i="29"/>
  <c r="O156" i="29"/>
  <c r="N156" i="29"/>
  <c r="K156" i="29"/>
  <c r="O516" i="29"/>
  <c r="N516" i="29"/>
  <c r="K516" i="29"/>
  <c r="O786" i="29"/>
  <c r="N786" i="29"/>
  <c r="K786" i="29"/>
  <c r="N94" i="29"/>
  <c r="K94" i="29"/>
  <c r="O94" i="29"/>
  <c r="O51" i="29"/>
  <c r="K51" i="29"/>
  <c r="O378" i="29"/>
  <c r="N378" i="29"/>
  <c r="K378" i="29"/>
  <c r="O307" i="29"/>
  <c r="N307" i="29"/>
  <c r="K307" i="29"/>
  <c r="O685" i="29"/>
  <c r="N685" i="29"/>
  <c r="K685" i="29"/>
  <c r="O422" i="29"/>
  <c r="N422" i="29"/>
  <c r="K422" i="29"/>
  <c r="O488" i="29"/>
  <c r="N488" i="29"/>
  <c r="K488" i="29"/>
  <c r="O579" i="29"/>
  <c r="N579" i="29"/>
  <c r="K579" i="29"/>
  <c r="O749" i="29"/>
  <c r="N749" i="29"/>
  <c r="K749" i="29"/>
  <c r="N852" i="29"/>
  <c r="N490" i="29"/>
  <c r="O490" i="29"/>
  <c r="K490" i="29"/>
  <c r="O416" i="29"/>
  <c r="N416" i="29"/>
  <c r="K416" i="29"/>
  <c r="N506" i="29"/>
  <c r="O506" i="29"/>
  <c r="K506" i="29"/>
  <c r="O401" i="29"/>
  <c r="N401" i="29"/>
  <c r="K401" i="29"/>
  <c r="O461" i="29"/>
  <c r="N461" i="29"/>
  <c r="K461" i="29"/>
  <c r="O110" i="29"/>
  <c r="N110" i="29"/>
  <c r="K110" i="29"/>
  <c r="O692" i="29"/>
  <c r="N692" i="29"/>
  <c r="K692" i="29"/>
  <c r="O357" i="29"/>
  <c r="N357" i="29"/>
  <c r="K357" i="29"/>
  <c r="O417" i="29"/>
  <c r="N417" i="29"/>
  <c r="K417" i="29"/>
  <c r="N591" i="29"/>
  <c r="O591" i="29"/>
  <c r="K591" i="29"/>
  <c r="N611" i="29"/>
  <c r="O611" i="29"/>
  <c r="K611" i="29"/>
  <c r="O125" i="29"/>
  <c r="N125" i="29"/>
  <c r="K125" i="29"/>
  <c r="O25" i="29"/>
  <c r="K25" i="29"/>
  <c r="O71" i="29"/>
  <c r="N71" i="29"/>
  <c r="K71" i="29"/>
  <c r="N184" i="29"/>
  <c r="K184" i="29"/>
  <c r="O184" i="29"/>
  <c r="K28" i="29"/>
  <c r="O28" i="29"/>
  <c r="O505" i="29"/>
  <c r="N505" i="29"/>
  <c r="K505" i="29"/>
  <c r="N123" i="29"/>
  <c r="O123" i="29"/>
  <c r="K123" i="29"/>
  <c r="K19" i="29"/>
  <c r="O19" i="29"/>
  <c r="O371" i="29"/>
  <c r="N371" i="29"/>
  <c r="K371" i="29"/>
  <c r="O531" i="29"/>
  <c r="N531" i="29"/>
  <c r="K531" i="29"/>
  <c r="O75" i="29"/>
  <c r="N75" i="29"/>
  <c r="K75" i="29"/>
  <c r="O644" i="29"/>
  <c r="N644" i="29"/>
  <c r="K644" i="29"/>
  <c r="O702" i="29"/>
  <c r="N702" i="29"/>
  <c r="K702" i="29"/>
  <c r="O88" i="29"/>
  <c r="N88" i="29"/>
  <c r="K88" i="29"/>
  <c r="O672" i="29"/>
  <c r="N672" i="29"/>
  <c r="K672" i="29"/>
  <c r="N256" i="29"/>
  <c r="K256" i="29"/>
  <c r="O256" i="29"/>
  <c r="O389" i="29"/>
  <c r="N389" i="29"/>
  <c r="K389" i="29"/>
  <c r="O558" i="29"/>
  <c r="N558" i="29"/>
  <c r="K558" i="29"/>
  <c r="O673" i="29"/>
  <c r="N673" i="29"/>
  <c r="K673" i="29"/>
  <c r="O111" i="29"/>
  <c r="N111" i="29"/>
  <c r="K111" i="29"/>
  <c r="O420" i="29"/>
  <c r="N420" i="29"/>
  <c r="K420" i="29"/>
  <c r="O583" i="29"/>
  <c r="N583" i="29"/>
  <c r="K583" i="29"/>
  <c r="O771" i="29"/>
  <c r="N771" i="29"/>
  <c r="K771" i="29"/>
  <c r="O55" i="29"/>
  <c r="N55" i="29"/>
  <c r="K55" i="29"/>
  <c r="O91" i="29"/>
  <c r="N91" i="29"/>
  <c r="K91" i="29"/>
  <c r="O136" i="29"/>
  <c r="N136" i="29"/>
  <c r="K136" i="29"/>
  <c r="O174" i="29"/>
  <c r="N174" i="29"/>
  <c r="K174" i="29"/>
  <c r="O267" i="29"/>
  <c r="K267" i="29"/>
  <c r="N267" i="29"/>
  <c r="O285" i="29"/>
  <c r="K285" i="29"/>
  <c r="N285" i="29"/>
  <c r="O21" i="29"/>
  <c r="K21" i="29"/>
  <c r="K42" i="29"/>
  <c r="O42" i="29"/>
  <c r="O493" i="29"/>
  <c r="N493" i="29"/>
  <c r="K493" i="29"/>
  <c r="O426" i="29"/>
  <c r="N426" i="29"/>
  <c r="K426" i="29"/>
  <c r="O550" i="29"/>
  <c r="N550" i="29"/>
  <c r="K550" i="29"/>
  <c r="O607" i="29"/>
  <c r="N607" i="29"/>
  <c r="K607" i="29"/>
  <c r="O696" i="29"/>
  <c r="N696" i="29"/>
  <c r="K696" i="29"/>
  <c r="O756" i="29"/>
  <c r="N756" i="29"/>
  <c r="K756" i="29"/>
  <c r="N133" i="29"/>
  <c r="K133" i="29"/>
  <c r="O133" i="29"/>
  <c r="N183" i="29"/>
  <c r="K183" i="29"/>
  <c r="O183" i="29"/>
  <c r="O253" i="29"/>
  <c r="N253" i="29"/>
  <c r="K253" i="29"/>
  <c r="N300" i="29"/>
  <c r="O300" i="29"/>
  <c r="K300" i="29"/>
  <c r="O374" i="29"/>
  <c r="N374" i="29"/>
  <c r="K374" i="29"/>
  <c r="O510" i="29"/>
  <c r="N510" i="29"/>
  <c r="K510" i="29"/>
  <c r="O633" i="29"/>
  <c r="N633" i="29"/>
  <c r="K633" i="29"/>
  <c r="O763" i="29"/>
  <c r="N763" i="29"/>
  <c r="K763" i="29"/>
  <c r="N192" i="29"/>
  <c r="O192" i="29"/>
  <c r="K192" i="29"/>
  <c r="O265" i="29"/>
  <c r="K265" i="29"/>
  <c r="N265" i="29"/>
  <c r="O313" i="29"/>
  <c r="N313" i="29"/>
  <c r="K313" i="29"/>
  <c r="O377" i="29"/>
  <c r="N377" i="29"/>
  <c r="K377" i="29"/>
  <c r="O495" i="29"/>
  <c r="N495" i="29"/>
  <c r="K495" i="29"/>
  <c r="O564" i="29"/>
  <c r="K564" i="29"/>
  <c r="N564" i="29"/>
  <c r="O640" i="29"/>
  <c r="N640" i="29"/>
  <c r="K640" i="29"/>
  <c r="O704" i="29"/>
  <c r="N704" i="29"/>
  <c r="K704" i="29"/>
  <c r="O117" i="29"/>
  <c r="N117" i="29"/>
  <c r="K117" i="29"/>
  <c r="O662" i="29"/>
  <c r="N662" i="29"/>
  <c r="K662" i="29"/>
  <c r="O296" i="29"/>
  <c r="N296" i="29"/>
  <c r="K296" i="29"/>
  <c r="O315" i="29"/>
  <c r="N315" i="29"/>
  <c r="K315" i="29"/>
  <c r="O334" i="29"/>
  <c r="N334" i="29"/>
  <c r="K334" i="29"/>
  <c r="O364" i="29"/>
  <c r="N364" i="29"/>
  <c r="K364" i="29"/>
  <c r="N459" i="29"/>
  <c r="O459" i="29"/>
  <c r="K459" i="29"/>
  <c r="O514" i="29"/>
  <c r="N514" i="29"/>
  <c r="K514" i="29"/>
  <c r="O542" i="29"/>
  <c r="N542" i="29"/>
  <c r="K542" i="29"/>
  <c r="O636" i="29"/>
  <c r="K636" i="29"/>
  <c r="N636" i="29"/>
  <c r="O675" i="29"/>
  <c r="N675" i="29"/>
  <c r="K675" i="29"/>
  <c r="O694" i="29"/>
  <c r="N694" i="29"/>
  <c r="K694" i="29"/>
  <c r="O712" i="29"/>
  <c r="N712" i="29"/>
  <c r="K712" i="29"/>
  <c r="O730" i="29"/>
  <c r="N730" i="29"/>
  <c r="K730" i="29"/>
  <c r="O748" i="29"/>
  <c r="N748" i="29"/>
  <c r="K748" i="29"/>
  <c r="O766" i="29"/>
  <c r="N766" i="29"/>
  <c r="K766" i="29"/>
  <c r="O784" i="29"/>
  <c r="N784" i="29"/>
  <c r="K784" i="29"/>
  <c r="O802" i="29"/>
  <c r="N802" i="29"/>
  <c r="K802" i="29"/>
  <c r="O68" i="29"/>
  <c r="N68" i="29"/>
  <c r="K68" i="29"/>
  <c r="O86" i="29"/>
  <c r="N86" i="29"/>
  <c r="K86" i="29"/>
  <c r="O211" i="29"/>
  <c r="N211" i="29"/>
  <c r="K211" i="29"/>
  <c r="N233" i="29"/>
  <c r="K233" i="29"/>
  <c r="O233" i="29"/>
  <c r="O251" i="29"/>
  <c r="N251" i="29"/>
  <c r="K251" i="29"/>
  <c r="N274" i="29"/>
  <c r="O274" i="29"/>
  <c r="K274" i="29"/>
  <c r="K4" i="29"/>
  <c r="O4" i="29"/>
  <c r="O413" i="29"/>
  <c r="N413" i="29"/>
  <c r="K413" i="29"/>
  <c r="O619" i="29"/>
  <c r="N619" i="29"/>
  <c r="K619" i="29"/>
  <c r="O768" i="29"/>
  <c r="K768" i="29"/>
  <c r="N768" i="29"/>
  <c r="N151" i="29"/>
  <c r="K151" i="29"/>
  <c r="O151" i="29"/>
  <c r="O214" i="29"/>
  <c r="N214" i="29"/>
  <c r="K214" i="29"/>
  <c r="O264" i="29"/>
  <c r="N264" i="29"/>
  <c r="K264" i="29"/>
  <c r="O33" i="29"/>
  <c r="K33" i="29"/>
  <c r="N337" i="29"/>
  <c r="O337" i="29"/>
  <c r="K337" i="29"/>
  <c r="O450" i="29"/>
  <c r="N450" i="29"/>
  <c r="K450" i="29"/>
  <c r="O595" i="29"/>
  <c r="N595" i="29"/>
  <c r="K595" i="29"/>
  <c r="O652" i="29"/>
  <c r="N652" i="29"/>
  <c r="K652" i="29"/>
  <c r="O775" i="29"/>
  <c r="N775" i="29"/>
  <c r="K775" i="29"/>
  <c r="N152" i="29"/>
  <c r="O152" i="29"/>
  <c r="K152" i="29"/>
  <c r="O208" i="29"/>
  <c r="N208" i="29"/>
  <c r="K208" i="29"/>
  <c r="O271" i="29"/>
  <c r="K271" i="29"/>
  <c r="N271" i="29"/>
  <c r="N383" i="29"/>
  <c r="O383" i="29"/>
  <c r="K383" i="29"/>
  <c r="O746" i="29"/>
  <c r="N746" i="29"/>
  <c r="K746" i="29"/>
  <c r="O237" i="29"/>
  <c r="N237" i="29"/>
  <c r="K237" i="29"/>
  <c r="O304" i="29"/>
  <c r="N304" i="29"/>
  <c r="K304" i="29"/>
  <c r="O323" i="29"/>
  <c r="N323" i="29"/>
  <c r="K323" i="29"/>
  <c r="O350" i="29"/>
  <c r="N350" i="29"/>
  <c r="K350" i="29"/>
  <c r="O412" i="29"/>
  <c r="N412" i="29"/>
  <c r="K412" i="29"/>
  <c r="O430" i="29"/>
  <c r="N430" i="29"/>
  <c r="K430" i="29"/>
  <c r="O448" i="29"/>
  <c r="N448" i="29"/>
  <c r="K448" i="29"/>
  <c r="O466" i="29"/>
  <c r="N466" i="29"/>
  <c r="K466" i="29"/>
  <c r="O502" i="29"/>
  <c r="N502" i="29"/>
  <c r="K502" i="29"/>
  <c r="O549" i="29"/>
  <c r="N549" i="29"/>
  <c r="K549" i="29"/>
  <c r="N567" i="29"/>
  <c r="O567" i="29"/>
  <c r="K567" i="29"/>
  <c r="N606" i="29"/>
  <c r="O606" i="29"/>
  <c r="K606" i="29"/>
  <c r="O701" i="29"/>
  <c r="N701" i="29"/>
  <c r="K701" i="29"/>
  <c r="O719" i="29"/>
  <c r="N719" i="29"/>
  <c r="K719" i="29"/>
  <c r="O737" i="29"/>
  <c r="N737" i="29"/>
  <c r="K737" i="29"/>
  <c r="O755" i="29"/>
  <c r="N755" i="29"/>
  <c r="K755" i="29"/>
  <c r="O773" i="29"/>
  <c r="N773" i="29"/>
  <c r="K773" i="29"/>
  <c r="O120" i="29"/>
  <c r="K120" i="29"/>
  <c r="N120" i="29"/>
  <c r="O138" i="29"/>
  <c r="K138" i="29"/>
  <c r="N138" i="29"/>
  <c r="O157" i="29"/>
  <c r="K157" i="29"/>
  <c r="N157" i="29"/>
  <c r="O176" i="29"/>
  <c r="K176" i="29"/>
  <c r="N176" i="29"/>
  <c r="O219" i="29"/>
  <c r="N219" i="29"/>
  <c r="K219" i="29"/>
  <c r="N240" i="29"/>
  <c r="O240" i="29"/>
  <c r="K240" i="29"/>
  <c r="O263" i="29"/>
  <c r="N263" i="29"/>
  <c r="K263" i="29"/>
  <c r="N281" i="29"/>
  <c r="O281" i="29"/>
  <c r="K281" i="29"/>
  <c r="K38" i="29"/>
  <c r="O38" i="29"/>
  <c r="O664" i="29"/>
  <c r="N664" i="29"/>
  <c r="K664" i="29"/>
  <c r="O15" i="29"/>
  <c r="K15" i="29"/>
  <c r="O317" i="29"/>
  <c r="N317" i="29"/>
  <c r="K317" i="29"/>
  <c r="O366" i="29"/>
  <c r="N366" i="29"/>
  <c r="K366" i="29"/>
  <c r="O568" i="29"/>
  <c r="N568" i="29"/>
  <c r="K568" i="29"/>
  <c r="O677" i="29"/>
  <c r="N677" i="29"/>
  <c r="K677" i="29"/>
  <c r="O720" i="29"/>
  <c r="N720" i="29"/>
  <c r="K720" i="29"/>
  <c r="O762" i="29"/>
  <c r="N762" i="29"/>
  <c r="K762" i="29"/>
  <c r="N115" i="29"/>
  <c r="K115" i="29"/>
  <c r="O115" i="29"/>
  <c r="N158" i="29"/>
  <c r="K158" i="29"/>
  <c r="O158" i="29"/>
  <c r="O220" i="29"/>
  <c r="N220" i="29"/>
  <c r="K220" i="29"/>
  <c r="O424" i="29"/>
  <c r="N424" i="29"/>
  <c r="K424" i="29"/>
  <c r="O468" i="29"/>
  <c r="N468" i="29"/>
  <c r="K468" i="29"/>
  <c r="O77" i="29"/>
  <c r="K77" i="29"/>
  <c r="N77" i="29"/>
  <c r="O140" i="29"/>
  <c r="N140" i="29"/>
  <c r="K140" i="29"/>
  <c r="K40" i="29"/>
  <c r="O40" i="29"/>
  <c r="N60" i="29"/>
  <c r="K60" i="29"/>
  <c r="O60" i="29"/>
  <c r="O216" i="29"/>
  <c r="N216" i="29"/>
  <c r="K216" i="29"/>
  <c r="O257" i="29"/>
  <c r="N257" i="29"/>
  <c r="K257" i="29"/>
  <c r="O653" i="29"/>
  <c r="N653" i="29"/>
  <c r="K653" i="29"/>
  <c r="O61" i="29"/>
  <c r="N61" i="29"/>
  <c r="K61" i="29"/>
  <c r="O203" i="29"/>
  <c r="K203" i="29"/>
  <c r="N203" i="29"/>
  <c r="O146" i="29"/>
  <c r="N146" i="29"/>
  <c r="K146" i="29"/>
  <c r="K8" i="29"/>
  <c r="O8" i="29"/>
  <c r="O392" i="29"/>
  <c r="N392" i="29"/>
  <c r="K392" i="29"/>
  <c r="N585" i="29"/>
  <c r="O585" i="29"/>
  <c r="K585" i="29"/>
  <c r="O623" i="29"/>
  <c r="N623" i="29"/>
  <c r="K623" i="29"/>
  <c r="O119" i="29"/>
  <c r="N119" i="29"/>
  <c r="K119" i="29"/>
  <c r="N166" i="29"/>
  <c r="O166" i="29"/>
  <c r="K166" i="29"/>
  <c r="O361" i="29"/>
  <c r="N361" i="29"/>
  <c r="K361" i="29"/>
  <c r="O609" i="29"/>
  <c r="N609" i="29"/>
  <c r="K609" i="29"/>
  <c r="O782" i="29"/>
  <c r="N782" i="29"/>
  <c r="K782" i="29"/>
  <c r="N153" i="29"/>
  <c r="K153" i="29"/>
  <c r="O153" i="29"/>
  <c r="O663" i="29"/>
  <c r="N663" i="29"/>
  <c r="K663" i="29"/>
  <c r="O543" i="29"/>
  <c r="N543" i="29"/>
  <c r="K543" i="29"/>
  <c r="O713" i="29"/>
  <c r="N713" i="29"/>
  <c r="K713" i="29"/>
  <c r="K828" i="29"/>
  <c r="O659" i="29"/>
  <c r="N659" i="29"/>
  <c r="K659" i="29"/>
  <c r="N635" i="29"/>
  <c r="O635" i="29"/>
  <c r="K635" i="29"/>
  <c r="O67" i="29"/>
  <c r="N67" i="29"/>
  <c r="K67" i="29"/>
  <c r="O85" i="29"/>
  <c r="N85" i="29"/>
  <c r="K85" i="29"/>
  <c r="O210" i="29"/>
  <c r="N210" i="29"/>
  <c r="K210" i="29"/>
  <c r="O108" i="29"/>
  <c r="K108" i="29"/>
  <c r="N108" i="29"/>
  <c r="O745" i="29"/>
  <c r="N745" i="29"/>
  <c r="K745" i="29"/>
  <c r="O615" i="29"/>
  <c r="N615" i="29"/>
  <c r="K615" i="29"/>
  <c r="O788" i="29"/>
  <c r="N788" i="29"/>
  <c r="K788" i="29"/>
  <c r="O660" i="29"/>
  <c r="N660" i="29"/>
  <c r="K660" i="29"/>
  <c r="O328" i="29"/>
  <c r="N328" i="29"/>
  <c r="K328" i="29"/>
  <c r="O399" i="29"/>
  <c r="N399" i="29"/>
  <c r="K399" i="29"/>
  <c r="O453" i="29"/>
  <c r="N453" i="29"/>
  <c r="K453" i="29"/>
  <c r="N471" i="29"/>
  <c r="O471" i="29"/>
  <c r="K471" i="29"/>
  <c r="N554" i="29"/>
  <c r="O554" i="29"/>
  <c r="K554" i="29"/>
  <c r="O687" i="29"/>
  <c r="N687" i="29"/>
  <c r="K687" i="29"/>
  <c r="O162" i="29"/>
  <c r="N162" i="29"/>
  <c r="K162" i="29"/>
  <c r="N181" i="29"/>
  <c r="K181" i="29"/>
  <c r="O181" i="29"/>
  <c r="O544" i="29"/>
  <c r="N544" i="29"/>
  <c r="K544" i="29"/>
  <c r="K17" i="29"/>
  <c r="O17" i="29"/>
  <c r="N17" i="29"/>
  <c r="O628" i="29"/>
  <c r="N628" i="29"/>
  <c r="K628" i="29"/>
  <c r="O806" i="29"/>
  <c r="N806" i="29"/>
  <c r="K806" i="29"/>
  <c r="N167" i="29"/>
  <c r="K167" i="29"/>
  <c r="O167" i="29"/>
  <c r="O655" i="29"/>
  <c r="N655" i="29"/>
  <c r="K655" i="29"/>
  <c r="O625" i="29"/>
  <c r="N625" i="29"/>
  <c r="K625" i="29"/>
  <c r="O57" i="29"/>
  <c r="N57" i="29"/>
  <c r="K57" i="29"/>
  <c r="O93" i="29"/>
  <c r="N93" i="29"/>
  <c r="K93" i="29"/>
  <c r="N199" i="29"/>
  <c r="O199" i="29"/>
  <c r="K199" i="29"/>
  <c r="K16" i="29"/>
  <c r="O16" i="29"/>
  <c r="O299" i="29"/>
  <c r="N299" i="29"/>
  <c r="K299" i="29"/>
  <c r="O312" i="29"/>
  <c r="N312" i="29"/>
  <c r="K312" i="29"/>
  <c r="O382" i="29"/>
  <c r="N382" i="29"/>
  <c r="K382" i="29"/>
  <c r="O545" i="29"/>
  <c r="N545" i="29"/>
  <c r="K545" i="29"/>
  <c r="O733" i="29"/>
  <c r="N733" i="29"/>
  <c r="K733" i="29"/>
  <c r="O787" i="29"/>
  <c r="N787" i="29"/>
  <c r="K787" i="29"/>
  <c r="O433" i="29"/>
  <c r="N433" i="29"/>
  <c r="K433" i="29"/>
  <c r="O645" i="29"/>
  <c r="N645" i="29"/>
  <c r="K645" i="29"/>
  <c r="N363" i="29"/>
  <c r="K363" i="29"/>
  <c r="O363" i="29"/>
  <c r="O404" i="29"/>
  <c r="N404" i="29"/>
  <c r="K404" i="29"/>
  <c r="O443" i="29"/>
  <c r="N443" i="29"/>
  <c r="K443" i="29"/>
  <c r="O486" i="29"/>
  <c r="N486" i="29"/>
  <c r="K486" i="29"/>
  <c r="O565" i="29"/>
  <c r="N565" i="29"/>
  <c r="K565" i="29"/>
  <c r="O622" i="29"/>
  <c r="N622" i="29"/>
  <c r="K622" i="29"/>
  <c r="O717" i="29"/>
  <c r="N717" i="29"/>
  <c r="K717" i="29"/>
  <c r="O73" i="29"/>
  <c r="N73" i="29"/>
  <c r="K73" i="29"/>
  <c r="O118" i="29"/>
  <c r="N118" i="29"/>
  <c r="K118" i="29"/>
  <c r="O845" i="29"/>
  <c r="O109" i="29"/>
  <c r="N109" i="29"/>
  <c r="K109" i="29"/>
  <c r="O11" i="29"/>
  <c r="K11" i="29"/>
  <c r="N333" i="29"/>
  <c r="O333" i="29"/>
  <c r="K333" i="29"/>
  <c r="N458" i="29"/>
  <c r="O458" i="29"/>
  <c r="K458" i="29"/>
  <c r="N513" i="29"/>
  <c r="O513" i="29"/>
  <c r="K513" i="29"/>
  <c r="N541" i="29"/>
  <c r="O541" i="29"/>
  <c r="K541" i="29"/>
  <c r="O680" i="29"/>
  <c r="N680" i="29"/>
  <c r="K680" i="29"/>
  <c r="O699" i="29"/>
  <c r="N699" i="29"/>
  <c r="K699" i="29"/>
  <c r="O735" i="29"/>
  <c r="N735" i="29"/>
  <c r="K735" i="29"/>
  <c r="O753" i="29"/>
  <c r="N753" i="29"/>
  <c r="K753" i="29"/>
  <c r="O789" i="29"/>
  <c r="N789" i="29"/>
  <c r="K789" i="29"/>
  <c r="O197" i="29"/>
  <c r="K197" i="29"/>
  <c r="N197" i="29"/>
  <c r="O217" i="29"/>
  <c r="K217" i="29"/>
  <c r="N217" i="29"/>
  <c r="O244" i="29"/>
  <c r="K244" i="29"/>
  <c r="N244" i="29"/>
  <c r="O359" i="29"/>
  <c r="N359" i="29"/>
  <c r="K359" i="29"/>
  <c r="O473" i="29"/>
  <c r="N473" i="29"/>
  <c r="K473" i="29"/>
  <c r="O64" i="29"/>
  <c r="N64" i="29"/>
  <c r="K64" i="29"/>
  <c r="K27" i="29"/>
  <c r="O27" i="29"/>
  <c r="O665" i="29"/>
  <c r="N665" i="29"/>
  <c r="K665" i="29"/>
  <c r="O432" i="29"/>
  <c r="N432" i="29"/>
  <c r="K432" i="29"/>
  <c r="O581" i="29"/>
  <c r="N581" i="29"/>
  <c r="K581" i="29"/>
  <c r="O721" i="29"/>
  <c r="N721" i="29"/>
  <c r="K721" i="29"/>
  <c r="O59" i="29"/>
  <c r="N59" i="29"/>
  <c r="K59" i="29"/>
  <c r="O128" i="29"/>
  <c r="N128" i="29"/>
  <c r="K128" i="29"/>
  <c r="K34" i="29"/>
  <c r="O34" i="29"/>
  <c r="N34" i="29"/>
  <c r="O104" i="29"/>
  <c r="N104" i="29"/>
  <c r="K104" i="29"/>
  <c r="O442" i="29"/>
  <c r="N442" i="29"/>
  <c r="K442" i="29"/>
  <c r="O752" i="29"/>
  <c r="N752" i="29"/>
  <c r="K752" i="29"/>
  <c r="O800" i="29"/>
  <c r="N800" i="29"/>
  <c r="K800" i="29"/>
  <c r="O202" i="29"/>
  <c r="N202" i="29"/>
  <c r="K202" i="29"/>
  <c r="O272" i="29"/>
  <c r="N272" i="29"/>
  <c r="K272" i="29"/>
  <c r="K12" i="29"/>
  <c r="O12" i="29"/>
  <c r="O385" i="29"/>
  <c r="K385" i="29"/>
  <c r="N385" i="29"/>
  <c r="O405" i="29"/>
  <c r="N405" i="29"/>
  <c r="K405" i="29"/>
  <c r="N421" i="29"/>
  <c r="K421" i="29"/>
  <c r="O421" i="29"/>
  <c r="O444" i="29"/>
  <c r="N444" i="29"/>
  <c r="K444" i="29"/>
  <c r="O487" i="29"/>
  <c r="N487" i="29"/>
  <c r="K487" i="29"/>
  <c r="N560" i="29"/>
  <c r="O560" i="29"/>
  <c r="K560" i="29"/>
  <c r="N578" i="29"/>
  <c r="O578" i="29"/>
  <c r="K578" i="29"/>
  <c r="N600" i="29"/>
  <c r="O600" i="29"/>
  <c r="K600" i="29"/>
  <c r="O617" i="29"/>
  <c r="N617" i="29"/>
  <c r="K617" i="29"/>
  <c r="O113" i="29"/>
  <c r="N113" i="29"/>
  <c r="K113" i="29"/>
  <c r="O131" i="29"/>
  <c r="N131" i="29"/>
  <c r="K131" i="29"/>
  <c r="O149" i="29"/>
  <c r="N149" i="29"/>
  <c r="K149" i="29"/>
  <c r="N169" i="29"/>
  <c r="K169" i="29"/>
  <c r="O169" i="29"/>
  <c r="O187" i="29"/>
  <c r="N187" i="29"/>
  <c r="K187" i="29"/>
  <c r="O31" i="29"/>
  <c r="K31" i="29"/>
  <c r="O49" i="29"/>
  <c r="K49" i="29"/>
  <c r="O336" i="29"/>
  <c r="N336" i="29"/>
  <c r="K336" i="29"/>
  <c r="O489" i="29"/>
  <c r="N489" i="29"/>
  <c r="K489" i="29"/>
  <c r="O556" i="29"/>
  <c r="N556" i="29"/>
  <c r="K556" i="29"/>
  <c r="O714" i="29"/>
  <c r="N714" i="29"/>
  <c r="K714" i="29"/>
  <c r="N76" i="29"/>
  <c r="K76" i="29"/>
  <c r="O76" i="29"/>
  <c r="O492" i="29"/>
  <c r="N492" i="29"/>
  <c r="K492" i="29"/>
  <c r="O533" i="29"/>
  <c r="N533" i="29"/>
  <c r="K533" i="29"/>
  <c r="O709" i="29"/>
  <c r="N709" i="29"/>
  <c r="K709" i="29"/>
  <c r="O89" i="29"/>
  <c r="N89" i="29"/>
  <c r="K89" i="29"/>
  <c r="K46" i="29"/>
  <c r="O46" i="29"/>
  <c r="N46" i="29"/>
  <c r="O338" i="29"/>
  <c r="N338" i="29"/>
  <c r="K338" i="29"/>
  <c r="O534" i="29"/>
  <c r="N534" i="29"/>
  <c r="K534" i="29"/>
  <c r="O710" i="29"/>
  <c r="N710" i="29"/>
  <c r="K710" i="29"/>
  <c r="N135" i="29"/>
  <c r="O135" i="29"/>
  <c r="K135" i="29"/>
  <c r="O185" i="29"/>
  <c r="N185" i="29"/>
  <c r="K185" i="29"/>
  <c r="K41" i="29"/>
  <c r="O41" i="29"/>
  <c r="N661" i="29"/>
  <c r="O661" i="29"/>
  <c r="K661" i="29"/>
  <c r="O380" i="29"/>
  <c r="N380" i="29"/>
  <c r="K380" i="29"/>
  <c r="O418" i="29"/>
  <c r="N418" i="29"/>
  <c r="K418" i="29"/>
  <c r="N555" i="29"/>
  <c r="O555" i="29"/>
  <c r="K555" i="29"/>
  <c r="O573" i="29"/>
  <c r="N573" i="29"/>
  <c r="K573" i="29"/>
  <c r="O612" i="29"/>
  <c r="N612" i="29"/>
  <c r="K612" i="29"/>
  <c r="O631" i="29"/>
  <c r="N631" i="29"/>
  <c r="K631" i="29"/>
  <c r="O670" i="29"/>
  <c r="N670" i="29"/>
  <c r="K670" i="29"/>
  <c r="O63" i="29"/>
  <c r="K63" i="29"/>
  <c r="N63" i="29"/>
  <c r="O81" i="29"/>
  <c r="K81" i="29"/>
  <c r="N81" i="29"/>
  <c r="N225" i="29"/>
  <c r="O225" i="29"/>
  <c r="K225" i="29"/>
  <c r="N246" i="29"/>
  <c r="O246" i="29"/>
  <c r="K246" i="29"/>
  <c r="N269" i="29"/>
  <c r="O269" i="29"/>
  <c r="K269" i="29"/>
  <c r="N287" i="29"/>
  <c r="K287" i="29"/>
  <c r="O287" i="29"/>
  <c r="O423" i="29"/>
  <c r="N423" i="29"/>
  <c r="K423" i="29"/>
  <c r="O467" i="29"/>
  <c r="N467" i="29"/>
  <c r="K467" i="29"/>
  <c r="O613" i="29"/>
  <c r="N613" i="29"/>
  <c r="K613" i="29"/>
  <c r="O58" i="29"/>
  <c r="N58" i="29"/>
  <c r="K58" i="29"/>
  <c r="K6" i="29"/>
  <c r="O6" i="29"/>
  <c r="N6" i="29"/>
  <c r="O396" i="29"/>
  <c r="N396" i="29"/>
  <c r="K396" i="29"/>
  <c r="O441" i="29"/>
  <c r="K441" i="29"/>
  <c r="N441" i="29"/>
  <c r="O551" i="29"/>
  <c r="K551" i="29"/>
  <c r="N551" i="29"/>
  <c r="O620" i="29"/>
  <c r="N620" i="29"/>
  <c r="K620" i="29"/>
  <c r="O691" i="29"/>
  <c r="N691" i="29"/>
  <c r="K691" i="29"/>
  <c r="N805" i="29"/>
  <c r="O805" i="29"/>
  <c r="K805" i="29"/>
  <c r="O221" i="29"/>
  <c r="K221" i="29"/>
  <c r="N221" i="29"/>
  <c r="N283" i="29"/>
  <c r="O283" i="29"/>
  <c r="K283" i="29"/>
  <c r="N476" i="29"/>
  <c r="O476" i="29"/>
  <c r="K476" i="29"/>
  <c r="O326" i="29"/>
  <c r="N326" i="29"/>
  <c r="K326" i="29"/>
  <c r="N403" i="29"/>
  <c r="O403" i="29"/>
  <c r="K403" i="29"/>
  <c r="O445" i="29"/>
  <c r="N445" i="29"/>
  <c r="K445" i="29"/>
  <c r="O528" i="29"/>
  <c r="N528" i="29"/>
  <c r="K528" i="29"/>
  <c r="O621" i="29"/>
  <c r="N621" i="29"/>
  <c r="K621" i="29"/>
  <c r="O716" i="29"/>
  <c r="N716" i="29"/>
  <c r="K716" i="29"/>
  <c r="O776" i="29"/>
  <c r="K776" i="29"/>
  <c r="N776" i="29"/>
  <c r="O129" i="29"/>
  <c r="N129" i="29"/>
  <c r="K129" i="29"/>
  <c r="O173" i="29"/>
  <c r="N173" i="29"/>
  <c r="K173" i="29"/>
  <c r="K47" i="29"/>
  <c r="O47" i="29"/>
  <c r="N302" i="29"/>
  <c r="O302" i="29"/>
  <c r="K302" i="29"/>
  <c r="N547" i="29"/>
  <c r="O547" i="29"/>
  <c r="K547" i="29"/>
  <c r="O273" i="29"/>
  <c r="N273" i="29"/>
  <c r="K273" i="29"/>
  <c r="K20" i="29"/>
  <c r="O20" i="29"/>
  <c r="N318" i="29"/>
  <c r="O318" i="29"/>
  <c r="K318" i="29"/>
  <c r="O83" i="29"/>
  <c r="K83" i="29"/>
  <c r="N83" i="29"/>
  <c r="O666" i="29"/>
  <c r="N666" i="29"/>
  <c r="K666" i="29"/>
  <c r="O228" i="29"/>
  <c r="N228" i="29"/>
  <c r="K228" i="29"/>
  <c r="O370" i="29"/>
  <c r="N370" i="29"/>
  <c r="K370" i="29"/>
  <c r="O429" i="29"/>
  <c r="N429" i="29"/>
  <c r="K429" i="29"/>
  <c r="N137" i="29"/>
  <c r="K137" i="29"/>
  <c r="O137" i="29"/>
  <c r="O175" i="29"/>
  <c r="N175" i="29"/>
  <c r="K175" i="29"/>
  <c r="K37" i="29"/>
  <c r="O37" i="29"/>
  <c r="O552" i="29"/>
  <c r="N552" i="29"/>
  <c r="K552" i="29"/>
  <c r="O561" i="29"/>
  <c r="N561" i="29"/>
  <c r="K561" i="29"/>
  <c r="O618" i="29"/>
  <c r="N618" i="29"/>
  <c r="K618" i="29"/>
  <c r="N535" i="29"/>
  <c r="O535" i="29"/>
  <c r="K535" i="29"/>
  <c r="N671" i="29"/>
  <c r="O671" i="29"/>
  <c r="K671" i="29"/>
  <c r="O352" i="29"/>
  <c r="N352" i="29"/>
  <c r="K352" i="29"/>
  <c r="N90" i="29"/>
  <c r="K90" i="29"/>
  <c r="O90" i="29"/>
  <c r="N249" i="29"/>
  <c r="K249" i="29"/>
  <c r="O249" i="29"/>
  <c r="O309" i="29"/>
  <c r="N309" i="29"/>
  <c r="K309" i="29"/>
  <c r="O376" i="29"/>
  <c r="N376" i="29"/>
  <c r="K376" i="29"/>
  <c r="N435" i="29"/>
  <c r="O435" i="29"/>
  <c r="K435" i="29"/>
  <c r="N572" i="29"/>
  <c r="O572" i="29"/>
  <c r="K572" i="29"/>
  <c r="O143" i="29"/>
  <c r="N143" i="29"/>
  <c r="K143" i="29"/>
  <c r="O43" i="29"/>
  <c r="K43" i="29"/>
  <c r="O395" i="29"/>
  <c r="N395" i="29"/>
  <c r="K395" i="29"/>
  <c r="O594" i="29"/>
  <c r="N594" i="29"/>
  <c r="K594" i="29"/>
  <c r="O627" i="29"/>
  <c r="N627" i="29"/>
  <c r="K627" i="29"/>
  <c r="O319" i="29"/>
  <c r="N319" i="29"/>
  <c r="K319" i="29"/>
  <c r="O570" i="29"/>
  <c r="N570" i="29"/>
  <c r="K570" i="29"/>
  <c r="O698" i="29"/>
  <c r="N698" i="29"/>
  <c r="K698" i="29"/>
  <c r="O494" i="29"/>
  <c r="N494" i="29"/>
  <c r="K494" i="29"/>
  <c r="O394" i="29"/>
  <c r="N394" i="29"/>
  <c r="K394" i="29"/>
  <c r="O586" i="29"/>
  <c r="N586" i="29"/>
  <c r="K586" i="29"/>
  <c r="O643" i="29"/>
  <c r="N643" i="29"/>
  <c r="K643" i="29"/>
  <c r="O682" i="29"/>
  <c r="N682" i="29"/>
  <c r="K682" i="29"/>
  <c r="O791" i="29"/>
  <c r="N791" i="29"/>
  <c r="K791" i="29"/>
  <c r="O407" i="29"/>
  <c r="K407" i="29"/>
  <c r="N407" i="29"/>
  <c r="O602" i="29"/>
  <c r="N602" i="29"/>
  <c r="K602" i="29"/>
  <c r="O588" i="29"/>
  <c r="N588" i="29"/>
  <c r="K588" i="29"/>
  <c r="K201" i="29"/>
  <c r="O201" i="29"/>
  <c r="N201" i="29"/>
  <c r="O650" i="29"/>
  <c r="N650" i="29"/>
  <c r="K650" i="29"/>
  <c r="O475" i="29"/>
  <c r="N475" i="29"/>
  <c r="K475" i="29"/>
  <c r="O758" i="29"/>
  <c r="N758" i="29"/>
  <c r="K758" i="29"/>
  <c r="N160" i="29"/>
  <c r="O160" i="29"/>
  <c r="K160" i="29"/>
  <c r="K29" i="29"/>
  <c r="O29" i="29"/>
  <c r="N828" i="29"/>
  <c r="N314" i="29"/>
  <c r="O314" i="29"/>
  <c r="K314" i="29"/>
  <c r="O384" i="29"/>
  <c r="N384" i="29"/>
  <c r="K384" i="29"/>
  <c r="O604" i="29"/>
  <c r="N604" i="29"/>
  <c r="K604" i="29"/>
  <c r="O641" i="29"/>
  <c r="N641" i="29"/>
  <c r="K641" i="29"/>
  <c r="K836" i="29"/>
  <c r="N28" i="29"/>
  <c r="N25" i="29"/>
  <c r="N339" i="29"/>
  <c r="O339" i="29"/>
  <c r="K339" i="29"/>
  <c r="O369" i="29"/>
  <c r="N369" i="29"/>
  <c r="K369" i="29"/>
  <c r="O410" i="29"/>
  <c r="N410" i="29"/>
  <c r="K410" i="29"/>
  <c r="N464" i="29"/>
  <c r="O464" i="29"/>
  <c r="K464" i="29"/>
  <c r="N500" i="29"/>
  <c r="O500" i="29"/>
  <c r="K500" i="29"/>
  <c r="N529" i="29"/>
  <c r="O529" i="29"/>
  <c r="K529" i="29"/>
  <c r="O571" i="29"/>
  <c r="N571" i="29"/>
  <c r="K571" i="29"/>
  <c r="O590" i="29"/>
  <c r="N590" i="29"/>
  <c r="K590" i="29"/>
  <c r="O610" i="29"/>
  <c r="N610" i="29"/>
  <c r="K610" i="29"/>
  <c r="O668" i="29"/>
  <c r="N668" i="29"/>
  <c r="K668" i="29"/>
  <c r="O686" i="29"/>
  <c r="N686" i="29"/>
  <c r="K686" i="29"/>
  <c r="O705" i="29"/>
  <c r="N705" i="29"/>
  <c r="K705" i="29"/>
  <c r="O741" i="29"/>
  <c r="N741" i="29"/>
  <c r="K741" i="29"/>
  <c r="O759" i="29"/>
  <c r="N759" i="29"/>
  <c r="K759" i="29"/>
  <c r="O777" i="29"/>
  <c r="N777" i="29"/>
  <c r="K777" i="29"/>
  <c r="O795" i="29"/>
  <c r="N795" i="29"/>
  <c r="K795" i="29"/>
  <c r="N105" i="29"/>
  <c r="K105" i="29"/>
  <c r="O105" i="29"/>
  <c r="O124" i="29"/>
  <c r="K124" i="29"/>
  <c r="N124" i="29"/>
  <c r="K142" i="29"/>
  <c r="N142" i="29"/>
  <c r="O142" i="29"/>
  <c r="K161" i="29"/>
  <c r="N161" i="29"/>
  <c r="O161" i="29"/>
  <c r="O180" i="29"/>
  <c r="K180" i="29"/>
  <c r="N180" i="29"/>
  <c r="O223" i="29"/>
  <c r="K223" i="29"/>
  <c r="N223" i="29"/>
  <c r="O3" i="29"/>
  <c r="K3" i="29"/>
  <c r="N3" i="29"/>
  <c r="K30" i="29"/>
  <c r="O30" i="29"/>
  <c r="K48" i="29"/>
  <c r="O48" i="29"/>
  <c r="O381" i="29"/>
  <c r="N381" i="29"/>
  <c r="K381" i="29"/>
  <c r="O438" i="29"/>
  <c r="N438" i="29"/>
  <c r="K438" i="29"/>
  <c r="O509" i="29"/>
  <c r="N509" i="29"/>
  <c r="K509" i="29"/>
  <c r="O562" i="29"/>
  <c r="N562" i="29"/>
  <c r="K562" i="29"/>
  <c r="O626" i="29"/>
  <c r="N626" i="29"/>
  <c r="K626" i="29"/>
  <c r="O708" i="29"/>
  <c r="N708" i="29"/>
  <c r="K708" i="29"/>
  <c r="N145" i="29"/>
  <c r="K145" i="29"/>
  <c r="O145" i="29"/>
  <c r="N205" i="29"/>
  <c r="O205" i="29"/>
  <c r="K205" i="29"/>
  <c r="O270" i="29"/>
  <c r="N270" i="29"/>
  <c r="K270" i="29"/>
  <c r="O408" i="29"/>
  <c r="N408" i="29"/>
  <c r="K408" i="29"/>
  <c r="O456" i="29"/>
  <c r="K456" i="29"/>
  <c r="N456" i="29"/>
  <c r="O539" i="29"/>
  <c r="N539" i="29"/>
  <c r="K539" i="29"/>
  <c r="O739" i="29"/>
  <c r="N739" i="29"/>
  <c r="K739" i="29"/>
  <c r="O781" i="29"/>
  <c r="N781" i="29"/>
  <c r="K781" i="29"/>
  <c r="N215" i="29"/>
  <c r="K215" i="29"/>
  <c r="O215" i="29"/>
  <c r="O277" i="29"/>
  <c r="N277" i="29"/>
  <c r="K277" i="29"/>
  <c r="O332" i="29"/>
  <c r="N332" i="29"/>
  <c r="K332" i="29"/>
  <c r="O397" i="29"/>
  <c r="N397" i="29"/>
  <c r="K397" i="29"/>
  <c r="O451" i="29"/>
  <c r="N451" i="29"/>
  <c r="K451" i="29"/>
  <c r="O511" i="29"/>
  <c r="N511" i="29"/>
  <c r="K511" i="29"/>
  <c r="O582" i="29"/>
  <c r="N582" i="29"/>
  <c r="K582" i="29"/>
  <c r="O679" i="29"/>
  <c r="N679" i="29"/>
  <c r="K679" i="29"/>
  <c r="O722" i="29"/>
  <c r="N722" i="29"/>
  <c r="K722" i="29"/>
  <c r="O770" i="29"/>
  <c r="N770" i="29"/>
  <c r="K770" i="29"/>
  <c r="O141" i="29"/>
  <c r="N141" i="29"/>
  <c r="K141" i="29"/>
  <c r="O654" i="29"/>
  <c r="N654" i="29"/>
  <c r="K654" i="29"/>
  <c r="O651" i="29"/>
  <c r="N651" i="29"/>
  <c r="K651" i="29"/>
  <c r="O322" i="29"/>
  <c r="N322" i="29"/>
  <c r="K322" i="29"/>
  <c r="O447" i="29"/>
  <c r="N447" i="29"/>
  <c r="K447" i="29"/>
  <c r="N530" i="29"/>
  <c r="O530" i="29"/>
  <c r="K530" i="29"/>
  <c r="O548" i="29"/>
  <c r="N548" i="29"/>
  <c r="K548" i="29"/>
  <c r="N566" i="29"/>
  <c r="O566" i="29"/>
  <c r="K566" i="29"/>
  <c r="N605" i="29"/>
  <c r="O605" i="29"/>
  <c r="K605" i="29"/>
  <c r="N642" i="29"/>
  <c r="O642" i="29"/>
  <c r="K642" i="29"/>
  <c r="O700" i="29"/>
  <c r="N700" i="29"/>
  <c r="K700" i="29"/>
  <c r="O718" i="29"/>
  <c r="K718" i="29"/>
  <c r="N718" i="29"/>
  <c r="O736" i="29"/>
  <c r="N736" i="29"/>
  <c r="K736" i="29"/>
  <c r="O754" i="29"/>
  <c r="K754" i="29"/>
  <c r="N754" i="29"/>
  <c r="O772" i="29"/>
  <c r="N772" i="29"/>
  <c r="K772" i="29"/>
  <c r="O790" i="29"/>
  <c r="K790" i="29"/>
  <c r="N790" i="29"/>
  <c r="O56" i="29"/>
  <c r="N56" i="29"/>
  <c r="K56" i="29"/>
  <c r="O74" i="29"/>
  <c r="N74" i="29"/>
  <c r="K74" i="29"/>
  <c r="O92" i="29"/>
  <c r="N92" i="29"/>
  <c r="K92" i="29"/>
  <c r="N198" i="29"/>
  <c r="K198" i="29"/>
  <c r="O198" i="29"/>
  <c r="N218" i="29"/>
  <c r="K218" i="29"/>
  <c r="O218" i="29"/>
  <c r="N239" i="29"/>
  <c r="K239" i="29"/>
  <c r="O239" i="29"/>
  <c r="N262" i="29"/>
  <c r="O262" i="29"/>
  <c r="K262" i="29"/>
  <c r="N280" i="29"/>
  <c r="O280" i="29"/>
  <c r="K280" i="29"/>
  <c r="K10" i="29"/>
  <c r="O10" i="29"/>
  <c r="O373" i="29"/>
  <c r="N373" i="29"/>
  <c r="K373" i="29"/>
  <c r="O431" i="29"/>
  <c r="N431" i="29"/>
  <c r="K431" i="29"/>
  <c r="O574" i="29"/>
  <c r="N574" i="29"/>
  <c r="K574" i="29"/>
  <c r="O638" i="29"/>
  <c r="N638" i="29"/>
  <c r="K638" i="29"/>
  <c r="O171" i="29"/>
  <c r="N171" i="29"/>
  <c r="K171" i="29"/>
  <c r="O226" i="29"/>
  <c r="N226" i="29"/>
  <c r="K226" i="29"/>
  <c r="N282" i="29"/>
  <c r="O282" i="29"/>
  <c r="K282" i="29"/>
  <c r="O462" i="29"/>
  <c r="N462" i="29"/>
  <c r="K462" i="29"/>
  <c r="O557" i="29"/>
  <c r="N557" i="29"/>
  <c r="K557" i="29"/>
  <c r="O608" i="29"/>
  <c r="N608" i="29"/>
  <c r="K608" i="29"/>
  <c r="O684" i="29"/>
  <c r="N684" i="29"/>
  <c r="K684" i="29"/>
  <c r="O727" i="29"/>
  <c r="N727" i="29"/>
  <c r="K727" i="29"/>
  <c r="O799" i="29"/>
  <c r="N799" i="29"/>
  <c r="K799" i="29"/>
  <c r="O116" i="29"/>
  <c r="N116" i="29"/>
  <c r="K116" i="29"/>
  <c r="O227" i="29"/>
  <c r="N227" i="29"/>
  <c r="K227" i="29"/>
  <c r="O289" i="29"/>
  <c r="K289" i="29"/>
  <c r="N289" i="29"/>
  <c r="N409" i="29"/>
  <c r="O409" i="29"/>
  <c r="K409" i="29"/>
  <c r="O589" i="29"/>
  <c r="K589" i="29"/>
  <c r="N589" i="29"/>
  <c r="O667" i="29"/>
  <c r="K667" i="29"/>
  <c r="N667" i="29"/>
  <c r="O764" i="29"/>
  <c r="N764" i="29"/>
  <c r="K764" i="29"/>
  <c r="N72" i="29"/>
  <c r="K72" i="29"/>
  <c r="O72" i="29"/>
  <c r="N266" i="29"/>
  <c r="K266" i="29"/>
  <c r="O266" i="29"/>
  <c r="O647" i="29"/>
  <c r="N647" i="29"/>
  <c r="K647" i="29"/>
  <c r="O310" i="29"/>
  <c r="N310" i="29"/>
  <c r="K310" i="29"/>
  <c r="O329" i="29"/>
  <c r="N329" i="29"/>
  <c r="K329" i="29"/>
  <c r="O358" i="29"/>
  <c r="N358" i="29"/>
  <c r="K358" i="29"/>
  <c r="O400" i="29"/>
  <c r="N400" i="29"/>
  <c r="K400" i="29"/>
  <c r="O436" i="29"/>
  <c r="N436" i="29"/>
  <c r="K436" i="29"/>
  <c r="O454" i="29"/>
  <c r="N454" i="29"/>
  <c r="K454" i="29"/>
  <c r="O472" i="29"/>
  <c r="N472" i="29"/>
  <c r="K472" i="29"/>
  <c r="O508" i="29"/>
  <c r="N508" i="29"/>
  <c r="K508" i="29"/>
  <c r="O537" i="29"/>
  <c r="N537" i="29"/>
  <c r="K537" i="29"/>
  <c r="N593" i="29"/>
  <c r="K593" i="29"/>
  <c r="O593" i="29"/>
  <c r="O689" i="29"/>
  <c r="K689" i="29"/>
  <c r="N689" i="29"/>
  <c r="O707" i="29"/>
  <c r="N707" i="29"/>
  <c r="K707" i="29"/>
  <c r="O725" i="29"/>
  <c r="N725" i="29"/>
  <c r="K725" i="29"/>
  <c r="N743" i="29"/>
  <c r="O743" i="29"/>
  <c r="K743" i="29"/>
  <c r="O761" i="29"/>
  <c r="N761" i="29"/>
  <c r="K761" i="29"/>
  <c r="O779" i="29"/>
  <c r="N779" i="29"/>
  <c r="K779" i="29"/>
  <c r="O797" i="29"/>
  <c r="K797" i="29"/>
  <c r="N797" i="29"/>
  <c r="O107" i="29"/>
  <c r="N107" i="29"/>
  <c r="K107" i="29"/>
  <c r="K126" i="29"/>
  <c r="O126" i="29"/>
  <c r="N126" i="29"/>
  <c r="O144" i="29"/>
  <c r="K144" i="29"/>
  <c r="N144" i="29"/>
  <c r="O163" i="29"/>
  <c r="K163" i="29"/>
  <c r="N163" i="29"/>
  <c r="O182" i="29"/>
  <c r="K182" i="29"/>
  <c r="N182" i="29"/>
  <c r="K26" i="29"/>
  <c r="O26" i="29"/>
  <c r="K44" i="29"/>
  <c r="O44" i="29"/>
  <c r="O648" i="29"/>
  <c r="N648" i="29"/>
  <c r="K648" i="29"/>
  <c r="O387" i="29"/>
  <c r="N387" i="29"/>
  <c r="K387" i="29"/>
  <c r="N440" i="29"/>
  <c r="O440" i="29"/>
  <c r="K440" i="29"/>
  <c r="O503" i="29"/>
  <c r="N503" i="29"/>
  <c r="K503" i="29"/>
  <c r="O587" i="29"/>
  <c r="N587" i="29"/>
  <c r="K587" i="29"/>
  <c r="O632" i="29"/>
  <c r="N632" i="29"/>
  <c r="K632" i="29"/>
  <c r="O738" i="29"/>
  <c r="N738" i="29"/>
  <c r="K738" i="29"/>
  <c r="O780" i="29"/>
  <c r="N780" i="29"/>
  <c r="K780" i="29"/>
  <c r="O127" i="29"/>
  <c r="N127" i="29"/>
  <c r="K127" i="29"/>
  <c r="N177" i="29"/>
  <c r="K177" i="29"/>
  <c r="O177" i="29"/>
  <c r="N241" i="29"/>
  <c r="O241" i="29"/>
  <c r="K241" i="29"/>
  <c r="O331" i="29"/>
  <c r="N331" i="29"/>
  <c r="K331" i="29"/>
  <c r="O757" i="29"/>
  <c r="N757" i="29"/>
  <c r="K757" i="29"/>
  <c r="O95" i="29"/>
  <c r="K95" i="29"/>
  <c r="N95" i="29"/>
  <c r="N159" i="29"/>
  <c r="O159" i="29"/>
  <c r="K159" i="29"/>
  <c r="O576" i="29"/>
  <c r="N576" i="29"/>
  <c r="K576" i="29"/>
  <c r="O78" i="29"/>
  <c r="N78" i="29"/>
  <c r="K78" i="29"/>
  <c r="N222" i="29"/>
  <c r="K222" i="29"/>
  <c r="O222" i="29"/>
  <c r="O278" i="29"/>
  <c r="N278" i="29"/>
  <c r="K278" i="29"/>
  <c r="N229" i="29"/>
  <c r="O229" i="29"/>
  <c r="K229" i="29"/>
  <c r="N553" i="29"/>
  <c r="K553" i="29"/>
  <c r="O553" i="29"/>
  <c r="N425" i="29"/>
  <c r="O425" i="29"/>
  <c r="K425" i="29"/>
  <c r="O103" i="29"/>
  <c r="N103" i="29"/>
  <c r="K103" i="29"/>
  <c r="O388" i="29"/>
  <c r="N388" i="29"/>
  <c r="K388" i="29"/>
  <c r="K861" i="29"/>
  <c r="N861" i="29"/>
  <c r="N844" i="29"/>
  <c r="O844" i="29"/>
  <c r="N22" i="29"/>
  <c r="O853" i="29"/>
  <c r="N853" i="29"/>
  <c r="K853" i="29"/>
  <c r="N30" i="29"/>
  <c r="K814" i="29"/>
  <c r="N9" i="29"/>
  <c r="O852" i="29"/>
  <c r="O826" i="29"/>
  <c r="N826" i="29"/>
  <c r="K826" i="29"/>
  <c r="N814" i="29"/>
  <c r="K833" i="29"/>
  <c r="N36" i="29"/>
  <c r="N50" i="29"/>
  <c r="N5" i="29"/>
  <c r="N44" i="29"/>
  <c r="O833" i="29"/>
  <c r="N26" i="29"/>
  <c r="N38" i="29"/>
  <c r="O810" i="29"/>
  <c r="N810" i="29"/>
  <c r="K810" i="29"/>
  <c r="N15" i="29"/>
  <c r="O813" i="29"/>
  <c r="K813" i="29"/>
  <c r="N813" i="29"/>
  <c r="N845" i="29"/>
  <c r="O825" i="29"/>
  <c r="N825" i="29"/>
  <c r="N19" i="29"/>
  <c r="N47" i="29"/>
  <c r="O837" i="29"/>
  <c r="K837" i="29"/>
  <c r="N837" i="29"/>
  <c r="O817" i="29"/>
  <c r="N817" i="29"/>
  <c r="K817" i="29"/>
  <c r="N39" i="29"/>
  <c r="N20" i="29"/>
  <c r="N27" i="29"/>
  <c r="O835" i="29"/>
  <c r="N835" i="29"/>
  <c r="K835" i="29"/>
  <c r="O827" i="29"/>
  <c r="K827" i="29"/>
  <c r="N827" i="29"/>
  <c r="N51" i="29"/>
  <c r="N31" i="29"/>
  <c r="O815" i="29"/>
  <c r="N815" i="29"/>
  <c r="K815" i="29"/>
  <c r="O829" i="29"/>
  <c r="N829" i="29"/>
  <c r="K829" i="29"/>
  <c r="N33" i="29"/>
  <c r="N43" i="29"/>
  <c r="N10" i="29"/>
  <c r="O821" i="29"/>
  <c r="N821" i="29"/>
  <c r="K821" i="29"/>
  <c r="N49" i="29"/>
  <c r="O811" i="29"/>
  <c r="N811" i="29"/>
  <c r="K811" i="29"/>
  <c r="N7" i="29"/>
  <c r="N4" i="2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9CC793-0749-416C-BA27-448BCA24F134}" keepAlive="1" name="Query - Full Price List" description="Connection to the 'Full Price List' query in the workbook." type="5" refreshedVersion="8" background="1" refreshOnLoad="1" saveData="1">
    <dbPr connection="Provider=Microsoft.Mashup.OleDb.1;Data Source=$Workbook$;Location=&quot;Full Price List&quot;;Extended Properties=&quot;&quot;" command="SELECT * FROM [Full Price List]"/>
  </connection>
  <connection id="2" xr16:uid="{00000000-0015-0000-FFFF-FFFF01000000}" keepAlive="1" name="Query - Mrp All Items" description="Connection to the 'Mrp All Items' query in the workbook." type="5" refreshedVersion="8" background="1" refreshOnLoad="1" saveData="1">
    <dbPr connection="Provider=Microsoft.Mashup.OleDb.1;Data Source=$Workbook$;Location=&quot;Mrp All Items&quot;;Extended Properties=&quot;&quot;" command="SELECT * FROM [Mrp All Items]"/>
  </connection>
  <connection id="3" xr16:uid="{00000000-0015-0000-FFFF-FFFF02000000}" keepAlive="1" name="Query - Net Cash All items" description="Connection to the 'Net Cash All items' query in the workbook." type="5" refreshedVersion="8" background="1" refreshOnLoad="1" saveData="1">
    <dbPr connection="Provider=Microsoft.Mashup.OleDb.1;Data Source=$Workbook$;Location=&quot;Net Cash All items&quot;;Extended Properties=&quot;&quot;" command="SELECT * FROM [Net Cash All items]"/>
  </connection>
  <connection id="4" xr16:uid="{00000000-0015-0000-FFFF-FFFF03000000}" keepAlive="1" name="Query - Pashmina" description="Connection to the 'Pashmina' query in the workbook." type="5" refreshedVersion="0" background="1" refreshOnLoad="1" saveData="1">
    <dbPr connection="Provider=Microsoft.Mashup.OleDb.1;Data Source=$Workbook$;Location=Pashmina;Extended Properties=&quot;&quot;" command="SELECT * FROM [Pashmina]"/>
  </connection>
  <connection id="5" xr16:uid="{00000000-0015-0000-FFFF-FFFF04000000}" keepAlive="1" name="Query - Price25" description="Connection to the 'Price25' query in the workbook." type="5" refreshedVersion="0" background="1" refreshOnLoad="1" saveData="1">
    <dbPr connection="Provider=Microsoft.Mashup.OleDb.1;Data Source=$Workbook$;Location=Price25;Extended Properties=&quot;&quot;" command="SELECT * FROM [Price25]"/>
  </connection>
  <connection id="6" xr16:uid="{00000000-0015-0000-FFFF-FFFF05000000}" keepAlive="1" name="Query - Price30" description="Connection to the 'Price30' query in the workbook." type="5" refreshedVersion="0" background="1" refreshOnLoad="1" saveData="1">
    <dbPr connection="Provider=Microsoft.Mashup.OleDb.1;Data Source=$Workbook$;Location=Price30;Extended Properties=&quot;&quot;" command="SELECT * FROM [Price30]"/>
  </connection>
  <connection id="7" xr16:uid="{00000000-0015-0000-FFFF-FFFF06000000}" keepAlive="1" name="Query - Price35" description="Connection to the 'Price35' query in the workbook." type="5" refreshedVersion="0" background="1" refreshOnLoad="1" saveData="1">
    <dbPr connection="Provider=Microsoft.Mashup.OleDb.1;Data Source=$Workbook$;Location=Price35;Extended Properties=&quot;&quot;" command="SELECT * FROM [Price35]"/>
  </connection>
  <connection id="8" xr16:uid="{00000000-0015-0000-FFFF-FFFF07000000}" keepAlive="1" name="Query - South Price List" description="Connection to the 'South Price List' query in the workbook." type="5" refreshedVersion="8" background="1" refreshOnLoad="1" saveData="1">
    <dbPr connection="Provider=Microsoft.Mashup.OleDb.1;Data Source=$Workbook$;Location=&quot;South Price List&quot;;Extended Properties=&quot;&quot;" command="SELECT * FROM [South Price List]"/>
  </connection>
  <connection id="9" xr16:uid="{00000000-0015-0000-FFFF-FFFF08000000}" keepAlive="1" name="Query - SuitBranded" description="Connection to the 'SuitBranded' query in the workbook." type="5" refreshedVersion="0" background="1" refreshOnLoad="1" saveData="1">
    <dbPr connection="Provider=Microsoft.Mashup.OleDb.1;Data Source=$Workbook$;Location=SuitBranded;Extended Properties=&quot;&quot;" command="SELECT * FROM [SuitBranded]"/>
  </connection>
  <connection id="10" xr16:uid="{00000000-0015-0000-FFFF-FFFF09000000}" keepAlive="1" name="Query - SuitNonBranded" description="Connection to the 'SuitNonBranded' query in the workbook." type="5" refreshedVersion="0" background="1" refreshOnLoad="1" saveData="1">
    <dbPr connection="Provider=Microsoft.Mashup.OleDb.1;Data Source=$Workbook$;Location=SuitNonBranded;Extended Properties=&quot;&quot;" command="SELECT * FROM [SuitNonBranded]"/>
  </connection>
  <connection id="11" xr16:uid="{00000000-0015-0000-FFFF-FFFF0A000000}" keepAlive="1" name="Query - Wsp Lohi" description="Connection to the 'Wsp Lohi' query in the workbook." type="5" refreshedVersion="8" background="1" refreshOnLoad="1" saveData="1">
    <dbPr connection="Provider=Microsoft.Mashup.OleDb.1;Data Source=$Workbook$;Location=&quot;Wsp Lohi&quot;;Extended Properties=&quot;&quot;" command="SELECT * FROM [Wsp Lohi]"/>
  </connection>
  <connection id="12" xr16:uid="{00000000-0015-0000-FFFF-FFFF0B000000}" keepAlive="1" name="Query - Wsp Shawls" description="Connection to the 'Wsp Shawls' query in the workbook." type="5" refreshedVersion="8" background="1" refreshOnLoad="1" saveData="1">
    <dbPr connection="Provider=Microsoft.Mashup.OleDb.1;Data Source=$Workbook$;Location=&quot;Wsp Shawls&quot;;Extended Properties=&quot;&quot;" command="SELECT * FROM [Wsp Shawls]"/>
  </connection>
  <connection id="13" xr16:uid="{00000000-0015-0000-FFFF-FFFF0C000000}" keepAlive="1" name="Query - Wsp Stoles" description="Connection to the 'Wsp Stoles' query in the workbook." type="5" refreshedVersion="8" background="1" refreshOnLoad="1" saveData="1">
    <dbPr connection="Provider=Microsoft.Mashup.OleDb.1;Data Source=$Workbook$;Location=&quot;Wsp Stoles&quot;;Extended Properties=&quot;&quot;" command="SELECT * FROM [Wsp Stoles]"/>
  </connection>
  <connection id="14" xr16:uid="{00000000-0015-0000-FFFF-FFFF0D000000}" keepAlive="1" name="Query - Wsp Suits" description="Connection to the 'Wsp Suits' query in the workbook." type="5" refreshedVersion="8" background="1" refreshOnLoad="1" saveData="1">
    <dbPr connection="Provider=Microsoft.Mashup.OleDb.1;Data Source=$Workbook$;Location=&quot;Wsp Suits&quot;;Extended Properties=&quot;&quot;" command="SELECT * FROM [Wsp Suits]"/>
  </connection>
  <connection id="15" xr16:uid="{00000000-0015-0000-FFFF-FFFF0E000000}" keepAlive="1" name="Query - Wsp upto 2500" description="Connection to the 'Wsp upto 2500' query in the workbook." type="5" refreshedVersion="8" background="1" refreshOnLoad="1" saveData="1">
    <dbPr connection="Provider=Microsoft.Mashup.OleDb.1;Data Source=$Workbook$;Location=&quot;Wsp upto 2500&quot;;Extended Properties=&quot;&quot;" command="SELECT * FROM [Wsp upto 2500]"/>
  </connection>
</connections>
</file>

<file path=xl/sharedStrings.xml><?xml version="1.0" encoding="utf-8"?>
<sst xmlns="http://schemas.openxmlformats.org/spreadsheetml/2006/main" count="15794" uniqueCount="1027">
  <si>
    <t>malida</t>
  </si>
  <si>
    <t>variety 14 no.</t>
  </si>
  <si>
    <t>variety 13 no.</t>
  </si>
  <si>
    <t>shahtoosh</t>
  </si>
  <si>
    <t>hashia</t>
  </si>
  <si>
    <t>s.s tape 50"</t>
  </si>
  <si>
    <t>variety</t>
  </si>
  <si>
    <t xml:space="preserve">s.s tape 40 </t>
  </si>
  <si>
    <t>2-4 b.r kingri</t>
  </si>
  <si>
    <t>hashia variety</t>
  </si>
  <si>
    <t>jal</t>
  </si>
  <si>
    <t>pipping variety</t>
  </si>
  <si>
    <t>hashia 14 no.</t>
  </si>
  <si>
    <t xml:space="preserve">2-4 hashia </t>
  </si>
  <si>
    <t>90*45 c.n.d</t>
  </si>
  <si>
    <t>90*45 char hashia</t>
  </si>
  <si>
    <t>malida 10 no.</t>
  </si>
  <si>
    <t>2-8 shahtoosh</t>
  </si>
  <si>
    <t>90*45 shahtoosh</t>
  </si>
  <si>
    <t>3-0 sch</t>
  </si>
  <si>
    <t>2-4 shahtoosh</t>
  </si>
  <si>
    <t>plain 40 x 80</t>
  </si>
  <si>
    <t>self plain stole</t>
  </si>
  <si>
    <t>40 * 80 neem dour subhash</t>
  </si>
  <si>
    <t>shahtoosh 50 *100</t>
  </si>
  <si>
    <t>c.n.d 50 * 100 cashmilon</t>
  </si>
  <si>
    <t>P/V Lohi 400 gm</t>
  </si>
  <si>
    <t>polyester antique d.c</t>
  </si>
  <si>
    <t>daur cutting m.r</t>
  </si>
  <si>
    <t>45*90 gents</t>
  </si>
  <si>
    <t>shawls chunri print usha</t>
  </si>
  <si>
    <t>muffler</t>
  </si>
  <si>
    <t>multihead neem dour 350 gm</t>
  </si>
  <si>
    <t>stole polywool print</t>
  </si>
  <si>
    <t>c.n.d multihead new</t>
  </si>
  <si>
    <t>c.n.d 45" multihead new</t>
  </si>
  <si>
    <t>stole raman ari</t>
  </si>
  <si>
    <t>milange dour m.r</t>
  </si>
  <si>
    <t>s.s. deekay textiles pvr 40"</t>
  </si>
  <si>
    <t>gents kani polywool maya</t>
  </si>
  <si>
    <t>stole 105 gw</t>
  </si>
  <si>
    <t>gents kani d.h</t>
  </si>
  <si>
    <t>multihead sangeen dour subhash</t>
  </si>
  <si>
    <t>fancy stole pawan</t>
  </si>
  <si>
    <t>shawls polyester cutting d.c</t>
  </si>
  <si>
    <t>stole nagpal cutting</t>
  </si>
  <si>
    <t>stole harish kumar surinder kumar 1500</t>
  </si>
  <si>
    <t>450 gm s.s lohi nagpal</t>
  </si>
  <si>
    <t>s.s lohi 570 gm gurdeep</t>
  </si>
  <si>
    <t>stole m.h liva border</t>
  </si>
  <si>
    <t>gents char hashia toosh 50*100</t>
  </si>
  <si>
    <t>stole m.h liva border + sippy kaka</t>
  </si>
  <si>
    <t>stole natti</t>
  </si>
  <si>
    <t>s.s border 40" gurdeep nagpal</t>
  </si>
  <si>
    <t>shawl liva m.h + sippy kaka</t>
  </si>
  <si>
    <t>shawl pashmina zari (moonlight) d.h</t>
  </si>
  <si>
    <t>multihead variety new</t>
  </si>
  <si>
    <t>shawl supreme self m.r</t>
  </si>
  <si>
    <t>shawl kani solitaire d.c</t>
  </si>
  <si>
    <t>stole bajaj single tana</t>
  </si>
  <si>
    <t>stole 2003 gw</t>
  </si>
  <si>
    <t>shawl 105 gw</t>
  </si>
  <si>
    <t>stole angoora bajaj 627 no.</t>
  </si>
  <si>
    <t>M1</t>
  </si>
  <si>
    <t>stole cotton wool d.c</t>
  </si>
  <si>
    <t>shawl cotton wool d.c</t>
  </si>
  <si>
    <t>shawl d/b kani d.c</t>
  </si>
  <si>
    <t>shawl kalamkari jal d.c</t>
  </si>
  <si>
    <t>shawl kani kohinoor d.c</t>
  </si>
  <si>
    <t>self stole + ari manjeet + sippy</t>
  </si>
  <si>
    <t xml:space="preserve"> d.h fine kani jal + diamond kani asian 1700</t>
  </si>
  <si>
    <t>reversible plain  asian</t>
  </si>
  <si>
    <t>zari reversible asian</t>
  </si>
  <si>
    <t>super modal d.h + shawl no. 12 dewan chand</t>
  </si>
  <si>
    <t>super modal zari shawl d.h + M kani heavy zari d.c 135 no.</t>
  </si>
  <si>
    <t>stole super modal d.h + M 1/6 kani jal d.c no.5</t>
  </si>
  <si>
    <t>shawl sippy + patch</t>
  </si>
  <si>
    <t>neem dour subhash</t>
  </si>
  <si>
    <t>kani suit</t>
  </si>
  <si>
    <t>usha</t>
  </si>
  <si>
    <t>D.C</t>
  </si>
  <si>
    <t>gents shahtoosh pure</t>
  </si>
  <si>
    <t>40*80 shahtoosh polywool</t>
  </si>
  <si>
    <t>hashia 40" pure sun woollen</t>
  </si>
  <si>
    <t>d.c</t>
  </si>
  <si>
    <t>ST 140</t>
  </si>
  <si>
    <t>ST 141</t>
  </si>
  <si>
    <t>stole pure digital + ari amritsar</t>
  </si>
  <si>
    <t>hashia multihead 14 no.</t>
  </si>
  <si>
    <t>mini neem dour multihead 13 no.</t>
  </si>
  <si>
    <t>2-4 hashia multihead new</t>
  </si>
  <si>
    <t>shawl no.178 dewan</t>
  </si>
  <si>
    <t>shawl no.180 dewan</t>
  </si>
  <si>
    <t>shawl no.95 dewan</t>
  </si>
  <si>
    <t>shawl palla jal d.c</t>
  </si>
  <si>
    <t>shawl polyester zari</t>
  </si>
  <si>
    <t>stole cotton wool zari d.c</t>
  </si>
  <si>
    <t>shawl cotton wool zari d.c</t>
  </si>
  <si>
    <t>stole 1x5 kani zari 599 no.surbhi</t>
  </si>
  <si>
    <t>shawl no.424 maya</t>
  </si>
  <si>
    <t>self stole viscose + ari manjeet + sippy</t>
  </si>
  <si>
    <t>stole b r fabrics + patch + sippy kaka</t>
  </si>
  <si>
    <t>stole modal digital</t>
  </si>
  <si>
    <t>stole raman ari jal + patch mamta</t>
  </si>
  <si>
    <t>stole b.r. fabrics + patch + sippy kaka</t>
  </si>
  <si>
    <t>print lohi b.k.sabharwal</t>
  </si>
  <si>
    <t xml:space="preserve">shahtoosh multihead 45*90 </t>
  </si>
  <si>
    <t>hashia multihead 45</t>
  </si>
  <si>
    <t>stole b.r + sippy kaka</t>
  </si>
  <si>
    <t>shawl 107 gw</t>
  </si>
  <si>
    <t>stole modal reversible tiwari</t>
  </si>
  <si>
    <t>stole modal zari 1x5 shivam</t>
  </si>
  <si>
    <t>ramayan lohi jay dee 80 x 20</t>
  </si>
  <si>
    <t>lohi govinda 80 x 20 jay dee</t>
  </si>
  <si>
    <t>lohi sahil</t>
  </si>
  <si>
    <t>sahil jay dee</t>
  </si>
  <si>
    <t>stole polywool print + ari amritsar</t>
  </si>
  <si>
    <t>toosh polywool h.r 700 gm</t>
  </si>
  <si>
    <t>stole 2355 gw</t>
  </si>
  <si>
    <t>lohi check wool emb.</t>
  </si>
  <si>
    <t>digital print kalamkari ashwani</t>
  </si>
  <si>
    <t>self stole + net embroidery manjeet + sippy mamta</t>
  </si>
  <si>
    <t>shawl kani multy</t>
  </si>
  <si>
    <t>Supplier</t>
  </si>
  <si>
    <t>Usha</t>
  </si>
  <si>
    <t>Ashwani</t>
  </si>
  <si>
    <t>Subhash</t>
  </si>
  <si>
    <t>Maya</t>
  </si>
  <si>
    <t>Gaurav</t>
  </si>
  <si>
    <t>sohum</t>
  </si>
  <si>
    <t>250 gm gulab jal dark</t>
  </si>
  <si>
    <t>400 gm dark buti</t>
  </si>
  <si>
    <t>Rajesh</t>
  </si>
  <si>
    <t>Sun</t>
  </si>
  <si>
    <t>Dh</t>
  </si>
  <si>
    <t>Dewan</t>
  </si>
  <si>
    <t>Asian</t>
  </si>
  <si>
    <t>Kashmira</t>
  </si>
  <si>
    <t>Rama krishna</t>
  </si>
  <si>
    <t>Dharm</t>
  </si>
  <si>
    <t>ST 3</t>
  </si>
  <si>
    <t>ST 143</t>
  </si>
  <si>
    <t>ST 190</t>
  </si>
  <si>
    <t>ST 191</t>
  </si>
  <si>
    <t>ST 193</t>
  </si>
  <si>
    <t>ST 205</t>
  </si>
  <si>
    <t>ST 504</t>
  </si>
  <si>
    <t>ST 511</t>
  </si>
  <si>
    <t>ST 512</t>
  </si>
  <si>
    <t>ST 515</t>
  </si>
  <si>
    <t>ST 904</t>
  </si>
  <si>
    <t>P 8</t>
  </si>
  <si>
    <t>P 169</t>
  </si>
  <si>
    <t>Ponchu</t>
  </si>
  <si>
    <t>923 plain</t>
  </si>
  <si>
    <t>tt kullu linning raising</t>
  </si>
  <si>
    <t>shawl raising  super kullu</t>
  </si>
  <si>
    <t>shawl baby check kullu</t>
  </si>
  <si>
    <t>1606 no. raising</t>
  </si>
  <si>
    <t>mixture stole</t>
  </si>
  <si>
    <t>v.s</t>
  </si>
  <si>
    <t>EX N3</t>
  </si>
  <si>
    <t>suit</t>
  </si>
  <si>
    <t>cotton suit</t>
  </si>
  <si>
    <t>Multi kani</t>
  </si>
  <si>
    <t xml:space="preserve">single kani zari </t>
  </si>
  <si>
    <t>single kani cotton</t>
  </si>
  <si>
    <t>polywool</t>
  </si>
  <si>
    <t>ashwani</t>
  </si>
  <si>
    <t>ankur</t>
  </si>
  <si>
    <t>stole modal d.c</t>
  </si>
  <si>
    <t>Stole</t>
  </si>
  <si>
    <t>scarf modal d.c</t>
  </si>
  <si>
    <t>2-4  shahtoosh multihead</t>
  </si>
  <si>
    <t>D.H</t>
  </si>
  <si>
    <t>chasme bulbul stole</t>
  </si>
  <si>
    <t>stole moonlight cutting jal asian + moonlight zari d.h 800/-</t>
  </si>
  <si>
    <t>1/2 cutting shawl</t>
  </si>
  <si>
    <t>Manjeet</t>
  </si>
  <si>
    <t>shawl daur palla, jal</t>
  </si>
  <si>
    <t>shawl no.147</t>
  </si>
  <si>
    <t>shawl no.30</t>
  </si>
  <si>
    <t>shawl no.200</t>
  </si>
  <si>
    <t>shawl no.162 new</t>
  </si>
  <si>
    <t>shawl no.23 kunj</t>
  </si>
  <si>
    <t>shawl no.12 kalamkari</t>
  </si>
  <si>
    <t>Marshal</t>
  </si>
  <si>
    <t>shawl multi ambi cutting</t>
  </si>
  <si>
    <t>shawl asr cutiing kunj</t>
  </si>
  <si>
    <t>shawl liva + ari manjeet + patch mamta</t>
  </si>
  <si>
    <t>kaka</t>
  </si>
  <si>
    <t>manjeet</t>
  </si>
  <si>
    <t>SELF STOLE POLYWOOL + ARI MANJEET + SIPPY</t>
  </si>
  <si>
    <t>stole pure polywool + ari jal manjeet + patch mamta</t>
  </si>
  <si>
    <t>stole no.10207, 10224, 10193</t>
  </si>
  <si>
    <t>JJ Shawls</t>
  </si>
  <si>
    <t>stole no. 10197</t>
  </si>
  <si>
    <t>raman</t>
  </si>
  <si>
    <t>1/100 silk</t>
  </si>
  <si>
    <t>single head</t>
  </si>
  <si>
    <t>jal swarovski</t>
  </si>
  <si>
    <t>pure polywool solo nalki</t>
  </si>
  <si>
    <t>1/100 ambi o/l</t>
  </si>
  <si>
    <t>pure polywool single head</t>
  </si>
  <si>
    <t>1032 no. shawl print emb. Himachal</t>
  </si>
  <si>
    <t>1044 no. shawl print emb. Himachal</t>
  </si>
  <si>
    <t>1040 no. shawl print emb. Himachal</t>
  </si>
  <si>
    <t>1041 no. shawl print emb. Himachal</t>
  </si>
  <si>
    <t>1043 no. shawl print emb. Himachal</t>
  </si>
  <si>
    <t>stole knitting sky sun 106</t>
  </si>
  <si>
    <t>stole knitting skysun 2208</t>
  </si>
  <si>
    <t>stole knitting sky sun 313</t>
  </si>
  <si>
    <t>stole knitting sky sun 107</t>
  </si>
  <si>
    <t>stole knitting sky sun 303</t>
  </si>
  <si>
    <t>stole knitting sky sun 311</t>
  </si>
  <si>
    <t>stole knitting skysun self 101 no.</t>
  </si>
  <si>
    <t>stole knitting sky sun 201</t>
  </si>
  <si>
    <t>stole knitting skysun 202</t>
  </si>
  <si>
    <t>stole knitting skysun 401</t>
  </si>
  <si>
    <t>stole knitting skysun 606</t>
  </si>
  <si>
    <t>stole knitting skysun 413</t>
  </si>
  <si>
    <t>stole knitting skysun 511</t>
  </si>
  <si>
    <t>stole knitting skysun 404</t>
  </si>
  <si>
    <t>stole knitting skysun 513</t>
  </si>
  <si>
    <t>stole knitting skysun 605</t>
  </si>
  <si>
    <t>skysun</t>
  </si>
  <si>
    <t>shawl kashmiri jal</t>
  </si>
  <si>
    <t>rattan</t>
  </si>
  <si>
    <t>stole modal nc jaal</t>
  </si>
  <si>
    <t>stole modal kani cutting</t>
  </si>
  <si>
    <t>kani palla cutting</t>
  </si>
  <si>
    <t>antique non cutting jal</t>
  </si>
  <si>
    <t>self linning zari palla</t>
  </si>
  <si>
    <t>m.r</t>
  </si>
  <si>
    <t>multi cutting jal</t>
  </si>
  <si>
    <t>kashmira</t>
  </si>
  <si>
    <t>daur cutting m.r + patch mamta</t>
  </si>
  <si>
    <t>raj pal</t>
  </si>
  <si>
    <t>stole modal 6000 A reversible stole</t>
  </si>
  <si>
    <t>kalamkari shawl</t>
  </si>
  <si>
    <t>p/v/lohi orange 600 gm</t>
  </si>
  <si>
    <t>pawan</t>
  </si>
  <si>
    <t>micro jal</t>
  </si>
  <si>
    <t>shawl raising pawan  jugnu kullu</t>
  </si>
  <si>
    <t xml:space="preserve">shawl raising rockstar </t>
  </si>
  <si>
    <t>lohi p/v 800 gm jay dee with bag 275/- kg</t>
  </si>
  <si>
    <t>h.r</t>
  </si>
  <si>
    <t>rubru lohi 500 gm</t>
  </si>
  <si>
    <t xml:space="preserve">stole jal kashmiri </t>
  </si>
  <si>
    <t>bajaj</t>
  </si>
  <si>
    <t>woollen jal</t>
  </si>
  <si>
    <t>nagpal</t>
  </si>
  <si>
    <t>stole viscose kani</t>
  </si>
  <si>
    <t>polywool stole bajaj 616 no.</t>
  </si>
  <si>
    <t>stole polywool  + sippy</t>
  </si>
  <si>
    <t>stole angoora zari bajaj 627-J</t>
  </si>
  <si>
    <t>plain stole solo polywool 150 gm</t>
  </si>
  <si>
    <t>shawl fine wool digital + ari outline asr 170 gm 4000/- kg</t>
  </si>
  <si>
    <t>ST 136</t>
  </si>
  <si>
    <t>ST 136 CL PLAIN POM POM</t>
  </si>
  <si>
    <t>ST 657</t>
  </si>
  <si>
    <t>ST 657 Modal Stoles</t>
  </si>
  <si>
    <t>ST 900</t>
  </si>
  <si>
    <t>ST 900 MIX CHECKS</t>
  </si>
  <si>
    <t>ST 436</t>
  </si>
  <si>
    <t>ST 436 KORICHIA EMB.</t>
  </si>
  <si>
    <t>ST 78</t>
  </si>
  <si>
    <t>ST 78 FINE BIG BOX</t>
  </si>
  <si>
    <t>ST 79</t>
  </si>
  <si>
    <t>ST 79 FINE STRIPES</t>
  </si>
  <si>
    <t>ST 337 L</t>
  </si>
  <si>
    <t>ST 287 L</t>
  </si>
  <si>
    <t>ST 437 L</t>
  </si>
  <si>
    <t>ST 438 L</t>
  </si>
  <si>
    <t>ST 289 L</t>
  </si>
  <si>
    <t>ST 83 L</t>
  </si>
  <si>
    <t>ST 143 ZARI</t>
  </si>
  <si>
    <t>Shawl</t>
  </si>
  <si>
    <t>dee kay</t>
  </si>
  <si>
    <t>300 roto white</t>
  </si>
  <si>
    <t>polywool stole box design no.653 + sippy mamta</t>
  </si>
  <si>
    <t>stole jal kashmiri  + outline mamta</t>
  </si>
  <si>
    <t xml:space="preserve">stole liva + chalu sippy mamta </t>
  </si>
  <si>
    <t>stole jal kashmiri + patch + sippy kaka</t>
  </si>
  <si>
    <t>shawl</t>
  </si>
  <si>
    <t>shawl liva + chalu sippy mamta</t>
  </si>
  <si>
    <t>self stole polywool marshal + border manjeet + sippy</t>
  </si>
  <si>
    <t>Lohi</t>
  </si>
  <si>
    <t>shawl liva + ari +sippy</t>
  </si>
  <si>
    <t>stole self viscose +  ari jal manjeet + sippy</t>
  </si>
  <si>
    <t>gaurav</t>
  </si>
  <si>
    <t>jamma 24101 &amp; 22000  gw</t>
  </si>
  <si>
    <t>jamma 24097 &amp; 24099 gw</t>
  </si>
  <si>
    <t>pashmina kani stole d.h</t>
  </si>
  <si>
    <t xml:space="preserve">shawl polywool digital + ari sajid </t>
  </si>
  <si>
    <t>stole velvet</t>
  </si>
  <si>
    <t>stole knitting white talwar</t>
  </si>
  <si>
    <t>rahul</t>
  </si>
  <si>
    <t>Suit Set No.610</t>
  </si>
  <si>
    <t>Suit Set No.611</t>
  </si>
  <si>
    <t>Suit Set No.612</t>
  </si>
  <si>
    <t>Suit Set No.613</t>
  </si>
  <si>
    <t>Suit Set No.614</t>
  </si>
  <si>
    <t>Suit Set No.839</t>
  </si>
  <si>
    <t>Suit Set No.846</t>
  </si>
  <si>
    <t>Suit Set No.849</t>
  </si>
  <si>
    <t>Suit Set No.832</t>
  </si>
  <si>
    <t>Suit Set No.833</t>
  </si>
  <si>
    <t>Suit Set No.834</t>
  </si>
  <si>
    <t>Suit Set No.836</t>
  </si>
  <si>
    <t>Suit Set No.837</t>
  </si>
  <si>
    <t>Suit Set No.845</t>
  </si>
  <si>
    <t>stole knitting  hair talwar</t>
  </si>
  <si>
    <t>ankit</t>
  </si>
  <si>
    <t>stole white with white embroidery</t>
  </si>
  <si>
    <t>kalamkari shawl fabric ankit + embroidery ashwani</t>
  </si>
  <si>
    <t>t.emb. &amp; 6000 E Raj Pal  + ikat stole rajpal</t>
  </si>
  <si>
    <t>stole modal kalamkari palla</t>
  </si>
  <si>
    <t>a.n.woollen</t>
  </si>
  <si>
    <t>stole barat design</t>
  </si>
  <si>
    <t>golden kani suit</t>
  </si>
  <si>
    <t>zari gala</t>
  </si>
  <si>
    <t>Super Kani</t>
  </si>
  <si>
    <t>self lohi m.r</t>
  </si>
  <si>
    <t>Suit Set Silk 520204</t>
  </si>
  <si>
    <t>520204 silk suit</t>
  </si>
  <si>
    <t>Sanjay trading</t>
  </si>
  <si>
    <t>gents hashia 50*100</t>
  </si>
  <si>
    <t>sanjay trading</t>
  </si>
  <si>
    <t>shawl kalamkari zari</t>
  </si>
  <si>
    <t>shawl 15066</t>
  </si>
  <si>
    <t>dewan</t>
  </si>
  <si>
    <t>silk suit</t>
  </si>
  <si>
    <t xml:space="preserve">Suit Set Silk </t>
  </si>
  <si>
    <t>Winter Queen Digital Print</t>
  </si>
  <si>
    <t>winter queen digital print</t>
  </si>
  <si>
    <t>shimmer wool digital print</t>
  </si>
  <si>
    <t>shimmer wool digital</t>
  </si>
  <si>
    <t>wool digital print ari</t>
  </si>
  <si>
    <t>winter queen digital print gala embroidery</t>
  </si>
  <si>
    <t>nitara</t>
  </si>
  <si>
    <t>single kani zari  cotton suit</t>
  </si>
  <si>
    <t>robin</t>
  </si>
  <si>
    <t>BM GUPTA</t>
  </si>
  <si>
    <t>day night lohi</t>
  </si>
  <si>
    <t>sanwaria</t>
  </si>
  <si>
    <t>border moonlight shawls</t>
  </si>
  <si>
    <t>palla moonlight shawl</t>
  </si>
  <si>
    <t>ST 663</t>
  </si>
  <si>
    <t>ST 405</t>
  </si>
  <si>
    <t>ST 432</t>
  </si>
  <si>
    <t>ST 753</t>
  </si>
  <si>
    <t>ST 34 CL</t>
  </si>
  <si>
    <t>ST 210 L</t>
  </si>
  <si>
    <t>ST 146</t>
  </si>
  <si>
    <t>ST 359 CL</t>
  </si>
  <si>
    <t>ST 153</t>
  </si>
  <si>
    <t>ST 238</t>
  </si>
  <si>
    <t>ST 475</t>
  </si>
  <si>
    <t>ST 244</t>
  </si>
  <si>
    <t>ST 82</t>
  </si>
  <si>
    <t>ST 355 CL</t>
  </si>
  <si>
    <t>N3</t>
  </si>
  <si>
    <t>ST 2</t>
  </si>
  <si>
    <t>ST 220 L</t>
  </si>
  <si>
    <t>ST 325</t>
  </si>
  <si>
    <t>ST 498</t>
  </si>
  <si>
    <t>ST 454</t>
  </si>
  <si>
    <t>ST 755</t>
  </si>
  <si>
    <t>ST 36 L</t>
  </si>
  <si>
    <t>P 171</t>
  </si>
  <si>
    <t>ST 165</t>
  </si>
  <si>
    <t>st 165</t>
  </si>
  <si>
    <t>modal kunj cutting</t>
  </si>
  <si>
    <t>modal stole elephant</t>
  </si>
  <si>
    <t>modal stole linning border</t>
  </si>
  <si>
    <t>modal stole chinar buti</t>
  </si>
  <si>
    <t>modal stole  antique palla</t>
  </si>
  <si>
    <t xml:space="preserve">digital print </t>
  </si>
  <si>
    <t>harish kumar</t>
  </si>
  <si>
    <t>shawl  no 135 j</t>
  </si>
  <si>
    <t>shawl no, 115</t>
  </si>
  <si>
    <t>modal stole 6018</t>
  </si>
  <si>
    <t>modal stole 6026</t>
  </si>
  <si>
    <t>modal stole 6019</t>
  </si>
  <si>
    <t>modal stole 6028</t>
  </si>
  <si>
    <t>modal stole 6027</t>
  </si>
  <si>
    <t>modal stole 6017</t>
  </si>
  <si>
    <t>modal stole 6020</t>
  </si>
  <si>
    <t>1700 no</t>
  </si>
  <si>
    <t>1700 multy</t>
  </si>
  <si>
    <t>1620 no</t>
  </si>
  <si>
    <t>hemant</t>
  </si>
  <si>
    <t>virat</t>
  </si>
  <si>
    <t>chairman</t>
  </si>
  <si>
    <t>orchid</t>
  </si>
  <si>
    <t>4711 no.</t>
  </si>
  <si>
    <t>prince</t>
  </si>
  <si>
    <t>681 no</t>
  </si>
  <si>
    <t>525 no</t>
  </si>
  <si>
    <t>511 no</t>
  </si>
  <si>
    <t>minister new</t>
  </si>
  <si>
    <t>rangoli</t>
  </si>
  <si>
    <t>sanmaan</t>
  </si>
  <si>
    <t>225 no</t>
  </si>
  <si>
    <t>ST 242</t>
  </si>
  <si>
    <t>ST 358</t>
  </si>
  <si>
    <t>ST 358 CL</t>
  </si>
  <si>
    <t>P 14</t>
  </si>
  <si>
    <t>ST 246</t>
  </si>
  <si>
    <t>ST 107</t>
  </si>
  <si>
    <t>ST 124</t>
  </si>
  <si>
    <t>ST 142</t>
  </si>
  <si>
    <t>ST 167</t>
  </si>
  <si>
    <t>ST 187</t>
  </si>
  <si>
    <t>ST 200</t>
  </si>
  <si>
    <t>ST 351</t>
  </si>
  <si>
    <t>ST 389</t>
  </si>
  <si>
    <t>ST 393</t>
  </si>
  <si>
    <t>ST 400</t>
  </si>
  <si>
    <t>ST 496</t>
  </si>
  <si>
    <t>shawl raising dark toosha</t>
  </si>
  <si>
    <t>raising shawl panchali</t>
  </si>
  <si>
    <t>ST 199</t>
  </si>
  <si>
    <t>modal chess stole cutting</t>
  </si>
  <si>
    <t>kandhari border/ border finish</t>
  </si>
  <si>
    <t>120 count fine wool lohi</t>
  </si>
  <si>
    <t>Item</t>
  </si>
  <si>
    <t>fluffy stole, raising stole</t>
  </si>
  <si>
    <t>shawl polywool zari</t>
  </si>
  <si>
    <t>cross buti cutting</t>
  </si>
  <si>
    <t>brushing 4 side</t>
  </si>
  <si>
    <t>Mrp</t>
  </si>
  <si>
    <t>shawl liva + embroidery  + patch mamta</t>
  </si>
  <si>
    <t>angoora raising</t>
  </si>
  <si>
    <t>diamond khadi</t>
  </si>
  <si>
    <t>kullu print</t>
  </si>
  <si>
    <t>sunflower</t>
  </si>
  <si>
    <t>kareb check</t>
  </si>
  <si>
    <t>shawl raising burberry</t>
  </si>
  <si>
    <t>stole cutting flower + patch kaka</t>
  </si>
  <si>
    <t>angoora dark</t>
  </si>
  <si>
    <t>pankhuri</t>
  </si>
  <si>
    <t>super ruhi</t>
  </si>
  <si>
    <t>kaveri raising</t>
  </si>
  <si>
    <t>liva raising</t>
  </si>
  <si>
    <t>softy light finish</t>
  </si>
  <si>
    <t>camel multi</t>
  </si>
  <si>
    <t>shawl liva + ari + patch kaka</t>
  </si>
  <si>
    <t>shawl liva + ari jal + sippy</t>
  </si>
  <si>
    <t>300 gm light softy cdf</t>
  </si>
  <si>
    <t>shawl liva + self jal + sippy</t>
  </si>
  <si>
    <t>350 gm mahaluxmi</t>
  </si>
  <si>
    <t xml:space="preserve">kalamkari shawl light </t>
  </si>
  <si>
    <t>4 side ambi zari shawl</t>
  </si>
  <si>
    <t>half ambi zari shawl</t>
  </si>
  <si>
    <t>shawl liva polyester + patch kaka four designs</t>
  </si>
  <si>
    <t>shawl sd self</t>
  </si>
  <si>
    <t>shawl antique kani</t>
  </si>
  <si>
    <t>fine wool kani &amp; ikat stole</t>
  </si>
  <si>
    <t>marino</t>
  </si>
  <si>
    <t>rajsons</t>
  </si>
  <si>
    <t>R 4905</t>
  </si>
  <si>
    <t>R 6003</t>
  </si>
  <si>
    <t>R 5335</t>
  </si>
  <si>
    <t>R 6001</t>
  </si>
  <si>
    <t>R 5338</t>
  </si>
  <si>
    <t>R 5272</t>
  </si>
  <si>
    <t>R 8060</t>
  </si>
  <si>
    <t>R 8035</t>
  </si>
  <si>
    <t>R 4795</t>
  </si>
  <si>
    <t>R 4827</t>
  </si>
  <si>
    <t>R 122</t>
  </si>
  <si>
    <t>R 504</t>
  </si>
  <si>
    <t>R 7810</t>
  </si>
  <si>
    <t>R 9505</t>
  </si>
  <si>
    <t>R 9513</t>
  </si>
  <si>
    <t>R 9507</t>
  </si>
  <si>
    <t>P/A LOHI 1000 GM with bag</t>
  </si>
  <si>
    <t>self stole + ari raman 8 designs</t>
  </si>
  <si>
    <t>sidhraj</t>
  </si>
  <si>
    <t>shawls jaquard</t>
  </si>
  <si>
    <t>shawl liva + ari manjeet  export designs</t>
  </si>
  <si>
    <t>jagdish weaving</t>
  </si>
  <si>
    <t>export lohi 700 gms cream print</t>
  </si>
  <si>
    <t>export lohi 730 gms cdf print</t>
  </si>
  <si>
    <t>export 400 gms toosha p.a</t>
  </si>
  <si>
    <t>export 400 gms normal weave white + cdf</t>
  </si>
  <si>
    <t>export 400 gms chashmebulbul fancy</t>
  </si>
  <si>
    <t>export jacquard border velvet 45*90</t>
  </si>
  <si>
    <t>export rotto badla</t>
  </si>
  <si>
    <t>shawl liva + ari  manjeet +patch kaka export designs</t>
  </si>
  <si>
    <t>stole pure polywool 2/72 + ari dour manjeet + patck kaka</t>
  </si>
  <si>
    <t>Kashmiri</t>
  </si>
  <si>
    <t>Polywool</t>
  </si>
  <si>
    <t>Knitting</t>
  </si>
  <si>
    <t>China</t>
  </si>
  <si>
    <t>Fine Wool</t>
  </si>
  <si>
    <t>Raising</t>
  </si>
  <si>
    <t>export lohi</t>
  </si>
  <si>
    <t>print lohi</t>
  </si>
  <si>
    <t>scarf</t>
  </si>
  <si>
    <t>shawl liva + patch jal</t>
  </si>
  <si>
    <t>Quality</t>
  </si>
  <si>
    <t>Ps Mehra</t>
  </si>
  <si>
    <t>paras</t>
  </si>
  <si>
    <t>vikrant</t>
  </si>
  <si>
    <t>akshay</t>
  </si>
  <si>
    <t>manyavar</t>
  </si>
  <si>
    <t>danveer</t>
  </si>
  <si>
    <t>sambandh</t>
  </si>
  <si>
    <t>mahavtar</t>
  </si>
  <si>
    <t>bahuballi</t>
  </si>
  <si>
    <t>samrat</t>
  </si>
  <si>
    <t>bharat</t>
  </si>
  <si>
    <t>mla</t>
  </si>
  <si>
    <t>jannayak</t>
  </si>
  <si>
    <t>530 s</t>
  </si>
  <si>
    <t>merchant</t>
  </si>
  <si>
    <t>romeo</t>
  </si>
  <si>
    <t>vasu</t>
  </si>
  <si>
    <t>kuber</t>
  </si>
  <si>
    <t>woolly jaquard shawl fresh 500 gm</t>
  </si>
  <si>
    <t>woolly jaquard shawl fresh 450 gm</t>
  </si>
  <si>
    <t>woolly jaquard shawl rotto 500 gm</t>
  </si>
  <si>
    <t>woolly jaquard shawl rotto 450 gm</t>
  </si>
  <si>
    <t xml:space="preserve">shawl liva </t>
  </si>
  <si>
    <t>Pl Exports</t>
  </si>
  <si>
    <t>F/M zari kani</t>
  </si>
  <si>
    <t>pl kalamkari</t>
  </si>
  <si>
    <t>pl heavy kani</t>
  </si>
  <si>
    <t>pl multi kani</t>
  </si>
  <si>
    <t>melange kani jal</t>
  </si>
  <si>
    <t>melange check kani</t>
  </si>
  <si>
    <t>pl kani daur</t>
  </si>
  <si>
    <t>mamta</t>
  </si>
  <si>
    <t>stole liva + patch + sippy 2 designs</t>
  </si>
  <si>
    <t>self stole polywool + dour + patch mamta</t>
  </si>
  <si>
    <t>chunri</t>
  </si>
  <si>
    <t>Narain ji</t>
  </si>
  <si>
    <t>mix designs</t>
  </si>
  <si>
    <t>moonlight stripe</t>
  </si>
  <si>
    <t>stole 1/2 cutting asian 700/- , d.h 775/-</t>
  </si>
  <si>
    <t>semi  cutting palla bird</t>
  </si>
  <si>
    <t>semi reversible jaquard</t>
  </si>
  <si>
    <t>semi t.d. reversible</t>
  </si>
  <si>
    <t>semi diamond double kani</t>
  </si>
  <si>
    <t>Bhushan</t>
  </si>
  <si>
    <t>stole zari ari</t>
  </si>
  <si>
    <t>stole zari ari + hand work</t>
  </si>
  <si>
    <t>toosha jal</t>
  </si>
  <si>
    <t>self sole + patch border kunj kaka</t>
  </si>
  <si>
    <t>polywool self shawl marrino + patch border kunj kaka</t>
  </si>
  <si>
    <t>Crystal no.4000</t>
  </si>
  <si>
    <t>Crystal no.5000</t>
  </si>
  <si>
    <t>Crystal no.6000</t>
  </si>
  <si>
    <t>Crystal no.8000</t>
  </si>
  <si>
    <t>Crystal no.7000</t>
  </si>
  <si>
    <t>Crystal no.9000</t>
  </si>
  <si>
    <t>Dhariwal no.10000</t>
  </si>
  <si>
    <t>400 gm without wash packed</t>
  </si>
  <si>
    <t>500 gm without wash packed</t>
  </si>
  <si>
    <t>600 gm without wash packed</t>
  </si>
  <si>
    <t>700 gm without wash packed</t>
  </si>
  <si>
    <t>800 gm without wash packed</t>
  </si>
  <si>
    <t>900 gm without wash packed</t>
  </si>
  <si>
    <t>1000 gm without wash packed</t>
  </si>
  <si>
    <t>kalamkari</t>
  </si>
  <si>
    <t>kalamkari palla</t>
  </si>
  <si>
    <t>top dour multi head</t>
  </si>
  <si>
    <t>self polywool stole+ palla buti patch</t>
  </si>
  <si>
    <t>ramesh khanna</t>
  </si>
  <si>
    <t>buti jamma</t>
  </si>
  <si>
    <t>jal jamma kani</t>
  </si>
  <si>
    <t>subhash</t>
  </si>
  <si>
    <t>jamma ashwani + subhash pajley jamma 7900</t>
  </si>
  <si>
    <t>ari print design no.25321</t>
  </si>
  <si>
    <t>polywool shawl marino + ari dour raman + patch dogra</t>
  </si>
  <si>
    <t>polywool self marino + patch palla kaka</t>
  </si>
  <si>
    <t>krishna</t>
  </si>
  <si>
    <t>kay dee kay</t>
  </si>
  <si>
    <t>300 gm roto pv white packed</t>
  </si>
  <si>
    <t>s.s deekay textiles 40" pvr</t>
  </si>
  <si>
    <t>shawl liva + buti kaka export designs</t>
  </si>
  <si>
    <t>shawl liva + buti manjeet export designs</t>
  </si>
  <si>
    <t>c 509</t>
  </si>
  <si>
    <t>c 507</t>
  </si>
  <si>
    <t>c 974</t>
  </si>
  <si>
    <t>c 686</t>
  </si>
  <si>
    <t>c 681</t>
  </si>
  <si>
    <t>c 377</t>
  </si>
  <si>
    <t>c 381</t>
  </si>
  <si>
    <t>c 368</t>
  </si>
  <si>
    <t>c 343</t>
  </si>
  <si>
    <t>c 356</t>
  </si>
  <si>
    <t>m k goel</t>
  </si>
  <si>
    <t>ST 422</t>
  </si>
  <si>
    <t>ST 422 - L</t>
  </si>
  <si>
    <t>ST - 403 -L</t>
  </si>
  <si>
    <t>ST 501</t>
  </si>
  <si>
    <t>ST 501 P-L</t>
  </si>
  <si>
    <t>ST 474</t>
  </si>
  <si>
    <t>ST 474 L</t>
  </si>
  <si>
    <t>ST 141 ZARI</t>
  </si>
  <si>
    <t>ST 142 ZARI</t>
  </si>
  <si>
    <t>ST 846</t>
  </si>
  <si>
    <t>ST 846 ZARI</t>
  </si>
  <si>
    <t>ST 150 VL</t>
  </si>
  <si>
    <t>ST 150 CD</t>
  </si>
  <si>
    <t>ST 140 ZARI</t>
  </si>
  <si>
    <t>ST 202</t>
  </si>
  <si>
    <t>ST 177</t>
  </si>
  <si>
    <t>ST 403</t>
  </si>
  <si>
    <t>self stole polywool + ari jal raman</t>
  </si>
  <si>
    <t>gents hashia multihead subhash 2350</t>
  </si>
  <si>
    <t>kunj lohi kani</t>
  </si>
  <si>
    <t>self jal</t>
  </si>
  <si>
    <t>Fine Silk Suit Set 101</t>
  </si>
  <si>
    <t>suit set silk 520218</t>
  </si>
  <si>
    <t>Fine Silk Suit Set 102</t>
  </si>
  <si>
    <t>suit set china silk</t>
  </si>
  <si>
    <t>Fine Silk Suit Set 103</t>
  </si>
  <si>
    <t>suit set 420147 cotton silk</t>
  </si>
  <si>
    <t>2619 shawl</t>
  </si>
  <si>
    <t>944 shawl</t>
  </si>
  <si>
    <t>949 shawl</t>
  </si>
  <si>
    <t>543 shawl</t>
  </si>
  <si>
    <t>26-11 shawl</t>
  </si>
  <si>
    <t>907 shawl</t>
  </si>
  <si>
    <t>15066 shawl</t>
  </si>
  <si>
    <t>Fine Wool Suit Set 104</t>
  </si>
  <si>
    <t>jacquard suit</t>
  </si>
  <si>
    <t>gents KANI GW jal pure</t>
  </si>
  <si>
    <t>gents kani jal polywool</t>
  </si>
  <si>
    <t>gents kani palla polywool</t>
  </si>
  <si>
    <t>gents kani dour polywool</t>
  </si>
  <si>
    <t>shawl 24110,2516,2527</t>
  </si>
  <si>
    <t>2455 &amp; 2563</t>
  </si>
  <si>
    <t>orange lohi h.r</t>
  </si>
  <si>
    <t>sangeen dour multihead 25205</t>
  </si>
  <si>
    <t>medium dour multihead  25204</t>
  </si>
  <si>
    <t>stole modal 1/6 kalamkari 550</t>
  </si>
  <si>
    <t>moonlight stole modal</t>
  </si>
  <si>
    <t>sangeen jal no.25208</t>
  </si>
  <si>
    <t>kalamkari 25375</t>
  </si>
  <si>
    <t>kalamkari 25372</t>
  </si>
  <si>
    <t>Muskan</t>
  </si>
  <si>
    <t>gurmeet</t>
  </si>
  <si>
    <t>muskan</t>
  </si>
  <si>
    <t>Baagh</t>
  </si>
  <si>
    <t>baagh 01</t>
  </si>
  <si>
    <t>jhelum</t>
  </si>
  <si>
    <t>Jhelum</t>
  </si>
  <si>
    <t>Super Nargis</t>
  </si>
  <si>
    <t>Neelam</t>
  </si>
  <si>
    <t>international</t>
  </si>
  <si>
    <t>tiwari</t>
  </si>
  <si>
    <t>fine wool stole</t>
  </si>
  <si>
    <t>6044 no. fine wool stole</t>
  </si>
  <si>
    <t>6059 no. fine wool stole</t>
  </si>
  <si>
    <t>nalki kundal palla</t>
  </si>
  <si>
    <t>STOLE BHUSHAN PATCH ARI + nalki bird palla + pachranga jal</t>
  </si>
  <si>
    <t>check lohi</t>
  </si>
  <si>
    <t>gupta</t>
  </si>
  <si>
    <t>self</t>
  </si>
  <si>
    <t>Super Ibadat</t>
  </si>
  <si>
    <t>Elnaz</t>
  </si>
  <si>
    <t>Super Titli</t>
  </si>
  <si>
    <t>nalki 2 line jal</t>
  </si>
  <si>
    <t>Suit Liva</t>
  </si>
  <si>
    <t>Liva suit</t>
  </si>
  <si>
    <t>Suit Softy</t>
  </si>
  <si>
    <t>Polyester suit</t>
  </si>
  <si>
    <t>surbhi</t>
  </si>
  <si>
    <t>Umaiza</t>
  </si>
  <si>
    <t>95 no. suit umaiza</t>
  </si>
  <si>
    <t>Benazir</t>
  </si>
  <si>
    <t>1*4 cutting benazir</t>
  </si>
  <si>
    <t>Turvi</t>
  </si>
  <si>
    <t>All over front turvi</t>
  </si>
  <si>
    <t>lohi</t>
  </si>
  <si>
    <t>genta kani 15035</t>
  </si>
  <si>
    <t>heavy darbar</t>
  </si>
  <si>
    <t>kalamkari box figure + kalamkari heavy ashwani</t>
  </si>
  <si>
    <t>check shawl</t>
  </si>
  <si>
    <t>sunlight 581 no.</t>
  </si>
  <si>
    <t>572 no. stole 1/5 kani- sara</t>
  </si>
  <si>
    <t>solitaire 582 no.</t>
  </si>
  <si>
    <t>Suit Set Plain Polywool</t>
  </si>
  <si>
    <t>Ankit</t>
  </si>
  <si>
    <t>polywool suit 2/72 725 gm</t>
  </si>
  <si>
    <t>555 shawl &amp; 943 no. shawl</t>
  </si>
  <si>
    <t>952 no. shawl</t>
  </si>
  <si>
    <t>polywool lohi international shivam</t>
  </si>
  <si>
    <t>Karthike Lohi 500 gm international</t>
  </si>
  <si>
    <t>jashan lohi 900 gm international</t>
  </si>
  <si>
    <t>Art no.</t>
  </si>
  <si>
    <t>Yom</t>
  </si>
  <si>
    <t xml:space="preserve">Wool </t>
  </si>
  <si>
    <t>wool</t>
  </si>
  <si>
    <t>poywool</t>
  </si>
  <si>
    <t>Branded</t>
  </si>
  <si>
    <t>Non Branded</t>
  </si>
  <si>
    <t>Total Cost</t>
  </si>
  <si>
    <t>Pashmina</t>
  </si>
  <si>
    <t>pashmina</t>
  </si>
  <si>
    <t>3019</t>
  </si>
  <si>
    <t>3006</t>
  </si>
  <si>
    <t>953</t>
  </si>
  <si>
    <t>3009</t>
  </si>
  <si>
    <t>980</t>
  </si>
  <si>
    <t>954</t>
  </si>
  <si>
    <t>2941</t>
  </si>
  <si>
    <t>3018</t>
  </si>
  <si>
    <t>3007</t>
  </si>
  <si>
    <t>2912</t>
  </si>
  <si>
    <t>4060</t>
  </si>
  <si>
    <t>4087</t>
  </si>
  <si>
    <t>4051</t>
  </si>
  <si>
    <t>2380</t>
  </si>
  <si>
    <t>2350</t>
  </si>
  <si>
    <t>4085</t>
  </si>
  <si>
    <t>3046</t>
  </si>
  <si>
    <t>935</t>
  </si>
  <si>
    <t>3071</t>
  </si>
  <si>
    <t>5083</t>
  </si>
  <si>
    <t>5076</t>
  </si>
  <si>
    <t>918</t>
  </si>
  <si>
    <t>3087</t>
  </si>
  <si>
    <t>4083</t>
  </si>
  <si>
    <t>5030</t>
  </si>
  <si>
    <t>5068</t>
  </si>
  <si>
    <t>5069</t>
  </si>
  <si>
    <t>5009</t>
  </si>
  <si>
    <t>5021</t>
  </si>
  <si>
    <t>5037</t>
  </si>
  <si>
    <t>5042</t>
  </si>
  <si>
    <t>5058</t>
  </si>
  <si>
    <t>5079</t>
  </si>
  <si>
    <t>5080</t>
  </si>
  <si>
    <t>4086</t>
  </si>
  <si>
    <t>4009</t>
  </si>
  <si>
    <t>3014</t>
  </si>
  <si>
    <t>944</t>
  </si>
  <si>
    <t>4054</t>
  </si>
  <si>
    <t>942</t>
  </si>
  <si>
    <t>589</t>
  </si>
  <si>
    <t>Description</t>
  </si>
  <si>
    <t>Cost</t>
  </si>
  <si>
    <t>Increase</t>
  </si>
  <si>
    <t>Expenses</t>
  </si>
  <si>
    <t>Net Price Credit</t>
  </si>
  <si>
    <t>Wsp</t>
  </si>
  <si>
    <t>Net Cash</t>
  </si>
  <si>
    <t>South</t>
  </si>
  <si>
    <t>1401</t>
  </si>
  <si>
    <t>Net Price Cash</t>
  </si>
  <si>
    <t>shawl plain fine</t>
  </si>
  <si>
    <t>woolco</t>
  </si>
  <si>
    <t>shawl plain heavy</t>
  </si>
  <si>
    <t>1402</t>
  </si>
  <si>
    <t>gents pashmina reversible</t>
  </si>
  <si>
    <t>gents pashminaheavy</t>
  </si>
  <si>
    <t>1403</t>
  </si>
  <si>
    <t>1404</t>
  </si>
  <si>
    <t>sambhaji</t>
  </si>
  <si>
    <t>akbar</t>
  </si>
  <si>
    <t>dhoni</t>
  </si>
  <si>
    <t>mandakini</t>
  </si>
  <si>
    <t>garima</t>
  </si>
  <si>
    <t>diamond</t>
  </si>
  <si>
    <t>zari reversible shawl plain</t>
  </si>
  <si>
    <t>sewa singh</t>
  </si>
  <si>
    <t>606 no. stole dobby linning</t>
  </si>
  <si>
    <t>608 no. stole fancy</t>
  </si>
  <si>
    <t>609 no. stoles DB jaals</t>
  </si>
  <si>
    <t>610 no.stole rotto - roohi</t>
  </si>
  <si>
    <t>555 no. multi linning kullu stole</t>
  </si>
  <si>
    <t>queen</t>
  </si>
  <si>
    <t>wooemb</t>
  </si>
  <si>
    <t>plain shawl no.33</t>
  </si>
  <si>
    <t>self stole no.35</t>
  </si>
  <si>
    <t>malida 1651 no.pure wool 450 gm</t>
  </si>
  <si>
    <t>malida 2451 no. pure wool 650gm</t>
  </si>
  <si>
    <t>400 gm kullu palla black</t>
  </si>
  <si>
    <t>400 gm contrast softy</t>
  </si>
  <si>
    <t>400 gm softy cdf buti</t>
  </si>
  <si>
    <t>400 gm 2301 no.</t>
  </si>
  <si>
    <t>2419 no.</t>
  </si>
  <si>
    <t>2396no.</t>
  </si>
  <si>
    <t>2370 no.</t>
  </si>
  <si>
    <t>2395 no.</t>
  </si>
  <si>
    <t>2397 no.</t>
  </si>
  <si>
    <t>400 gm pan patta cdf</t>
  </si>
  <si>
    <t>350 gm pan patta tofee</t>
  </si>
  <si>
    <t>400 gm woollen jal dark 2371no.</t>
  </si>
  <si>
    <t>400 gm mango buti dark</t>
  </si>
  <si>
    <t>400 gm micro dark</t>
  </si>
  <si>
    <t>400 gm woollen border dark</t>
  </si>
  <si>
    <t>400 gm  softy cdf jal</t>
  </si>
  <si>
    <t>self designs,check ,linning</t>
  </si>
  <si>
    <t>Total</t>
  </si>
  <si>
    <t>Quantity</t>
  </si>
  <si>
    <t>Price</t>
  </si>
  <si>
    <t>Discount</t>
  </si>
  <si>
    <t>Marino</t>
  </si>
  <si>
    <t>Balance</t>
  </si>
  <si>
    <t>shawl liva + ari manjeet  export designs old ismail without stone</t>
  </si>
  <si>
    <t>zari reversible shawl (1300) &amp; zari daur palla (1350)</t>
  </si>
  <si>
    <t>rajesh</t>
  </si>
  <si>
    <t xml:space="preserve">gents shahtoosh 50*100 polywool </t>
  </si>
  <si>
    <t>cashmilon cloth</t>
  </si>
  <si>
    <t>solo Plain 40*80 shawl weight 225 gm</t>
  </si>
  <si>
    <t>2/90 fine wool weight 180 gm</t>
  </si>
  <si>
    <t>fine wool 270 gm</t>
  </si>
  <si>
    <t>toosha gents plain 350 gm</t>
  </si>
  <si>
    <t>440/- kg</t>
  </si>
  <si>
    <t>s/s pure dyed</t>
  </si>
  <si>
    <t>2500/-</t>
  </si>
  <si>
    <t>s/s pure white</t>
  </si>
  <si>
    <t>2300/-</t>
  </si>
  <si>
    <t>fine wool dyed</t>
  </si>
  <si>
    <t>3600/-</t>
  </si>
  <si>
    <t>fine wool white</t>
  </si>
  <si>
    <t>3400/-</t>
  </si>
  <si>
    <t>2/72 white</t>
  </si>
  <si>
    <t>1075/-</t>
  </si>
  <si>
    <t>2/72 dyed</t>
  </si>
  <si>
    <t>1125/-</t>
  </si>
  <si>
    <t>resham jaal stole</t>
  </si>
  <si>
    <t>plain solo polywool 40 x 80 220gm</t>
  </si>
  <si>
    <t>2/72 polywool 360 gm</t>
  </si>
  <si>
    <t>5053</t>
  </si>
  <si>
    <t>3030</t>
  </si>
  <si>
    <t>WSP</t>
  </si>
  <si>
    <t>333 No.Black</t>
  </si>
  <si>
    <t>300 gm roto pv black packed</t>
  </si>
  <si>
    <t>400 gm micro jal cream</t>
  </si>
  <si>
    <t>shawl liva + chakri jal 120/-+ 35/- exp.</t>
  </si>
  <si>
    <t>stole JS-0293</t>
  </si>
  <si>
    <t xml:space="preserve">stole linning 603 no. </t>
  </si>
  <si>
    <t>stole varieties - arzoo</t>
  </si>
  <si>
    <t>stole modal-Flora</t>
  </si>
  <si>
    <t>stole modal M-50039</t>
  </si>
  <si>
    <t>stole modal M-50040</t>
  </si>
  <si>
    <t>stole 9827 C</t>
  </si>
  <si>
    <t>stole 9830 C</t>
  </si>
  <si>
    <t>stole 9832 C</t>
  </si>
  <si>
    <t>stole 9833 C</t>
  </si>
  <si>
    <t>stole M-50042</t>
  </si>
  <si>
    <t>stole M-50043</t>
  </si>
  <si>
    <t>stole M-50045</t>
  </si>
  <si>
    <t>stole M-50048</t>
  </si>
  <si>
    <t>stole M-50051</t>
  </si>
  <si>
    <t>stole M-50052</t>
  </si>
  <si>
    <t>stole M-50053</t>
  </si>
  <si>
    <t>stole M-50054</t>
  </si>
  <si>
    <t>571 no. stole modal 1x3 M.S- Clara</t>
  </si>
  <si>
    <t>shawl liva + ari jali jal manjeet 150/- + 35/- exp.</t>
  </si>
  <si>
    <t>shawl liva + self jal manjeet 185/- + 35/- exp.</t>
  </si>
  <si>
    <t>shawl liva + jal + patch (195/-+ 38/-)+35/- exp.</t>
  </si>
  <si>
    <t>new designs(border buti,challi border,diagonal ambi zari</t>
  </si>
  <si>
    <t>new designs</t>
  </si>
  <si>
    <t>aman jari kani</t>
  </si>
  <si>
    <t>Nand Jyoti</t>
  </si>
  <si>
    <t>stole 1392 no.</t>
  </si>
  <si>
    <t>stole 1101 no.</t>
  </si>
  <si>
    <t>stole 1392, 7436</t>
  </si>
  <si>
    <t>MM enterprises</t>
  </si>
  <si>
    <t>shahtoosh 2/72 polywool</t>
  </si>
  <si>
    <t>shahtoosh 2/72 polywool 50*100</t>
  </si>
  <si>
    <t>toosha stole plain</t>
  </si>
  <si>
    <t>khurana</t>
  </si>
  <si>
    <t>shawl softy raising</t>
  </si>
  <si>
    <t>vohra</t>
  </si>
  <si>
    <t>f.wool kalamkari m &amp; new ol</t>
  </si>
  <si>
    <t>f.wool silk heavy new kalamkari shawl</t>
  </si>
  <si>
    <t>super fine modal zari aari</t>
  </si>
  <si>
    <t>shawl zari flower</t>
  </si>
  <si>
    <t>dua</t>
  </si>
  <si>
    <t>khadi disco</t>
  </si>
  <si>
    <t>palla gulmarg gudasta</t>
  </si>
  <si>
    <t>palla gulmarg gulab</t>
  </si>
  <si>
    <t>palla gulmarg paan</t>
  </si>
  <si>
    <t>camel nepali</t>
  </si>
  <si>
    <t>super kullu hillqueen</t>
  </si>
  <si>
    <t>super check</t>
  </si>
  <si>
    <t>english kullu</t>
  </si>
  <si>
    <t>double kullu</t>
  </si>
  <si>
    <t>chinese shawl</t>
  </si>
  <si>
    <t>stole 1147 no. kani cutting jal</t>
  </si>
  <si>
    <t>shawl liva + ari embroidery kaka 165/- + 35/- exp.</t>
  </si>
  <si>
    <t>self shawl + do cona ari raman 400/- + patch dogra 15/-+ exp.30/-</t>
  </si>
  <si>
    <t>self shawl + palla ari raman 250/- + patch dogra 30/- + exp.30/-</t>
  </si>
  <si>
    <t>self shawl + jal raman 300/- + patch dogra 40/- + 30/- exp.</t>
  </si>
  <si>
    <t>shawl self + jal raman 360/- + patch dogra 57/- + exp.30/-</t>
  </si>
  <si>
    <t>self stole + ari jal raman 300/- + 25/- exp.</t>
  </si>
  <si>
    <t>self stole + anar jal raman 335/- + 25/- exp.</t>
  </si>
  <si>
    <t>self stole + palla buti heavy raman 285/- + 25/- exp.</t>
  </si>
  <si>
    <t xml:space="preserve"> polywool 2/72  160 gms + ari dour kunj raman 150 + patch 45 + exp.50</t>
  </si>
  <si>
    <t>polywool 2/72 160 gms + ari dour kunj raman 240 + patch 25 + exp.50</t>
  </si>
  <si>
    <t>polywool 2/72 160 gms + jal raman 290 + patch 55 + exp.50</t>
  </si>
  <si>
    <t>new rose palla + patch kaka 60- + exp.25</t>
  </si>
  <si>
    <t>shawl liva + cona kaka 100 + patch 85 + 35/- exp.</t>
  </si>
  <si>
    <t>shawl liva + cona kaka 85 + patch 40 + exp.35</t>
  </si>
  <si>
    <t>shawl liva + jal 105 + patch 85 + exp.35</t>
  </si>
  <si>
    <t>shawl liva + jal kaka 155 + patch 65 + exp.35</t>
  </si>
  <si>
    <t>SELF STOLE + palla ari 150 + patch 42 + exp 30</t>
  </si>
  <si>
    <t>self stole polywool + ari border 175 + patch 40 + exp.30</t>
  </si>
  <si>
    <t>self stole + embroidery 130 + patch 37 + exp.30</t>
  </si>
  <si>
    <t>self stole + jal 160 + patch 75 + exp.30</t>
  </si>
  <si>
    <t>stole self + jal 225/- + patch 50/-+ exp.30/-</t>
  </si>
  <si>
    <t>stole liva + cona buti 90 + patch 20 + exp.30</t>
  </si>
  <si>
    <t>stole liva + jal 115 + patch 20 + exp.30</t>
  </si>
  <si>
    <t>stole liva + jal 85 + patch 18 + exp.30</t>
  </si>
  <si>
    <t>stole liva + jal manjeet 115+ patch 45 + exp.30</t>
  </si>
  <si>
    <t>stole JS-0294 + JS-0299</t>
  </si>
  <si>
    <t>shawl jaquard + patch kaka 60 + exp. 30</t>
  </si>
  <si>
    <t>Amazon</t>
  </si>
  <si>
    <t>nand jyoti</t>
  </si>
  <si>
    <t>stole 1137 no.</t>
  </si>
  <si>
    <t>ajmani</t>
  </si>
  <si>
    <t>multi shawl 106 no.</t>
  </si>
  <si>
    <t>stole  liva border + ari jal 135/- + patch 57/- + exp. 30/-</t>
  </si>
  <si>
    <t>shawl fine wool moonlight plain &amp; jaquard</t>
  </si>
  <si>
    <t>self stole + border ari 185/- + 25/- exp.</t>
  </si>
  <si>
    <t>self stole + diagnol jal ari 185/- + exp.25/-</t>
  </si>
  <si>
    <t>self stole jal ari 210/- + exp.25/-</t>
  </si>
  <si>
    <t>self stole + ari jal 230/- + exp.25/-</t>
  </si>
  <si>
    <t>self stole + palla ari 200/- + exp.25/-</t>
  </si>
  <si>
    <t>stole pure polywool 2/72 + ari jal jari raman 300/- + exp.50/-</t>
  </si>
  <si>
    <t xml:space="preserve">modal shawl zari </t>
  </si>
  <si>
    <t>moonlight dour</t>
  </si>
  <si>
    <t>Semi antique kani zari dour</t>
  </si>
  <si>
    <t xml:space="preserve">semi cutting palla zari </t>
  </si>
  <si>
    <t>Semi Border Jaquard + semi multy checks</t>
  </si>
  <si>
    <t>semi softy kani</t>
  </si>
  <si>
    <t>moonlight shahzadi</t>
  </si>
  <si>
    <t>Odni</t>
  </si>
  <si>
    <t>modal dupatta</t>
  </si>
  <si>
    <t>1384 no.shawl fine wool buty gulbahar surbhi + semi nazakat kani</t>
  </si>
  <si>
    <t>Solitaire suit</t>
  </si>
  <si>
    <t>Mercury</t>
  </si>
  <si>
    <t xml:space="preserve">Solitaire </t>
  </si>
  <si>
    <t>mercury</t>
  </si>
  <si>
    <t>shawl liva + ari cona 100/- + exp.35/-</t>
  </si>
  <si>
    <t>m=mrp</t>
  </si>
  <si>
    <t>nc=net cash</t>
  </si>
  <si>
    <t>npc= net credit</t>
  </si>
  <si>
    <t>W = WSP</t>
  </si>
  <si>
    <t>Value</t>
  </si>
  <si>
    <t>With Box</t>
  </si>
  <si>
    <t>Box price</t>
  </si>
  <si>
    <t>Box Price for pc.</t>
  </si>
  <si>
    <t>shawl liva + ari 95/- + patch 35/- + exp.35/-</t>
  </si>
  <si>
    <t>stole pure + ari border 250/- + patch 25/- + exp. 50/-</t>
  </si>
  <si>
    <t>shawl liva + patch 110/- + exp.25/-</t>
  </si>
  <si>
    <t>m</t>
  </si>
  <si>
    <t>shawl liva + 8 patch sippy 80/- + exp.25/-</t>
  </si>
  <si>
    <t>shawl liva cona patch kaka 120/- + exp.25/-</t>
  </si>
  <si>
    <t>shawl liva + patch palla 130/- + 25/- exp.</t>
  </si>
  <si>
    <t>kani gold zari shawl</t>
  </si>
  <si>
    <t>plain palla zari</t>
  </si>
  <si>
    <t>Pawan</t>
  </si>
  <si>
    <t>kani raising</t>
  </si>
  <si>
    <t>bindi</t>
  </si>
  <si>
    <t>rabit</t>
  </si>
  <si>
    <t>star kullu</t>
  </si>
  <si>
    <t>chinar raising</t>
  </si>
  <si>
    <t>3D shawl</t>
  </si>
  <si>
    <t>garden jal</t>
  </si>
  <si>
    <t>shawl liva + patch jal 135/- + exp.25/-</t>
  </si>
  <si>
    <t>shawl liva + patch jal 160/- + 25/- exp.</t>
  </si>
  <si>
    <t>stole polywool + patch kaka 115/- + 15/- exp.</t>
  </si>
  <si>
    <t>shawl 2456</t>
  </si>
  <si>
    <t>shawl 2658</t>
  </si>
  <si>
    <t>shawl 2643</t>
  </si>
  <si>
    <t>shawl 25079</t>
  </si>
  <si>
    <t>shawl 2646</t>
  </si>
  <si>
    <t>shawl 24077</t>
  </si>
  <si>
    <t>shawl 2558</t>
  </si>
  <si>
    <t>shawl 108</t>
  </si>
  <si>
    <t>shawl 2542</t>
  </si>
  <si>
    <t>shawl 2661</t>
  </si>
  <si>
    <t>shawl 2663</t>
  </si>
  <si>
    <t>shawl 25074</t>
  </si>
  <si>
    <t>stole digital</t>
  </si>
  <si>
    <t>reversible print</t>
  </si>
  <si>
    <t>stole 109</t>
  </si>
  <si>
    <t>25093 &amp; 26084</t>
  </si>
  <si>
    <t>26085 &amp; 26086</t>
  </si>
  <si>
    <t>26087 &amp; 23012</t>
  </si>
  <si>
    <t>2056 no shawl</t>
  </si>
  <si>
    <t>3058 &amp;3056&amp;3059</t>
  </si>
  <si>
    <t>stole d.h super modal zari + sanwaria</t>
  </si>
  <si>
    <t>sharma</t>
  </si>
  <si>
    <t>2-4 c.n.d multihead</t>
  </si>
  <si>
    <t>stole 1388 no</t>
  </si>
  <si>
    <t>1x2 modal zari reversible shawl</t>
  </si>
  <si>
    <t>check lohi fine wool</t>
  </si>
  <si>
    <t>stole liva + patch kaka 50 + exp.15</t>
  </si>
  <si>
    <t>stole liva + patch kaka 80 + exp.15</t>
  </si>
  <si>
    <t>stole liva + patch 70-75 + exp.15</t>
  </si>
  <si>
    <t>stole nand jyoti 217/- + patch 50 + exp.15</t>
  </si>
  <si>
    <t>shawl liva + patch 60/-+ exp.25/-</t>
  </si>
  <si>
    <t>P/A Lohi 700 gm mixture lohi</t>
  </si>
  <si>
    <t>p/a lohi white &amp; keasri 700 gm</t>
  </si>
  <si>
    <t>P/A lohi  600 gm mixture</t>
  </si>
  <si>
    <t>shawl tape + ari buti  80/- + patch dogra 50/- + exp.35/-</t>
  </si>
  <si>
    <t>sangeen jamma</t>
  </si>
  <si>
    <t>jamma</t>
  </si>
  <si>
    <t>silky jamma</t>
  </si>
  <si>
    <t>Silky Jamma</t>
  </si>
  <si>
    <t>p/v mixture</t>
  </si>
  <si>
    <t>p/v white</t>
  </si>
  <si>
    <t>CHECK LOHI</t>
  </si>
  <si>
    <t>666 white/kesari</t>
  </si>
  <si>
    <t>555 white/kesari</t>
  </si>
  <si>
    <t>1400 white/kesari</t>
  </si>
  <si>
    <t>701 Check Lohi</t>
  </si>
  <si>
    <t>polYwool kani shawls</t>
  </si>
  <si>
    <t>Ganga</t>
  </si>
  <si>
    <t>border shawl pvr 40"</t>
  </si>
  <si>
    <t>Arjun</t>
  </si>
  <si>
    <t>Swagat</t>
  </si>
  <si>
    <t>border lohi pvr</t>
  </si>
  <si>
    <t>ss tape pvr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</si>
</sst>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 &quot;₹&quot;\ * #,##0.00_ ;_ &quot;₹&quot;\ * \-#,##0.00_ ;_ &quot;₹&quot;\ * &quot;-&quot;??_ ;_ @_ "/>
    <numFmt numFmtId="164" formatCode="0\ &quot;No.&quot;"/>
    <numFmt numFmtId="165" formatCode="&quot;₹&quot;\ #,##0"/>
    <numFmt numFmtId="166" formatCode="[$₹-4009]\ #,##0;[$₹-4009]\ \-#,##0"/>
    <numFmt numFmtId="167" formatCode="0\ &quot;Pc.&quot;"/>
  </numFmts>
  <fonts count="1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 tint="0.249977111117893"/>
      <name val="Calibri"/>
      <family val="1"/>
      <scheme val="minor"/>
    </font>
    <font>
      <sz val="8"/>
      <color theme="1" tint="0.249977111117893"/>
      <name val="Calibri"/>
      <family val="1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8"/>
        <bgColor theme="8"/>
      </patternFill>
    </fill>
    <fill>
      <patternFill patternType="solid">
        <fgColor rgb="FFC6EFC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6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/>
      <bottom style="thin">
        <color theme="8" tint="0.39997558519241921"/>
      </bottom>
      <diagonal/>
    </border>
    <border>
      <left/>
      <right/>
      <top style="thin">
        <color theme="8" tint="0.39997558519241921"/>
      </top>
      <bottom/>
      <diagonal/>
    </border>
    <border>
      <left/>
      <right/>
      <top/>
      <bottom style="thin">
        <color theme="3" tint="0.39994506668294322"/>
      </bottom>
      <diagonal/>
    </border>
    <border>
      <left style="thin">
        <color theme="3" tint="0.39994506668294322"/>
      </left>
      <right/>
      <top style="thin">
        <color theme="3" tint="0.39994506668294322"/>
      </top>
      <bottom/>
      <diagonal/>
    </border>
    <border>
      <left/>
      <right/>
      <top style="thin">
        <color theme="3" tint="0.39994506668294322"/>
      </top>
      <bottom/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1454817346722"/>
      </bottom>
      <diagonal/>
    </border>
    <border>
      <left style="thin">
        <color theme="3" tint="0.39994506668294322"/>
      </left>
      <right/>
      <top/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1454817346722"/>
      </top>
      <bottom style="thin">
        <color theme="3" tint="0.399945066682943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5" fillId="5" borderId="0" applyNumberFormat="0" applyBorder="0" applyAlignment="0" applyProtection="0"/>
    <xf numFmtId="0" fontId="8" fillId="0" borderId="0"/>
    <xf numFmtId="44" fontId="8" fillId="0" borderId="0" applyFont="0" applyFill="0" applyBorder="0" applyAlignment="0" applyProtection="0"/>
  </cellStyleXfs>
  <cellXfs count="88">
    <xf numFmtId="0" fontId="0" fillId="0" borderId="0" xfId="0"/>
    <xf numFmtId="0" fontId="0" fillId="0" borderId="0" xfId="0" applyProtection="1">
      <protection locked="0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165" fontId="0" fillId="0" borderId="0" xfId="0" applyNumberFormat="1"/>
    <xf numFmtId="164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165" fontId="4" fillId="0" borderId="0" xfId="0" applyNumberFormat="1" applyFont="1" applyAlignment="1">
      <alignment horizontal="left"/>
    </xf>
    <xf numFmtId="164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65" fontId="0" fillId="0" borderId="0" xfId="0" applyNumberFormat="1" applyAlignment="1" applyProtection="1">
      <alignment horizontal="center"/>
      <protection locked="0"/>
    </xf>
    <xf numFmtId="0" fontId="2" fillId="3" borderId="2" xfId="0" applyFont="1" applyFill="1" applyBorder="1" applyProtection="1">
      <protection locked="0"/>
    </xf>
    <xf numFmtId="164" fontId="2" fillId="3" borderId="3" xfId="0" applyNumberFormat="1" applyFont="1" applyFill="1" applyBorder="1" applyAlignment="1" applyProtection="1">
      <alignment horizontal="center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165" fontId="2" fillId="3" borderId="3" xfId="0" applyNumberFormat="1" applyFont="1" applyFill="1" applyBorder="1" applyAlignment="1" applyProtection="1">
      <alignment horizontal="center"/>
      <protection locked="0"/>
    </xf>
    <xf numFmtId="0" fontId="2" fillId="4" borderId="5" xfId="0" applyFont="1" applyFill="1" applyBorder="1" applyProtection="1">
      <protection locked="0"/>
    </xf>
    <xf numFmtId="164" fontId="2" fillId="4" borderId="5" xfId="0" applyNumberFormat="1" applyFont="1" applyFill="1" applyBorder="1" applyAlignment="1" applyProtection="1">
      <alignment horizontal="center"/>
      <protection locked="0"/>
    </xf>
    <xf numFmtId="0" fontId="2" fillId="4" borderId="5" xfId="0" applyFont="1" applyFill="1" applyBorder="1" applyAlignment="1" applyProtection="1">
      <alignment horizontal="center"/>
      <protection locked="0"/>
    </xf>
    <xf numFmtId="165" fontId="2" fillId="4" borderId="5" xfId="0" applyNumberFormat="1" applyFont="1" applyFill="1" applyBorder="1" applyAlignment="1" applyProtection="1">
      <alignment horizontal="center"/>
      <protection locked="0"/>
    </xf>
    <xf numFmtId="0" fontId="0" fillId="2" borderId="1" xfId="0" applyFill="1" applyBorder="1" applyProtection="1">
      <protection locked="0"/>
    </xf>
    <xf numFmtId="164" fontId="0" fillId="2" borderId="1" xfId="0" applyNumberFormat="1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165" fontId="0" fillId="2" borderId="1" xfId="0" applyNumberFormat="1" applyFill="1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164" fontId="0" fillId="0" borderId="1" xfId="0" applyNumberForma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165" fontId="0" fillId="0" borderId="1" xfId="0" applyNumberFormat="1" applyBorder="1" applyAlignment="1" applyProtection="1">
      <alignment horizontal="center"/>
      <protection locked="0"/>
    </xf>
    <xf numFmtId="0" fontId="0" fillId="0" borderId="6" xfId="0" applyBorder="1" applyProtection="1">
      <protection locked="0"/>
    </xf>
    <xf numFmtId="164" fontId="0" fillId="0" borderId="6" xfId="0" applyNumberFormat="1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165" fontId="0" fillId="0" borderId="6" xfId="0" applyNumberFormat="1" applyBorder="1" applyAlignment="1" applyProtection="1">
      <alignment horizontal="center"/>
      <protection locked="0"/>
    </xf>
    <xf numFmtId="165" fontId="2" fillId="3" borderId="3" xfId="0" applyNumberFormat="1" applyFont="1" applyFill="1" applyBorder="1" applyAlignment="1">
      <alignment horizontal="center"/>
    </xf>
    <xf numFmtId="165" fontId="2" fillId="3" borderId="4" xfId="0" applyNumberFormat="1" applyFont="1" applyFill="1" applyBorder="1" applyAlignment="1">
      <alignment horizontal="center"/>
    </xf>
    <xf numFmtId="165" fontId="2" fillId="4" borderId="5" xfId="0" applyNumberFormat="1" applyFont="1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66" fontId="1" fillId="0" borderId="0" xfId="0" applyNumberFormat="1" applyFont="1" applyAlignment="1">
      <alignment horizontal="center" vertical="center"/>
    </xf>
    <xf numFmtId="164" fontId="0" fillId="0" borderId="0" xfId="0" applyNumberFormat="1"/>
    <xf numFmtId="164" fontId="0" fillId="0" borderId="0" xfId="0" applyNumberFormat="1" applyProtection="1">
      <protection locked="0"/>
    </xf>
    <xf numFmtId="167" fontId="0" fillId="0" borderId="0" xfId="0" applyNumberFormat="1"/>
    <xf numFmtId="167" fontId="0" fillId="0" borderId="0" xfId="0" applyNumberFormat="1" applyProtection="1">
      <protection locked="0"/>
    </xf>
    <xf numFmtId="167" fontId="6" fillId="0" borderId="0" xfId="0" applyNumberFormat="1" applyFont="1"/>
    <xf numFmtId="165" fontId="6" fillId="0" borderId="0" xfId="0" applyNumberFormat="1" applyFont="1"/>
    <xf numFmtId="0" fontId="5" fillId="5" borderId="0" xfId="1" applyProtection="1">
      <protection locked="0"/>
    </xf>
    <xf numFmtId="165" fontId="0" fillId="6" borderId="7" xfId="0" applyNumberFormat="1" applyFill="1" applyBorder="1"/>
    <xf numFmtId="164" fontId="0" fillId="6" borderId="8" xfId="0" applyNumberFormat="1" applyFill="1" applyBorder="1" applyProtection="1">
      <protection locked="0"/>
    </xf>
    <xf numFmtId="167" fontId="0" fillId="6" borderId="9" xfId="0" applyNumberFormat="1" applyFill="1" applyBorder="1" applyProtection="1">
      <protection locked="0"/>
    </xf>
    <xf numFmtId="0" fontId="6" fillId="6" borderId="9" xfId="0" applyFont="1" applyFill="1" applyBorder="1"/>
    <xf numFmtId="165" fontId="0" fillId="6" borderId="10" xfId="0" applyNumberFormat="1" applyFill="1" applyBorder="1"/>
    <xf numFmtId="164" fontId="0" fillId="6" borderId="11" xfId="0" applyNumberFormat="1" applyFill="1" applyBorder="1" applyProtection="1">
      <protection locked="0"/>
    </xf>
    <xf numFmtId="167" fontId="0" fillId="6" borderId="7" xfId="0" applyNumberFormat="1" applyFill="1" applyBorder="1" applyProtection="1">
      <protection locked="0"/>
    </xf>
    <xf numFmtId="0" fontId="6" fillId="6" borderId="7" xfId="0" applyFont="1" applyFill="1" applyBorder="1"/>
    <xf numFmtId="9" fontId="6" fillId="6" borderId="9" xfId="0" applyNumberFormat="1" applyFont="1" applyFill="1" applyBorder="1" applyProtection="1">
      <protection locked="0"/>
    </xf>
    <xf numFmtId="165" fontId="6" fillId="6" borderId="12" xfId="0" applyNumberFormat="1" applyFont="1" applyFill="1" applyBorder="1"/>
    <xf numFmtId="165" fontId="6" fillId="6" borderId="9" xfId="0" applyNumberFormat="1" applyFont="1" applyFill="1" applyBorder="1"/>
    <xf numFmtId="165" fontId="6" fillId="6" borderId="7" xfId="0" applyNumberFormat="1" applyFont="1" applyFill="1" applyBorder="1"/>
    <xf numFmtId="0" fontId="2" fillId="7" borderId="13" xfId="0" applyFont="1" applyFill="1" applyBorder="1"/>
    <xf numFmtId="0" fontId="7" fillId="0" borderId="0" xfId="0" applyFont="1" applyProtection="1">
      <protection locked="0"/>
    </xf>
    <xf numFmtId="164" fontId="7" fillId="0" borderId="0" xfId="0" applyNumberFormat="1" applyFont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165" fontId="7" fillId="0" borderId="0" xfId="0" applyNumberFormat="1" applyFont="1" applyAlignment="1" applyProtection="1">
      <alignment horizontal="center"/>
      <protection locked="0"/>
    </xf>
    <xf numFmtId="165" fontId="7" fillId="0" borderId="0" xfId="0" applyNumberFormat="1" applyFont="1" applyAlignment="1">
      <alignment horizontal="center"/>
    </xf>
    <xf numFmtId="0" fontId="9" fillId="0" borderId="0" xfId="2" applyFont="1"/>
    <xf numFmtId="0" fontId="10" fillId="0" borderId="0" xfId="2" applyFont="1"/>
    <xf numFmtId="0" fontId="0" fillId="8" borderId="0" xfId="0" applyFill="1" applyProtection="1">
      <protection locked="0"/>
    </xf>
    <xf numFmtId="165" fontId="0" fillId="2" borderId="5" xfId="0" applyNumberFormat="1" applyFill="1" applyBorder="1" applyAlignment="1">
      <alignment horizontal="center"/>
    </xf>
    <xf numFmtId="0" fontId="11" fillId="0" borderId="0" xfId="0" applyFont="1" applyProtection="1">
      <protection locked="0"/>
    </xf>
    <xf numFmtId="165" fontId="11" fillId="0" borderId="0" xfId="0" applyNumberFormat="1" applyFont="1"/>
    <xf numFmtId="0" fontId="12" fillId="0" borderId="0" xfId="0" applyFont="1"/>
    <xf numFmtId="0" fontId="11" fillId="0" borderId="0" xfId="0" applyFont="1" applyAlignment="1" applyProtection="1">
      <alignment horizontal="center" vertical="center"/>
      <protection locked="0"/>
    </xf>
    <xf numFmtId="165" fontId="11" fillId="0" borderId="0" xfId="0" applyNumberFormat="1" applyFont="1" applyAlignment="1">
      <alignment horizontal="center" vertical="center"/>
    </xf>
    <xf numFmtId="166" fontId="11" fillId="0" borderId="0" xfId="3" applyNumberFormat="1" applyFont="1"/>
    <xf numFmtId="166" fontId="11" fillId="0" borderId="0" xfId="0" applyNumberFormat="1" applyFont="1"/>
    <xf numFmtId="0" fontId="12" fillId="0" borderId="0" xfId="0" applyFont="1" applyAlignment="1" applyProtection="1">
      <alignment horizontal="center" vertical="center"/>
      <protection locked="0"/>
    </xf>
    <xf numFmtId="165" fontId="12" fillId="0" borderId="0" xfId="0" applyNumberFormat="1" applyFont="1" applyAlignment="1">
      <alignment horizontal="center" vertical="center"/>
    </xf>
    <xf numFmtId="0" fontId="12" fillId="0" borderId="0" xfId="0" applyFont="1" applyProtection="1">
      <protection locked="0"/>
    </xf>
    <xf numFmtId="165" fontId="12" fillId="0" borderId="0" xfId="0" applyNumberFormat="1" applyFont="1"/>
  </cellXfs>
  <cellStyles count="4">
    <cellStyle name="Currency" xfId="3" builtinId="4"/>
    <cellStyle name="Good" xfId="1" builtinId="26"/>
    <cellStyle name="Normal" xfId="0" builtinId="0"/>
    <cellStyle name="Normal 6" xfId="2" xr:uid="{B9FD5392-5C9A-4AE3-A2C3-89EFD6C914A4}"/>
  </cellStyles>
  <dxfs count="260">
    <dxf>
      <font>
        <b/>
        <strike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numFmt numFmtId="165" formatCode="&quot;₹&quot;\ #,##0"/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numFmt numFmtId="0" formatCode="General"/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numFmt numFmtId="0" formatCode="General"/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numFmt numFmtId="164" formatCode="0\ &quot;No.&quot;"/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&quot;₹&quot;\ #,##0"/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\ &quot;No.&quot;"/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&quot;₹&quot;\ #,##0"/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\ &quot;No.&quot;"/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[$₹-4009]\ #,##0;[$₹-4009]\ \-#,##0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\ &quot;No.&quot;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&quot;₹&quot;\ #,##0"/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\ &quot;No.&quot;"/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&quot;₹&quot;\ #,##0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\ &quot;No.&quot;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&quot;₹&quot;\ #,##0"/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\ &quot;No.&quot;"/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&quot;₹&quot;\ #,##0"/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left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b/>
        <strike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0" formatCode="General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0\ &quot;Pc.&quot;"/>
    </dxf>
    <dxf>
      <numFmt numFmtId="167" formatCode="0\ &quot;Pc.&quot;"/>
      <protection locked="0" hidden="0"/>
    </dxf>
    <dxf>
      <numFmt numFmtId="167" formatCode="0\ &quot;Pc.&quot;"/>
    </dxf>
    <dxf>
      <numFmt numFmtId="164" formatCode="0\ &quot;No.&quot;"/>
    </dxf>
    <dxf>
      <numFmt numFmtId="164" formatCode="0\ &quot;No.&quot;"/>
      <protection locked="0" hidden="0"/>
    </dxf>
    <dxf>
      <numFmt numFmtId="164" formatCode="0\ &quot;No.&quot;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0" formatCode="General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0\ &quot;Pc.&quot;"/>
    </dxf>
    <dxf>
      <numFmt numFmtId="167" formatCode="0\ &quot;Pc.&quot;"/>
      <protection locked="0" hidden="0"/>
    </dxf>
    <dxf>
      <numFmt numFmtId="167" formatCode="0\ &quot;Pc.&quot;"/>
    </dxf>
    <dxf>
      <numFmt numFmtId="164" formatCode="0\ &quot;No.&quot;"/>
    </dxf>
    <dxf>
      <numFmt numFmtId="164" formatCode="0\ &quot;No.&quot;"/>
      <protection locked="0" hidden="0"/>
    </dxf>
    <dxf>
      <numFmt numFmtId="164" formatCode="0\ &quot;No.&quot;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0" formatCode="General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0\ &quot;Pc.&quot;"/>
    </dxf>
    <dxf>
      <numFmt numFmtId="167" formatCode="0\ &quot;Pc.&quot;"/>
      <protection locked="0" hidden="0"/>
    </dxf>
    <dxf>
      <numFmt numFmtId="167" formatCode="0\ &quot;Pc.&quot;"/>
    </dxf>
    <dxf>
      <numFmt numFmtId="164" formatCode="0\ &quot;No.&quot;"/>
    </dxf>
    <dxf>
      <numFmt numFmtId="164" formatCode="0\ &quot;No.&quot;"/>
      <protection locked="0" hidden="0"/>
    </dxf>
    <dxf>
      <numFmt numFmtId="164" formatCode="0\ &quot;No.&quot;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6" formatCode="[$₹-4009]\ #,##0;[$₹-4009]\ \-#,##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6" formatCode="[$₹-4009]\ #,##0;[$₹-4009]\ \-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₹&quot;\ #,##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₹&quot;\ #,##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₹&quot;\ #,##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₹&quot;\ #,##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₹&quot;\ #,##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₹&quot;\ #,##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₹&quot;\ #,##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₹&quot;\ #,##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₹&quot;\ #,##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₹&quot;\ #,##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₹&quot;\ #,##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\ &quot;No.&quot;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</border>
      <protection locked="0" hidden="0"/>
    </dxf>
    <dxf>
      <border outline="0">
        <top style="thin">
          <color theme="8" tint="0.39997558519241921"/>
        </top>
      </border>
    </dxf>
    <dxf>
      <border outline="0">
        <left style="thin">
          <color theme="8" tint="0.39997558519241921"/>
        </left>
        <right style="thin">
          <color theme="8" tint="0.39997558519241921"/>
        </right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protection locked="0" hidden="0"/>
    </dxf>
    <dxf>
      <border outline="0">
        <bottom style="thin">
          <color theme="8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8"/>
          <bgColor theme="8"/>
        </patternFill>
      </fill>
      <protection locked="0" hidden="0"/>
    </dxf>
    <dxf>
      <numFmt numFmtId="165" formatCode="&quot;₹&quot;\ #,##0"/>
      <alignment horizontal="center" vertical="bottom" textRotation="0" wrapText="0" indent="0" justifyLastLine="0" shrinkToFit="0" readingOrder="0"/>
      <protection locked="1" hidden="0"/>
    </dxf>
    <dxf>
      <numFmt numFmtId="165" formatCode="&quot;₹&quot;\ #,##0"/>
      <alignment horizontal="center" vertical="bottom" textRotation="0" wrapText="0" indent="0" justifyLastLine="0" shrinkToFit="0" readingOrder="0"/>
      <protection locked="1" hidden="0"/>
    </dxf>
    <dxf>
      <numFmt numFmtId="165" formatCode="&quot;₹&quot;\ #,##0"/>
      <alignment horizontal="center" vertical="bottom" textRotation="0" wrapText="0" indent="0" justifyLastLine="0" shrinkToFit="0" readingOrder="0"/>
      <protection locked="1" hidden="0"/>
    </dxf>
    <dxf>
      <numFmt numFmtId="165" formatCode="&quot;₹&quot;\ #,##0"/>
      <alignment horizontal="center" vertical="bottom" textRotation="0" wrapText="0" indent="0" justifyLastLine="0" shrinkToFit="0" readingOrder="0"/>
      <protection locked="1" hidden="0"/>
    </dxf>
    <dxf>
      <numFmt numFmtId="165" formatCode="&quot;₹&quot;\ #,##0"/>
      <alignment horizontal="center" vertical="bottom" textRotation="0" wrapText="0" indent="0" justifyLastLine="0" shrinkToFit="0" readingOrder="0"/>
      <protection locked="1" hidden="0"/>
    </dxf>
    <dxf>
      <numFmt numFmtId="165" formatCode="&quot;₹&quot;\ #,##0"/>
      <alignment horizontal="center" vertical="bottom" textRotation="0" wrapText="0" indent="0" justifyLastLine="0" shrinkToFit="0" readingOrder="0"/>
      <protection locked="1" hidden="0"/>
    </dxf>
    <dxf>
      <numFmt numFmtId="165" formatCode="&quot;₹&quot;\ #,##0"/>
      <alignment horizontal="center" vertical="bottom" textRotation="0" wrapText="0" indent="0" justifyLastLine="0" shrinkToFit="0" readingOrder="0"/>
      <protection locked="1" hidden="0"/>
    </dxf>
    <dxf>
      <numFmt numFmtId="165" formatCode="&quot;₹&quot;\ #,##0"/>
      <alignment horizontal="center" vertical="bottom" textRotation="0" wrapText="0" indent="0" justifyLastLine="0" shrinkToFit="0" readingOrder="0"/>
      <protection locked="1" hidden="0"/>
    </dxf>
    <dxf>
      <numFmt numFmtId="165" formatCode="&quot;₹&quot;\ #,##0"/>
      <alignment horizontal="center" vertical="bottom" textRotation="0" wrapText="0" indent="0" justifyLastLine="0" shrinkToFit="0" readingOrder="0"/>
      <protection locked="0" hidden="0"/>
    </dxf>
    <dxf>
      <numFmt numFmtId="165" formatCode="&quot;₹&quot;\ #,##0"/>
      <alignment horizontal="center" vertical="bottom" textRotation="0" wrapText="0" indent="0" justifyLastLine="0" shrinkToFit="0" readingOrder="0"/>
      <protection locked="0" hidden="0"/>
    </dxf>
    <dxf>
      <numFmt numFmtId="165" formatCode="&quot;₹&quot;\ #,##0"/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numFmt numFmtId="164" formatCode="0\ &quot;No.&quot;"/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border outline="0">
        <top style="thin">
          <color theme="4" tint="0.39997558519241921"/>
        </top>
      </border>
    </dxf>
    <dxf>
      <protection locked="0" hidden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protection locked="0" hidden="0"/>
    </dxf>
    <dxf>
      <numFmt numFmtId="165" formatCode="&quot;₹&quot;\ #,##0"/>
      <alignment horizontal="center" vertical="bottom" textRotation="0" wrapText="0" indent="0" justifyLastLine="0" shrinkToFit="0" readingOrder="0"/>
      <protection locked="1" hidden="0"/>
    </dxf>
    <dxf>
      <numFmt numFmtId="165" formatCode="&quot;₹&quot;\ #,##0"/>
      <alignment horizontal="center" vertical="bottom" textRotation="0" wrapText="0" indent="0" justifyLastLine="0" shrinkToFit="0" readingOrder="0"/>
      <protection locked="1" hidden="0"/>
    </dxf>
    <dxf>
      <numFmt numFmtId="165" formatCode="&quot;₹&quot;\ #,##0"/>
      <alignment horizontal="center" vertical="bottom" textRotation="0" wrapText="0" indent="0" justifyLastLine="0" shrinkToFit="0" readingOrder="0"/>
      <protection locked="1" hidden="0"/>
    </dxf>
    <dxf>
      <numFmt numFmtId="165" formatCode="&quot;₹&quot;\ #,##0"/>
      <alignment horizontal="center" vertical="bottom" textRotation="0" wrapText="0" indent="0" justifyLastLine="0" shrinkToFit="0" readingOrder="0"/>
      <protection locked="1" hidden="0"/>
    </dxf>
    <dxf>
      <numFmt numFmtId="165" formatCode="&quot;₹&quot;\ #,##0"/>
      <alignment horizontal="center" vertical="bottom" textRotation="0" wrapText="0" indent="0" justifyLastLine="0" shrinkToFit="0" readingOrder="0"/>
      <protection locked="1" hidden="0"/>
    </dxf>
    <dxf>
      <numFmt numFmtId="165" formatCode="&quot;₹&quot;\ #,##0"/>
      <alignment horizontal="center" vertical="bottom" textRotation="0" wrapText="0" indent="0" justifyLastLine="0" shrinkToFit="0" readingOrder="0"/>
      <protection locked="1" hidden="0"/>
    </dxf>
    <dxf>
      <numFmt numFmtId="165" formatCode="&quot;₹&quot;\ #,##0"/>
      <alignment horizontal="center" vertical="bottom" textRotation="0" wrapText="0" indent="0" justifyLastLine="0" shrinkToFit="0" readingOrder="0"/>
      <protection locked="1" hidden="0"/>
    </dxf>
    <dxf>
      <numFmt numFmtId="165" formatCode="&quot;₹&quot;\ #,##0"/>
      <alignment horizontal="center" vertical="bottom" textRotation="0" wrapText="0" indent="0" justifyLastLine="0" shrinkToFit="0" readingOrder="0"/>
      <protection locked="1" hidden="0"/>
    </dxf>
    <dxf>
      <numFmt numFmtId="165" formatCode="&quot;₹&quot;\ #,##0"/>
      <alignment horizontal="center" vertical="bottom" textRotation="0" wrapText="0" indent="0" justifyLastLine="0" shrinkToFit="0" readingOrder="0"/>
      <protection locked="0" hidden="0"/>
    </dxf>
    <dxf>
      <numFmt numFmtId="165" formatCode="&quot;₹&quot;\ #,##0"/>
      <alignment horizontal="center" vertical="bottom" textRotation="0" wrapText="0" indent="0" justifyLastLine="0" shrinkToFit="0" readingOrder="0"/>
      <protection locked="0" hidden="0"/>
    </dxf>
    <dxf>
      <numFmt numFmtId="165" formatCode="&quot;₹&quot;\ #,##0"/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numFmt numFmtId="164" formatCode="0\ &quot;No.&quot;"/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protection locked="0" hidden="0"/>
    </dxf>
    <dxf>
      <protection locked="0" hidden="0"/>
    </dxf>
    <dxf>
      <numFmt numFmtId="165" formatCode="&quot;₹&quot;\ #,##0"/>
      <alignment horizontal="center" vertical="bottom" textRotation="0" wrapText="0" indent="0" justifyLastLine="0" shrinkToFit="0" readingOrder="0"/>
      <protection locked="1" hidden="0"/>
    </dxf>
    <dxf>
      <numFmt numFmtId="165" formatCode="&quot;₹&quot;\ #,##0"/>
      <alignment horizontal="center" vertical="bottom" textRotation="0" wrapText="0" indent="0" justifyLastLine="0" shrinkToFit="0" readingOrder="0"/>
      <protection locked="1" hidden="0"/>
    </dxf>
    <dxf>
      <numFmt numFmtId="165" formatCode="&quot;₹&quot;\ #,##0"/>
      <alignment horizontal="center" vertical="bottom" textRotation="0" wrapText="0" indent="0" justifyLastLine="0" shrinkToFit="0" readingOrder="0"/>
      <protection locked="1" hidden="0"/>
    </dxf>
    <dxf>
      <numFmt numFmtId="165" formatCode="&quot;₹&quot;\ #,##0"/>
      <alignment horizontal="center" vertical="bottom" textRotation="0" wrapText="0" indent="0" justifyLastLine="0" shrinkToFit="0" readingOrder="0"/>
      <protection locked="1" hidden="0"/>
    </dxf>
    <dxf>
      <numFmt numFmtId="165" formatCode="&quot;₹&quot;\ #,##0"/>
      <alignment horizontal="center" vertical="bottom" textRotation="0" wrapText="0" indent="0" justifyLastLine="0" shrinkToFit="0" readingOrder="0"/>
      <protection locked="1" hidden="0"/>
    </dxf>
    <dxf>
      <numFmt numFmtId="165" formatCode="&quot;₹&quot;\ #,##0"/>
      <alignment horizontal="center" vertical="bottom" textRotation="0" wrapText="0" indent="0" justifyLastLine="0" shrinkToFit="0" readingOrder="0"/>
      <protection locked="1" hidden="0"/>
    </dxf>
    <dxf>
      <numFmt numFmtId="165" formatCode="&quot;₹&quot;\ #,##0"/>
      <alignment horizontal="center" vertical="bottom" textRotation="0" wrapText="0" indent="0" justifyLastLine="0" shrinkToFit="0" readingOrder="0"/>
      <protection locked="1" hidden="0"/>
    </dxf>
    <dxf>
      <numFmt numFmtId="165" formatCode="&quot;₹&quot;\ #,##0"/>
      <alignment horizontal="center" vertical="bottom" textRotation="0" wrapText="0" indent="0" justifyLastLine="0" shrinkToFit="0" readingOrder="0"/>
      <protection locked="1" hidden="0"/>
    </dxf>
    <dxf>
      <numFmt numFmtId="165" formatCode="&quot;₹&quot;\ #,##0"/>
      <alignment horizontal="center" vertical="bottom" textRotation="0" wrapText="0" indent="0" justifyLastLine="0" shrinkToFit="0" readingOrder="0"/>
      <protection locked="0" hidden="0"/>
    </dxf>
    <dxf>
      <numFmt numFmtId="165" formatCode="&quot;₹&quot;\ #,##0"/>
      <alignment horizontal="center" vertical="bottom" textRotation="0" wrapText="0" indent="0" justifyLastLine="0" shrinkToFit="0" readingOrder="0"/>
      <protection locked="0" hidden="0"/>
    </dxf>
    <dxf>
      <numFmt numFmtId="165" formatCode="&quot;₹&quot;\ #,##0"/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numFmt numFmtId="164" formatCode="0\ &quot;No.&quot;"/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protection locked="0" hidden="0"/>
    </dxf>
    <dxf>
      <protection locked="0" hidden="0"/>
    </dxf>
    <dxf>
      <numFmt numFmtId="165" formatCode="&quot;₹&quot;\ #,##0"/>
      <alignment horizontal="center" vertical="bottom" textRotation="0" wrapText="0" indent="0" justifyLastLine="0" shrinkToFit="0" readingOrder="0"/>
      <protection locked="1" hidden="0"/>
    </dxf>
    <dxf>
      <numFmt numFmtId="165" formatCode="&quot;₹&quot;\ #,##0"/>
      <alignment horizontal="center" vertical="bottom" textRotation="0" wrapText="0" indent="0" justifyLastLine="0" shrinkToFit="0" readingOrder="0"/>
      <protection locked="1" hidden="0"/>
    </dxf>
    <dxf>
      <numFmt numFmtId="165" formatCode="&quot;₹&quot;\ #,##0"/>
      <alignment horizontal="center" vertical="bottom" textRotation="0" wrapText="0" indent="0" justifyLastLine="0" shrinkToFit="0" readingOrder="0"/>
      <protection locked="1" hidden="0"/>
    </dxf>
    <dxf>
      <numFmt numFmtId="165" formatCode="&quot;₹&quot;\ #,##0"/>
      <alignment horizontal="center" vertical="bottom" textRotation="0" wrapText="0" indent="0" justifyLastLine="0" shrinkToFit="0" readingOrder="0"/>
      <protection locked="1" hidden="0"/>
    </dxf>
    <dxf>
      <numFmt numFmtId="165" formatCode="&quot;₹&quot;\ #,##0"/>
      <alignment horizontal="center" vertical="bottom" textRotation="0" wrapText="0" indent="0" justifyLastLine="0" shrinkToFit="0" readingOrder="0"/>
      <protection locked="1" hidden="0"/>
    </dxf>
    <dxf>
      <numFmt numFmtId="165" formatCode="&quot;₹&quot;\ #,##0"/>
      <alignment horizontal="center" vertical="bottom" textRotation="0" wrapText="0" indent="0" justifyLastLine="0" shrinkToFit="0" readingOrder="0"/>
      <protection locked="1" hidden="0"/>
    </dxf>
    <dxf>
      <numFmt numFmtId="165" formatCode="&quot;₹&quot;\ #,##0"/>
      <alignment horizontal="center" vertical="bottom" textRotation="0" wrapText="0" indent="0" justifyLastLine="0" shrinkToFit="0" readingOrder="0"/>
      <protection locked="1" hidden="0"/>
    </dxf>
    <dxf>
      <numFmt numFmtId="165" formatCode="&quot;₹&quot;\ #,##0"/>
      <alignment horizontal="center" vertical="bottom" textRotation="0" wrapText="0" indent="0" justifyLastLine="0" shrinkToFit="0" readingOrder="0"/>
      <protection locked="1" hidden="0"/>
    </dxf>
    <dxf>
      <numFmt numFmtId="165" formatCode="&quot;₹&quot;\ #,##0"/>
      <alignment horizontal="center" vertical="bottom" textRotation="0" wrapText="0" indent="0" justifyLastLine="0" shrinkToFit="0" readingOrder="0"/>
      <protection locked="0" hidden="0"/>
    </dxf>
    <dxf>
      <numFmt numFmtId="165" formatCode="&quot;₹&quot;\ #,##0"/>
      <alignment horizontal="center" vertical="bottom" textRotation="0" wrapText="0" indent="0" justifyLastLine="0" shrinkToFit="0" readingOrder="0"/>
      <protection locked="0" hidden="0"/>
    </dxf>
    <dxf>
      <numFmt numFmtId="165" formatCode="&quot;₹&quot;\ #,##0"/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numFmt numFmtId="164" formatCode="0\ &quot;No.&quot;"/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protection locked="0" hidden="0"/>
    </dxf>
    <dxf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₹&quot;\ #,##0"/>
      <alignment horizontal="center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₹&quot;\ #,##0"/>
      <alignment horizontal="center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₹&quot;\ #,##0"/>
      <alignment horizontal="center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₹&quot;\ #,##0"/>
      <alignment horizontal="center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₹&quot;\ #,##0"/>
      <alignment horizontal="center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₹&quot;\ #,##0"/>
      <alignment horizontal="center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₹&quot;\ #,##0"/>
      <alignment horizontal="center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₹&quot;\ #,##0"/>
      <alignment horizontal="center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₹&quot;\ #,##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₹&quot;\ #,##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₹&quot;\ #,##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\ &quot;No.&quot;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protection locked="0" hidden="0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9" defaultPivotStyle="PivotStyleLight16">
    <tableStyle name="Table Style 1" pivot="0" count="1" xr9:uid="{AC53AE95-20BB-4426-8709-A2C85E59D1B2}">
      <tableStyleElement type="wholeTable" dxfId="25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3A9E097D-4182-49C4-9317-D2E1D500CB91}" autoFormatId="16" applyNumberFormats="0" applyBorderFormats="0" applyFontFormats="0" applyPatternFormats="0" applyAlignmentFormats="0" applyWidthHeightFormats="0">
  <queryTableRefresh nextId="17">
    <queryTableFields count="16">
      <queryTableField id="1" name="Yom" tableColumnId="17"/>
      <queryTableField id="2" name="Art no." tableColumnId="2"/>
      <queryTableField id="3" name="Item" tableColumnId="3"/>
      <queryTableField id="4" name="Quality" tableColumnId="4"/>
      <queryTableField id="5" name="Supplier" tableColumnId="5"/>
      <queryTableField id="6" name="Description" tableColumnId="6"/>
      <queryTableField id="7" name="Cost" tableColumnId="7"/>
      <queryTableField id="8" name="Increase" tableColumnId="8"/>
      <queryTableField id="9" name="Expenses" tableColumnId="9"/>
      <queryTableField id="10" name="Total Cost" tableColumnId="10"/>
      <queryTableField id="11" name="Net Price Credit" tableColumnId="11"/>
      <queryTableField id="12" name="Wsp" tableColumnId="12"/>
      <queryTableField id="13" name="Mrp" tableColumnId="13"/>
      <queryTableField id="14" name="Net Cash" tableColumnId="14"/>
      <queryTableField id="15" name="South" tableColumnId="15"/>
      <queryTableField id="16" name="Amazon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2" xr16:uid="{00000000-0016-0000-0600-000001000000}" autoFormatId="16" applyNumberFormats="0" applyBorderFormats="0" applyFontFormats="0" applyPatternFormats="0" applyAlignmentFormats="0" applyWidthHeightFormats="0">
  <queryTableRefresh nextId="10">
    <queryTableFields count="4">
      <queryTableField id="1" name="Art no." tableColumnId="5"/>
      <queryTableField id="2" name="Item" tableColumnId="2"/>
      <queryTableField id="3" name="Quality" tableColumnId="3"/>
      <queryTableField id="4" name="Wsp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3" xr16:uid="{00000000-0016-0000-0700-000002000000}" autoFormatId="16" applyNumberFormats="0" applyBorderFormats="0" applyFontFormats="0" applyPatternFormats="0" applyAlignmentFormats="0" applyWidthHeightFormats="0">
  <queryTableRefresh nextId="21">
    <queryTableFields count="6">
      <queryTableField id="2" name="Art no." tableColumnId="2"/>
      <queryTableField id="3" name="Item" tableColumnId="3"/>
      <queryTableField id="4" name="Quality" tableColumnId="4"/>
      <queryTableField id="12" name="Wsp" tableColumnId="12"/>
      <queryTableField id="16" name="Amazon" tableColumnId="1"/>
      <queryTableField id="17" name="with box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1" xr16:uid="{00000000-0016-0000-0800-000003000000}" autoFormatId="16" applyNumberFormats="0" applyBorderFormats="0" applyFontFormats="0" applyPatternFormats="0" applyAlignmentFormats="0" applyWidthHeightFormats="0">
  <queryTableRefresh nextId="10">
    <queryTableFields count="6">
      <queryTableField id="1" name="Art no." tableColumnId="5"/>
      <queryTableField id="2" name="Item" tableColumnId="2"/>
      <queryTableField id="3" name="Quality" tableColumnId="3"/>
      <queryTableField id="4" name="Wsp" tableColumnId="4"/>
      <queryTableField id="5" name="Amazon" tableColumnId="1"/>
      <queryTableField id="6" name="with box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4" xr16:uid="{00000000-0016-0000-0900-000004000000}" autoFormatId="16" applyNumberFormats="0" applyBorderFormats="0" applyFontFormats="0" applyPatternFormats="0" applyAlignmentFormats="0" applyWidthHeightFormats="0">
  <queryTableRefresh nextId="8">
    <queryTableFields count="5">
      <queryTableField id="1" name="Art no." tableColumnId="4"/>
      <queryTableField id="2" name="Item" tableColumnId="2"/>
      <queryTableField id="3" name="Wsp" tableColumnId="3"/>
      <queryTableField id="4" name="Amazon" tableColumnId="1"/>
      <queryTableField id="5" name="With Box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5" xr16:uid="{00000000-0016-0000-0A00-000005000000}" autoFormatId="16" applyNumberFormats="0" applyBorderFormats="0" applyFontFormats="0" applyPatternFormats="0" applyAlignmentFormats="0" applyWidthHeightFormats="0">
  <queryTableRefresh nextId="8">
    <queryTableFields count="4">
      <queryTableField id="1" name="Art no." tableColumnId="5"/>
      <queryTableField id="2" name="Item" tableColumnId="2"/>
      <queryTableField id="3" name="Quality" tableColumnId="3"/>
      <queryTableField id="4" name="Wsp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2" xr16:uid="{00000000-0016-0000-0B00-000006000000}" autoFormatId="16" applyNumberFormats="0" applyBorderFormats="0" applyFontFormats="0" applyPatternFormats="0" applyAlignmentFormats="0" applyWidthHeightFormats="0">
  <queryTableRefresh nextId="10">
    <queryTableFields count="4">
      <queryTableField id="1" name="Art no." tableColumnId="5"/>
      <queryTableField id="2" name="Item" tableColumnId="2"/>
      <queryTableField id="3" name="Quality" tableColumnId="3"/>
      <queryTableField id="4" name="Mrp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3" xr16:uid="{00000000-0016-0000-0C00-000007000000}" autoFormatId="16" applyNumberFormats="0" applyBorderFormats="0" applyFontFormats="0" applyPatternFormats="0" applyAlignmentFormats="0" applyWidthHeightFormats="0">
  <queryTableRefresh nextId="10">
    <queryTableFields count="4">
      <queryTableField id="1" name="Art no." tableColumnId="5"/>
      <queryTableField id="2" name="Item" tableColumnId="2"/>
      <queryTableField id="3" name="Quality" tableColumnId="3"/>
      <queryTableField id="4" name="Net Cash" tableColumnId="4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8" xr16:uid="{00000000-0016-0000-0D00-000008000000}" autoFormatId="16" applyNumberFormats="0" applyBorderFormats="0" applyFontFormats="0" applyPatternFormats="0" applyAlignmentFormats="0" applyWidthHeightFormats="0">
  <queryTableRefresh nextId="8">
    <queryTableFields count="4">
      <queryTableField id="1" name="Art no." tableColumnId="5"/>
      <queryTableField id="2" name="Item" tableColumnId="2"/>
      <queryTableField id="3" name="Quality" tableColumnId="3"/>
      <queryTableField id="4" name="South" tableColumnId="4"/>
    </queryTableFields>
  </queryTableRefresh>
</queryTable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1500F6-B0CD-4E20-8F40-E39AC047CB43}" name="Price35" displayName="Price35" ref="A2:Q51" totalsRowShown="0" headerRowDxfId="258" dataDxfId="257">
  <autoFilter ref="A2:Q51" xr:uid="{061500F6-B0CD-4E20-8F40-E39AC047CB43}"/>
  <tableColumns count="17">
    <tableColumn id="1" xr3:uid="{6AC0E1D7-9C82-4528-B891-A1ED52EBC6FC}" name="Yom" dataDxfId="256"/>
    <tableColumn id="2" xr3:uid="{E47F8768-DCA6-4EE1-8C00-F511A1E526BF}" name="Art no." dataDxfId="255"/>
    <tableColumn id="3" xr3:uid="{56E02CF5-6ADF-41C7-B63F-62EF97F9D11B}" name="Item" dataDxfId="254"/>
    <tableColumn id="4" xr3:uid="{979D8305-008B-4DB9-8217-FF6399A22022}" name="Quality" dataDxfId="253"/>
    <tableColumn id="5" xr3:uid="{8B2330E2-F114-420B-9DB5-610C229D5C8D}" name="Supplier" dataDxfId="252"/>
    <tableColumn id="6" xr3:uid="{D45A9E60-D503-46BB-8190-142714233641}" name="Description" dataDxfId="251"/>
    <tableColumn id="7" xr3:uid="{C977BACE-3D04-4C9F-93BB-F0547EF54C93}" name="Cost" dataDxfId="250"/>
    <tableColumn id="8" xr3:uid="{6066E780-F509-470E-91D9-D4C6BB72A51B}" name="Increase" dataDxfId="249"/>
    <tableColumn id="9" xr3:uid="{F50B7078-A901-41F8-A4A2-F3BADA4237C7}" name="Expenses" dataDxfId="248"/>
    <tableColumn id="10" xr3:uid="{7DCA3255-DFAD-44D2-A0BD-34DBC9DAAF66}" name="Total Cost" dataDxfId="247">
      <calculatedColumnFormula>IF(SUMIF(G3:I3,"&lt;&gt;")=0,"",SUM(G3:I3))</calculatedColumnFormula>
    </tableColumn>
    <tableColumn id="11" xr3:uid="{748A3735-732B-4F90-A9B2-C5D44A8AFF80}" name="Net Price Credit" dataDxfId="246">
      <calculatedColumnFormula>IF(ISNUMBER(L3),
   IF(CEILING(ROUND(L3*0.95,2),5)=420,
      425,
      CEILING(ROUND(L3*0.95,2),5)
   ),
   ""
)</calculatedColumnFormula>
    </tableColumn>
    <tableColumn id="12" xr3:uid="{BE8006DF-E815-475F-B1EF-5918F61FD86F}" name="Wsp" dataDxfId="245">
      <calculatedColumnFormula>IF(ISNUMBER(J3),
   IF(CEILING(ROUND(J3*1.35,2),5)=420,
      425,
      CEILING(ROUND(J3*1.35,2),5)
   ),
   ""
)</calculatedColumnFormula>
    </tableColumn>
    <tableColumn id="13" xr3:uid="{927159E4-ECA6-4659-A9AF-83D57D83F5C6}" name="Mrp" dataDxfId="244">
      <calculatedColumnFormula>IF(AND(ISNUMBER(J3),ISNUMBER(G3)),
   IF(
      CEILING(
         ROUND((J3*1.5) * IF(J3*1.5 &lt;= 2500, 1.05, 1.18), 2),
         IF(ROUND((J3*1.5) * IF(J3*1.5 &lt;= 2500, 1.05, 1.18), 2) &lt; 2500, 25, 50)
      )=420,
      425,
      CEILING(
         ROUND((J3*1.5) * IF(J3*1.5 &lt;= 2500, 1.05, 1.18), 2),
         IF(ROUND((J3*1.5) * IF(J3*1.5 &lt;= 2500, 1.05, 1.18), 2) &lt; 2500, 25, 50)
      )
   ),
   ""
)</calculatedColumnFormula>
    </tableColumn>
    <tableColumn id="14" xr3:uid="{A9F54432-A597-465B-B081-84CF463D109E}" name="Net Cash" dataDxfId="243">
      <calculatedColumnFormula>IF(ISNUMBER(G3), CEILING(ROUND(L3*0.92,2),5), "")</calculatedColumnFormula>
    </tableColumn>
    <tableColumn id="15" xr3:uid="{960EC974-CCD9-4D97-BB1B-C73AA5FE2720}" name="South" dataDxfId="242">
      <calculatedColumnFormula>IF(ISNUMBER(L3),
   IF(CEILING(ROUND(L3*1.07,2),5)=420,
      425,
      CEILING(ROUND(L3*1.07,2),5)
   ),
   ""
)</calculatedColumnFormula>
    </tableColumn>
    <tableColumn id="16" xr3:uid="{CA5D1835-86F5-4BD2-BFC9-D5AE53ED7289}" name="Amazon" dataDxfId="241">
      <calculatedColumnFormula>IF((((G3*1.5)+50)/0.835)&lt;2500,
MROUND(((((G3*1.5)+50)/0.835)*1.05)*2,10),
MROUND(((((G3*1.5)+50)/0.835)*1.18)*2,10))</calculatedColumnFormula>
    </tableColumn>
    <tableColumn id="17" xr3:uid="{A67B0903-D5D4-457B-A0E2-0B3E6EE006B2}" name="With Box" dataDxfId="240">
      <calculatedColumnFormula>IF($S$3="","",
MROUND(
  IF($S$3="m",
     IF($T$3=1, Price35[[#This Row],[Mrp]]+$W$4, Price35[[#This Row],[Mrp]]+$X$4),
  IF($S$3="nc",
     IF($T$3=1, Price35[[#This Row],[Net Cash]]+$W$5, Price35[[#This Row],[Net Cash]]+$X$5),
  IF($S$3="npc",
     IF($T$3=1, Price35[[#This Row],[Net Price Credit]]+$W$6, Price35[[#This Row],[Net Price Credit]]+$X$6),
  IF($S$3="w",
     IF($T$3=1, Price35[[#This Row],[Wsp]]+$W$6, Price35[[#This Row],[Wsp]]+$X$6),
  "")))),
10))</calculatedColumnFormula>
    </tableColumn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0BC707-8813-415C-8C17-7D851BDE5251}" name="Price30" displayName="Price30" ref="A54:Q294" totalsRowShown="0" headerRowDxfId="239" dataDxfId="238">
  <autoFilter ref="A54:Q294" xr:uid="{EE0BC707-8813-415C-8C17-7D851BDE5251}"/>
  <tableColumns count="17">
    <tableColumn id="1" xr3:uid="{16E0AE58-A5FA-4264-A8AF-C09CC69DC375}" name="Yom" dataDxfId="237"/>
    <tableColumn id="2" xr3:uid="{4DA444F9-FDFC-4864-BF7C-463AE23554C6}" name="Art no." dataDxfId="236"/>
    <tableColumn id="3" xr3:uid="{E4043F8B-F456-4389-B664-6E11B9424328}" name="Item" dataDxfId="235"/>
    <tableColumn id="4" xr3:uid="{143DAEAF-3348-478C-B7A6-3E6614792A69}" name="Quality" dataDxfId="234"/>
    <tableColumn id="5" xr3:uid="{4016B9AF-19B2-473B-9F6A-59D4D41E6D97}" name="Supplier" dataDxfId="233"/>
    <tableColumn id="6" xr3:uid="{108E4D10-D447-482C-9BCF-E5CD7B648043}" name="Description" dataDxfId="232"/>
    <tableColumn id="7" xr3:uid="{A8023BCB-D603-4BB0-939E-E0C90046E145}" name="Cost" dataDxfId="231"/>
    <tableColumn id="8" xr3:uid="{44DEE21C-4995-4BDB-8910-1980B1C5E9A0}" name="Increase" dataDxfId="230"/>
    <tableColumn id="9" xr3:uid="{C53A348C-FE4F-420C-9B48-38DE77E026E0}" name="Expenses" dataDxfId="229"/>
    <tableColumn id="10" xr3:uid="{C4C59608-B4EE-4D31-9EF7-71B7EAA1C9EF}" name="Total Cost" dataDxfId="228">
      <calculatedColumnFormula>IF(SUMIF(G55:I55,"&lt;&gt;")=0,"",SUM(G55:I55))</calculatedColumnFormula>
    </tableColumn>
    <tableColumn id="11" xr3:uid="{DF0DC540-0D38-4FBB-B19E-CEA804A792D6}" name="Net Price Credit" dataDxfId="227">
      <calculatedColumnFormula>IF(ISNUMBER(L55),
   IF(CEILING(ROUND(L55*0.95,2),5)=420,
      425,
      CEILING(ROUND(L55*0.95,2),5)
   ),
   ""
)</calculatedColumnFormula>
    </tableColumn>
    <tableColumn id="12" xr3:uid="{8922C0FC-9EF9-4AA4-9925-02A61C458F7C}" name="Wsp" dataDxfId="226">
      <calculatedColumnFormula>IF(AND(ISNUMBER(J55),ISNUMBER(G55)),
   IF(CEILING(ROUND(J55*1.3,2),5)=420,
      425,
      CEILING(ROUND(J55*1.3,2),5)
   ),
   ""
)</calculatedColumnFormula>
    </tableColumn>
    <tableColumn id="13" xr3:uid="{AA064545-A13A-4120-B681-2A5DCF156930}" name="Mrp" dataDxfId="225">
      <calculatedColumnFormula>IF(AND(ISNUMBER(J55),ISNUMBER(G55)),
   IF(
      CEILING(
         ROUND((J55*1.5) * IF(J55*1.5 &lt;= 2500, 1.05, 1.18), 2),
         IF(ROUND((J55*1.5) * IF(J55*1.5 &lt;= 2500, 1.05, 1.18), 2) &lt; 2500, 25, 50)
      )=420,
      425,
      CEILING(
         ROUND((J55*1.5) * IF(J55*1.5 &lt;= 2500, 1.05, 1.18), 2),
         IF(ROUND((J55*1.5) * IF(J55*1.5 &lt;= 2500, 1.05, 1.18), 2) &lt; 2500, 25, 50)
      )
   ),
   ""
)</calculatedColumnFormula>
    </tableColumn>
    <tableColumn id="14" xr3:uid="{481FD2B2-6A2B-464C-8F81-30DF098813A2}" name="Net Cash" dataDxfId="224">
      <calculatedColumnFormula>IF(ISNUMBER(G55),
   IF(CEILING(ROUND(L55*0.92,2),5)=420,
      425,
      CEILING(ROUND(L55*0.92,2),5)
   ),
   ""
)</calculatedColumnFormula>
    </tableColumn>
    <tableColumn id="15" xr3:uid="{6A48BD25-375A-4C60-A0AB-C7E123AB1069}" name="South" dataDxfId="223">
      <calculatedColumnFormula>IF(ISNUMBER(L55),
   IF(CEILING(ROUND(L55*1.07,2),5)=420,
      425,
      CEILING(ROUND(L55*1.07,2),5)
   ),
   ""
)</calculatedColumnFormula>
    </tableColumn>
    <tableColumn id="16" xr3:uid="{7E1B8DB1-74BE-43A5-9710-577F1A02ECCD}" name="Amazon" dataDxfId="222">
      <calculatedColumnFormula>IF((((Price30[Cost]*1.5)+50)/0.835)&lt;2500,
MROUND((((( Price30[Cost]*1.5)+50)/0.835)*1.05)*2,10),
MROUND((((( Price30[Cost]*1.5)+50)/0.835)*1.18)*2,10))</calculatedColumnFormula>
    </tableColumn>
    <tableColumn id="17" xr3:uid="{02F74E53-16D9-4F07-8737-2BA1043C3306}" name="With Box" dataDxfId="221">
      <calculatedColumnFormula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calculatedColumnFormula>
    </tableColumn>
  </tableColumns>
  <tableStyleInfo name="TableStyleLight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6F2C5DB-1D8F-4017-9DD0-C38761C52E3B}" name="Price25" displayName="Price25" ref="A295:Q806" totalsRowShown="0" headerRowDxfId="220" dataDxfId="219">
  <autoFilter ref="A295:Q806" xr:uid="{66F2C5DB-1D8F-4017-9DD0-C38761C52E3B}"/>
  <tableColumns count="17">
    <tableColumn id="1" xr3:uid="{365F03FC-68E2-4227-8E64-807B82DD95C8}" name="Yom" dataDxfId="218"/>
    <tableColumn id="2" xr3:uid="{A14A33F6-A06B-4D72-AF06-5BC27CA2B49E}" name="Art no." dataDxfId="217"/>
    <tableColumn id="3" xr3:uid="{CABF04DB-E9EC-42CC-8586-EA7696B28248}" name="Item" dataDxfId="216"/>
    <tableColumn id="4" xr3:uid="{CCF02C9C-7BAF-49E7-99DE-3D70872214F0}" name="Quality" dataDxfId="215"/>
    <tableColumn id="5" xr3:uid="{54FE4AD9-5D0A-4E7C-9AC7-CD88E6B97D9D}" name="Supplier" dataDxfId="214"/>
    <tableColumn id="6" xr3:uid="{89AA034D-C178-4843-95B6-F97A444F76DC}" name="Description" dataDxfId="213"/>
    <tableColumn id="7" xr3:uid="{293929AC-CC4F-4F54-9E02-3FE94B028A59}" name="Cost" dataDxfId="212"/>
    <tableColumn id="8" xr3:uid="{5E5DC9D8-725F-4C4C-8BA3-47E7575B8810}" name="Increase" dataDxfId="211"/>
    <tableColumn id="9" xr3:uid="{5593CC96-0D90-4A86-9F24-6B585D9F7604}" name="Expenses" dataDxfId="210"/>
    <tableColumn id="10" xr3:uid="{542E6A8F-A716-4F4F-8E7A-DF8A1CF062DC}" name="Total Cost" dataDxfId="209">
      <calculatedColumnFormula>IF(SUMIF(G296:I296,"&lt;&gt;")=0,"",SUM(G296:I296))</calculatedColumnFormula>
    </tableColumn>
    <tableColumn id="11" xr3:uid="{63910E9D-2039-47E6-8E72-89F50C5E1EA0}" name="Net Price Credit" dataDxfId="208">
      <calculatedColumnFormula>IF(ISNUMBER(L296),
   IF(CEILING(ROUND(L296*0.95,2),5)=420,
      425,
      CEILING(ROUND(L296*0.95,2),5)
   ),
   ""
)</calculatedColumnFormula>
    </tableColumn>
    <tableColumn id="12" xr3:uid="{FAE13ED2-EB2A-47C7-902B-93ABE767BCBB}" name="Wsp" dataDxfId="207">
      <calculatedColumnFormula>IF(AND(ISNUMBER(J296),ISNUMBER(G296)),
   IF(CEILING(ROUND(J296*1.25,2),5)=420,
      425,
      CEILING(ROUND(J296*1.25,2),5)
   ),
   ""
)</calculatedColumnFormula>
    </tableColumn>
    <tableColumn id="13" xr3:uid="{B9758104-F9AF-4BE4-B0AE-ECEC9024602F}" name="Mrp" dataDxfId="206">
      <calculatedColumnFormula>IF(AND(ISNUMBER(J296),ISNUMBER(G296)),
   IF(
      CEILING(
         ROUND((J296*1.5) * IF(J296*1.5 &lt;= 2500, 1.05, 1.18), 2),
         IF(ROUND((J296*1.5) * IF(J296*1.5 &lt;= 2500, 1.05, 1.18), 2) &lt; 2500, 25, 50)
      )=420,
      425,
      CEILING(
         ROUND((J296*1.5) * IF(J296*1.5 &lt;= 2500, 1.05, 1.18), 2),
         IF(ROUND((J296*1.5) * IF(J296*1.5 &lt;= 2500, 1.05, 1.18), 2) &lt; 2500, 25, 50)
      )
   ),
   ""
)</calculatedColumnFormula>
    </tableColumn>
    <tableColumn id="14" xr3:uid="{15493637-2A74-4691-B17C-7DDD7A98C876}" name="Net Cash" dataDxfId="205">
      <calculatedColumnFormula>IF(ISNUMBER(G296),
   IF(CEILING(ROUND(L296*0.92,2),5)=420,
      425,
      CEILING(ROUND(L296*0.92,2),5)
   ),
   ""
)</calculatedColumnFormula>
    </tableColumn>
    <tableColumn id="15" xr3:uid="{82CB4C93-44AE-442D-B936-BFD7291F50A4}" name="South" dataDxfId="204">
      <calculatedColumnFormula>IF(ISNUMBER(L296),
   IF(CEILING(ROUND(L296*1.07,2),5)=420,
      425,
      CEILING(ROUND(L296*1.07,2),5)
   ),
   ""
)</calculatedColumnFormula>
    </tableColumn>
    <tableColumn id="16" xr3:uid="{1DBDD799-279F-4792-9AD0-53720B945DF0}" name="Amazon" dataDxfId="203">
      <calculatedColumnFormula>IF((((Price25[Cost]*1.5)+50)/0.835)&lt;2500,
MROUND((((( Price25[Cost]*1.5)+50)/0.835)*1.05)*2,10),
MROUND((((( Price25[Cost]*1.5)+50)/0.835)*1.18)*2,10))</calculatedColumnFormula>
    </tableColumn>
    <tableColumn id="17" xr3:uid="{C34E5F01-241C-478E-AD21-DCDDCE940A69}" name="With Box" dataDxfId="202">
      <calculatedColumnFormula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calculatedColumnFormula>
    </tableColumn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C0DE020-527F-4920-8B9F-30A620C8AA03}" name="SuitBranded" displayName="SuitBranded" ref="A809:Q838" totalsRowShown="0" headerRowDxfId="201" dataDxfId="200">
  <autoFilter ref="A809:Q838" xr:uid="{0C0DE020-527F-4920-8B9F-30A620C8AA03}"/>
  <tableColumns count="17">
    <tableColumn id="1" xr3:uid="{A2897C35-4F70-44A8-B08A-29206651E394}" name="Yom" dataDxfId="199"/>
    <tableColumn id="2" xr3:uid="{7BAC4CA9-5D9F-432D-B39B-B7EE50942375}" name="Art no." dataDxfId="198"/>
    <tableColumn id="3" xr3:uid="{AE67AB46-C2F1-462B-9CB5-D4A3E2BA3E11}" name="Item" dataDxfId="197"/>
    <tableColumn id="4" xr3:uid="{370470D9-5005-4A58-BF97-96E96DE8EAB3}" name="Quality" dataDxfId="196"/>
    <tableColumn id="5" xr3:uid="{30B9CC42-6FD5-4F0B-AD75-D3C7AC3F7235}" name="Supplier" dataDxfId="195"/>
    <tableColumn id="6" xr3:uid="{AF89E07E-BD36-4E41-AFA2-C03184CB637A}" name="Description" dataDxfId="194"/>
    <tableColumn id="7" xr3:uid="{1BD9822F-3FCC-48BE-AD62-F1077A728E1C}" name="Cost" dataDxfId="193"/>
    <tableColumn id="8" xr3:uid="{F2E61868-1C95-4C24-871E-30283D759EAE}" name="Increase" dataDxfId="192"/>
    <tableColumn id="9" xr3:uid="{0D152D80-8A00-4FCE-9822-721EB244754D}" name="Expenses" dataDxfId="191"/>
    <tableColumn id="10" xr3:uid="{0EEA4E11-513F-407D-98BD-33989E2EF922}" name="Total Cost" dataDxfId="190">
      <calculatedColumnFormula>IF(SUMIF(G810:I810,"&lt;&gt;")=0,"",SUM(G810:I810))</calculatedColumnFormula>
    </tableColumn>
    <tableColumn id="11" xr3:uid="{486A8099-8CD5-43F0-9935-C94636087EE6}" name="Net Price Credit" dataDxfId="189">
      <calculatedColumnFormula>IF(ISNUMBER(L810), CEILING(ROUND(L810*0.95,2),5), "")</calculatedColumnFormula>
    </tableColumn>
    <tableColumn id="12" xr3:uid="{3613AA6E-4721-4E95-BD92-36E8FA703968}" name="Wsp" dataDxfId="188">
      <calculatedColumnFormula>IF(AND(ISNUMBER(J810),ISNUMBER(G810)), CEILING(ROUND(J810*1.25,2),5), "")</calculatedColumnFormula>
    </tableColumn>
    <tableColumn id="13" xr3:uid="{9CC671F8-1B87-4454-8ADD-23450B37E198}" name="Mrp" dataDxfId="187">
      <calculatedColumnFormula>IF(AND(ISNUMBER(J810),ISNUMBER(G810)),
   CEILING(
      ROUND((J810*1.4) * 1.05, 2),
      IF(ROUND((J810*1.4) * 1.05, 2) &lt; 2500, 5, 50)
   ),
"")</calculatedColumnFormula>
    </tableColumn>
    <tableColumn id="14" xr3:uid="{B299BA53-569E-4DE4-B60B-2BA6B195CE1E}" name="Net Cash" dataDxfId="186">
      <calculatedColumnFormula>IF(ISNUMBER(G810), CEILING(ROUND(L810*0.92,2),5), "")</calculatedColumnFormula>
    </tableColumn>
    <tableColumn id="15" xr3:uid="{1698E81D-5187-4817-92DD-A3BE97051578}" name="South" dataDxfId="185">
      <calculatedColumnFormula>IF(ISNUMBER(L810), CEILING(ROUND(L810*1.07,2),5), "")</calculatedColumnFormula>
    </tableColumn>
    <tableColumn id="16" xr3:uid="{FC6BAB39-A646-44D0-9BC0-E7D76A5F2B4E}" name="Amazon" dataDxfId="184">
      <calculatedColumnFormula>IF(((SuitBranded[[#This Row],[Cost]]*1.5+50)/0.835)&lt;2500,
    MROUND(((SuitBranded[[#This Row],[Cost]]*1.5+50)/0.835*1.05)*2,10),
    MROUND(((SuitBranded[[#This Row],[Cost]]*1.5+50)/0.835*1.18)*2,10))</calculatedColumnFormula>
    </tableColumn>
    <tableColumn id="17" xr3:uid="{97062614-AEA7-4363-8E33-3CB07E7A6EEB}" name="With Box" dataDxfId="183">
      <calculatedColumnFormula>IF($S$3="","",
MROUND(
  IF($S$3="m",
     IF($T$3=1, SuitBranded[[#This Row],[Mrp]]+$W$4, SuitBranded[[#This Row],[Mrp]]+$X$4),
  IF($S$3="nc",
     IF($T$3=1, SuitBranded[[#This Row],[Net Cash]]+$W$5, SuitBranded[[#This Row],[Net Cash]]+$X$5),
  IF($S$3="npc",
     IF($T$3=1, SuitBranded[[#This Row],[Net Price Credit]]+$W$6, SuitBranded[[#This Row],[Net Price Credit]]+$X$6),
  IF($S$3="w",
     IF($T$3=1, SuitBranded[[#This Row],[Wsp]]+$W$6, SuitBranded[[#This Row],[Wsp]]+$X$6),
  "")))),
10))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6EED618-A328-4C3E-9FDD-A4164DE91491}" name="Pashmina" displayName="Pashmina" ref="A841:Q845" totalsRowShown="0" headerRowDxfId="182" dataDxfId="180" headerRowBorderDxfId="181" tableBorderDxfId="179">
  <autoFilter ref="A841:Q845" xr:uid="{D6EED618-A328-4C3E-9FDD-A4164DE91491}"/>
  <tableColumns count="17">
    <tableColumn id="1" xr3:uid="{5DBD483D-6355-43CA-89AA-214FA959EF38}" name="Yom" dataDxfId="178"/>
    <tableColumn id="2" xr3:uid="{05BF95D6-8949-46FC-857D-196DC6FF32B3}" name="Art no." dataDxfId="177"/>
    <tableColumn id="3" xr3:uid="{0F2042E7-3452-46BB-84CE-1AAEDD61206B}" name="Item" dataDxfId="176"/>
    <tableColumn id="4" xr3:uid="{3D9CBD2E-28E8-484A-8BCE-7F42A8A6516A}" name="Quality" dataDxfId="175"/>
    <tableColumn id="5" xr3:uid="{6BBEA30C-68C7-4B03-90AE-F0B259119F5D}" name="Supplier" dataDxfId="174"/>
    <tableColumn id="6" xr3:uid="{ABAB4195-1647-46BD-838B-574BF6214AA8}" name="Description" dataDxfId="173"/>
    <tableColumn id="7" xr3:uid="{C1ED6AF4-5BC9-497F-8054-AD4798BBC79D}" name="Cost" dataDxfId="172"/>
    <tableColumn id="8" xr3:uid="{41579821-E765-4487-92C3-6B6CEEC23CA0}" name="Increase" dataDxfId="171"/>
    <tableColumn id="9" xr3:uid="{44843EA9-714F-44B5-B819-60AF40800649}" name="Expenses" dataDxfId="170"/>
    <tableColumn id="10" xr3:uid="{A5772D38-3310-4623-929A-906BDCF2EE4A}" name="Total Cost" dataDxfId="169">
      <calculatedColumnFormula>IF(SUMIF(G842:I842,"&lt;&gt;")=0,"",SUM(G842:I842))</calculatedColumnFormula>
    </tableColumn>
    <tableColumn id="11" xr3:uid="{BE135896-9738-4062-89AC-71F05A7B6BDD}" name="Net Price Credit" dataDxfId="168">
      <calculatedColumnFormula>IF(ISNUMBER(L842), CEILING(ROUND(L842*0.95,2),5), "")</calculatedColumnFormula>
    </tableColumn>
    <tableColumn id="12" xr3:uid="{427FC5DF-06AB-41C2-BB7E-503674CF038F}" name="Wsp" dataDxfId="167">
      <calculatedColumnFormula>IF(AND(ISNUMBER(J842),ISNUMBER(G842)), CEILING(ROUND(J842*1.25,2),5), "")</calculatedColumnFormula>
    </tableColumn>
    <tableColumn id="13" xr3:uid="{791BB3CD-84DF-4E50-9508-4147A62108E2}" name="Mrp" dataDxfId="166">
      <calculatedColumnFormula>IF(AND(ISNUMBER(J842),ISNUMBER(G842)),
   CEILING(
      ROUND((J842*1.8) * IF(J842*1.8 &lt;= 2500, 1.05, 1.18), 2),
      IF(ROUND((J842*1.8) * IF(J842*1.8 &lt;= 2500, 1.05, 1.18), 2) &lt; 2500, 5, 50)
   ),
"")</calculatedColumnFormula>
    </tableColumn>
    <tableColumn id="14" xr3:uid="{B6D601E9-50AA-41EB-90E1-6A2D7A0AFE64}" name="Net Cash" dataDxfId="165">
      <calculatedColumnFormula>IF(ISNUMBER(G842), CEILING(ROUND(L842*0.92,2),5), "")</calculatedColumnFormula>
    </tableColumn>
    <tableColumn id="15" xr3:uid="{843B62E3-279F-4B6D-BA19-21DD69A85777}" name="South" dataDxfId="164">
      <calculatedColumnFormula>IF(ISNUMBER(L842), CEILING(ROUND(L842*1.07,2),5), "")</calculatedColumnFormula>
    </tableColumn>
    <tableColumn id="16" xr3:uid="{BFCE6304-9D81-47A0-856A-885E6AAA4C42}" name="Amazon" dataDxfId="163">
      <calculatedColumnFormula>IF(((Pashmina[[#This Row],[Cost]]*1.5+50)/0.835)&lt;2500,
    MROUND(((Pashmina[[#This Row],[Cost]]*1.5+50)/0.835*1.05)*2,10),
    MROUND(((Pashmina[[#This Row],[Cost]]*1.5+50)/0.835*1.18)*2,10))</calculatedColumnFormula>
    </tableColumn>
    <tableColumn id="17" xr3:uid="{DCBC0476-73B0-427C-BC30-BB9EC4AB4DF0}" name="With Box" dataDxfId="162">
      <calculatedColumnFormula>IF($S$3="","",
MROUND(
  IF($S$3="m",
     IF($T$3=1, Pashmina[[#This Row],[Mrp]]+$W$4, Pashmina[[#This Row],[Mrp]]+$X$4),
  IF($S$3="nc",
     IF($T$3=1, Pashmina[[#This Row],[Net Cash]]+$W$5, Pashmina[[#This Row],[Net Cash]]+$X$5),
  IF($S$3="npc",
     IF($T$3=1, Pashmina[[#This Row],[Net Price Credit]]+$W$6, Pashmina[[#This Row],[Net Price Credit]]+$X$6),
  IF($S$3="w",
     IF($T$3=1, Pashmina[[#This Row],[Wsp]]+$W$6, Pashmina[[#This Row],[Wsp]]+$X$6),
  "")))),
10))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15927D0-473C-4800-8FDA-896BA3159257}" name="SuitNonBranded" displayName="SuitNonBranded" ref="A846:Q864" totalsRowShown="0" headerRowDxfId="161" dataDxfId="159" headerRowBorderDxfId="160" tableBorderDxfId="158" totalsRowBorderDxfId="157">
  <autoFilter ref="A846:Q864" xr:uid="{A15927D0-473C-4800-8FDA-896BA3159257}"/>
  <tableColumns count="17">
    <tableColumn id="1" xr3:uid="{E2B2744A-7B50-4407-8953-C4791F3CC48B}" name="Yom" dataDxfId="156"/>
    <tableColumn id="2" xr3:uid="{FE427A71-700A-4530-B565-26BDEE916A80}" name="Art no." dataDxfId="155"/>
    <tableColumn id="3" xr3:uid="{D1D881E0-2C43-4CE7-B5B5-5AE1F2F4A83B}" name="Item" dataDxfId="154"/>
    <tableColumn id="4" xr3:uid="{7D344C37-F989-485A-9D00-5EB41DB84B2C}" name="Quality" dataDxfId="153"/>
    <tableColumn id="5" xr3:uid="{F23069A2-0B8B-472B-94B2-1B059F9CC892}" name="Supplier" dataDxfId="152"/>
    <tableColumn id="6" xr3:uid="{71BECB59-6A21-4B1E-B9D6-7C0C18A4FC40}" name="Description" dataDxfId="151"/>
    <tableColumn id="7" xr3:uid="{CC844287-C21E-4F0B-83F1-2D9B9495BBB1}" name="Cost" dataDxfId="150"/>
    <tableColumn id="8" xr3:uid="{5CEE0482-8AA6-4FF7-99B8-FC3ADEB6B23D}" name="Increase" dataDxfId="149"/>
    <tableColumn id="9" xr3:uid="{EDA54F3A-33F2-4A8D-808A-D49BD121A931}" name="Expenses" dataDxfId="148"/>
    <tableColumn id="10" xr3:uid="{0DD18713-D098-41D7-8576-3F3237DE4210}" name="Total Cost" dataDxfId="147">
      <calculatedColumnFormula>IF(SUMIF(G847:I847,"&lt;&gt;")=0,"",SUM(G847:I847))</calculatedColumnFormula>
    </tableColumn>
    <tableColumn id="11" xr3:uid="{91C6841F-6C16-4628-A751-B5739B459C1B}" name="Net Price Credit" dataDxfId="146">
      <calculatedColumnFormula>IF(ISNUMBER(L847), CEILING(ROUND(L847*0.95,2),5), "")</calculatedColumnFormula>
    </tableColumn>
    <tableColumn id="12" xr3:uid="{6C5B1C36-317B-4F48-9DD8-7ED7E0312E97}" name="Wsp" dataDxfId="145">
      <calculatedColumnFormula>IF(AND(ISNUMBER(J847),ISNUMBER(G847)), CEILING(ROUND(J847*1.25,2),5), "")</calculatedColumnFormula>
    </tableColumn>
    <tableColumn id="13" xr3:uid="{95382EE5-9ED0-4B6B-88AF-3FE495E6178F}" name="Mrp" dataDxfId="144">
      <calculatedColumnFormula>IF(AND(ISNUMBER(J847),ISNUMBER(G847)),
   CEILING(
      ROUND((J847*1.5) * 1.05, 2),
      IF(ROUND((J847*1.5) * 1.05, 2) &lt; 2500, 25, 50)
   ),
"")</calculatedColumnFormula>
    </tableColumn>
    <tableColumn id="14" xr3:uid="{70993B0D-28F3-4F09-A8EB-76F904BE8D45}" name="Net Cash" dataDxfId="143">
      <calculatedColumnFormula>IF(ISNUMBER(G847), CEILING(ROUND(L847*0.92,2),5), "")</calculatedColumnFormula>
    </tableColumn>
    <tableColumn id="15" xr3:uid="{6452B07A-8000-417D-9A5F-AD17D0A8520B}" name="South" dataDxfId="142">
      <calculatedColumnFormula>IF(ISNUMBER(L847), CEILING(ROUND(L847*1.07,2),5), "")</calculatedColumnFormula>
    </tableColumn>
    <tableColumn id="16" xr3:uid="{09D29DD8-AF32-4240-BF85-65F23476F541}" name="Amazon" dataDxfId="141">
      <calculatedColumnFormula>IF(((SuitNonBranded[[#This Row],[Cost]]*1.5+50)/0.835)&lt;2500,
    MROUND(((SuitNonBranded[[#This Row],[Cost]]*1.5+50)/0.835*1.05)*2,10),
    MROUND(((SuitNonBranded[[#This Row],[Cost]]*1.5+50)/0.835*1.18)*2,10))</calculatedColumnFormula>
    </tableColumn>
    <tableColumn id="17" xr3:uid="{4CB00BDC-13E4-4FD4-850F-35DA7B011125}" name="With Box" dataDxfId="140">
      <calculatedColumnFormula>IF($S$3="","",
MROUND(
  IF($S$3="m",
     IF($T$3=1, SuitNonBranded[[#This Row],[Mrp]]+$W$4, SuitNonBranded[[#This Row],[Mrp]]+$X$4),
  IF($S$3="nc",
     IF($T$3=1, SuitNonBranded[[#This Row],[Net Cash]]+$W$5, SuitNonBranded[[#This Row],[Net Cash]]+$X$5),
  IF($S$3="npc",
     IF($T$3=1, SuitNonBranded[[#This Row],[Net Price Credit]]+$W$6, SuitNonBranded[[#This Row],[Net Price Credit]]+$X$6),
  IF($S$3="w",
     IF($T$3=1, SuitNonBranded[[#This Row],[Wsp]]+$W$6, SuitNonBranded[[#This Row],[Wsp]]+$X$6),
  "")))),
10))</calculatedColumnFormula>
    </tableColumn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E93D1E21-915C-4367-87E2-34D260EC029A}" name="Full_Price_List" displayName="Full_Price_List" ref="A1:P852" tableType="queryTable" totalsRowShown="0">
  <autoFilter ref="A1:P852" xr:uid="{E93D1E21-915C-4367-87E2-34D260EC029A}"/>
  <sortState xmlns:xlrd2="http://schemas.microsoft.com/office/spreadsheetml/2017/richdata2" ref="A2:P852">
    <sortCondition ref="C1:C852"/>
  </sortState>
  <tableColumns count="16">
    <tableColumn id="17" xr3:uid="{6C8513B0-0835-466D-9FD1-5224CD8962F3}" uniqueName="17" name="Yom" queryTableFieldId="1"/>
    <tableColumn id="2" xr3:uid="{E1FD38CD-9909-4AC8-B1F5-DE65246CE914}" uniqueName="2" name="Art no." queryTableFieldId="2"/>
    <tableColumn id="3" xr3:uid="{CD2C1D5E-B97F-4C05-AD6B-57B62C548CA5}" uniqueName="3" name="Item" queryTableFieldId="3" dataDxfId="139"/>
    <tableColumn id="4" xr3:uid="{6768B70D-CEF7-4944-A1EA-0DD94F948ECC}" uniqueName="4" name="Quality" queryTableFieldId="4" dataDxfId="138"/>
    <tableColumn id="5" xr3:uid="{5C64F850-AF38-4209-ADA4-AB89F0D2E17A}" uniqueName="5" name="Supplier" queryTableFieldId="5"/>
    <tableColumn id="6" xr3:uid="{FDA06721-8069-4B56-95D0-EA55792ADC30}" uniqueName="6" name="Description" queryTableFieldId="6"/>
    <tableColumn id="7" xr3:uid="{980037C2-58B3-44B3-9DDC-77E96EF7F31D}" uniqueName="7" name="Cost" queryTableFieldId="7"/>
    <tableColumn id="8" xr3:uid="{ACDBBA23-2EDE-496A-8E7F-B24DA44CEEBD}" uniqueName="8" name="Increase" queryTableFieldId="8"/>
    <tableColumn id="9" xr3:uid="{E082B7A1-4EAD-4066-AB69-C5C421396EBD}" uniqueName="9" name="Expenses" queryTableFieldId="9"/>
    <tableColumn id="10" xr3:uid="{81871A4D-293C-416B-9405-5A568BF471E9}" uniqueName="10" name="Total Cost" queryTableFieldId="10"/>
    <tableColumn id="11" xr3:uid="{E0DB1A78-2F96-45A6-84FB-DD2F842299D9}" uniqueName="11" name="Net Price Credit" queryTableFieldId="11"/>
    <tableColumn id="12" xr3:uid="{FC1473F2-E8ED-4D84-A607-80E1D2B95119}" uniqueName="12" name="Wsp" queryTableFieldId="12"/>
    <tableColumn id="13" xr3:uid="{BD125401-3332-463A-B42A-EA81A5832AF6}" uniqueName="13" name="Mrp" queryTableFieldId="13"/>
    <tableColumn id="14" xr3:uid="{21BA8498-B23E-4651-9590-B10D02EFE42F}" uniqueName="14" name="Net Cash" queryTableFieldId="14"/>
    <tableColumn id="15" xr3:uid="{D0E825CF-DF55-44B9-B846-50810A7430E5}" uniqueName="15" name="South" queryTableFieldId="15"/>
    <tableColumn id="16" xr3:uid="{D43A2206-09C4-4DC7-AB32-345E1482AB25}" uniqueName="16" name="Amazon" queryTableFieldId="1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638678D-C40B-446C-92A1-D4AEF785D154}" name="Table18" displayName="Table18" ref="A1:B61" totalsRowCount="1" headerRowDxfId="137" dataDxfId="136" totalsRowDxfId="135">
  <autoFilter ref="A1:B60" xr:uid="{C638678D-C40B-446C-92A1-D4AEF785D154}"/>
  <tableColumns count="2">
    <tableColumn id="1" xr3:uid="{B9C16062-623C-4C5F-9315-3A8F63D22A00}" name="Item" dataDxfId="134" totalsRowDxfId="133"/>
    <tableColumn id="2" xr3:uid="{197B844F-51D7-4272-92F8-FF1D24AE2C84}" name="Wsp" totalsRowFunction="sum" dataDxfId="132" totalsRowDxfId="131">
      <calculatedColumnFormula>IF(A2&gt;0,VLOOKUP(A2,'Full Price List'!$B$1:$O$1131,11,FALSE),"")</calculatedColumnFormula>
    </tableColumn>
  </tableColumns>
  <tableStyleInfo name="TableStyleMedium1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8888D33-3AB2-4077-920E-9B78030D38B2}" name="Table19" displayName="Table19" ref="E1:F61" totalsRowCount="1" headerRowDxfId="130" dataDxfId="129" totalsRowDxfId="128">
  <autoFilter ref="E1:F60" xr:uid="{E8888D33-3AB2-4077-920E-9B78030D38B2}"/>
  <tableColumns count="2">
    <tableColumn id="1" xr3:uid="{E26F9978-BC50-4876-A340-5E0CCD6DC3DF}" name="Item" dataDxfId="127" totalsRowDxfId="126"/>
    <tableColumn id="2" xr3:uid="{773739E9-85F2-4E99-AB84-E07551B4B41B}" name="Mrp" totalsRowFunction="sum" dataDxfId="125" totalsRowDxfId="124">
      <calculatedColumnFormula>IF(E2&gt;0,VLOOKUP(E2,'Full Price List'!$B$1:$O$1131,12,FALSE),"")</calculatedColumnFormula>
    </tableColumn>
  </tableColumns>
  <tableStyleInfo name="TableStyleMedium1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533E06D-F538-4688-93C9-87A6F0C35507}" name="Table21" displayName="Table21" ref="I1:J61" totalsRowCount="1" headerRowDxfId="123" dataDxfId="122" totalsRowDxfId="121">
  <autoFilter ref="I1:J60" xr:uid="{0533E06D-F538-4688-93C9-87A6F0C35507}"/>
  <tableColumns count="2">
    <tableColumn id="1" xr3:uid="{71297B06-99EA-4EF2-B31F-BE8A22ED9783}" name="Item" dataDxfId="120" totalsRowDxfId="119"/>
    <tableColumn id="2" xr3:uid="{D848BBBC-8703-4A05-96E1-E28411C64BFD}" name="Net Price Credit" totalsRowFunction="sum" dataDxfId="118" totalsRowDxfId="117">
      <calculatedColumnFormula>IF(I2&gt;0,VLOOKUP(I2,'Full Price List'!$B$1:$O$1131,10,FALSE),"")</calculatedColumnFormula>
    </tableColumn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4AE0367-BF9E-44B6-884C-AB94537BEB4A}" name="Table8" displayName="Table8" ref="M1:N61" totalsRowCount="1" headerRowDxfId="116" dataDxfId="115" totalsRowDxfId="114">
  <autoFilter ref="M1:N60" xr:uid="{A4AE0367-BF9E-44B6-884C-AB94537BEB4A}"/>
  <tableColumns count="2">
    <tableColumn id="1" xr3:uid="{7B990416-F48A-491D-A3C8-6B5F834930CA}" name="Item" dataDxfId="113" totalsRowDxfId="112"/>
    <tableColumn id="2" xr3:uid="{962DB8F3-C409-4F5F-AEEE-8759F3ACA2D8}" name="Net Price Cash" totalsRowFunction="sum" dataDxfId="111" totalsRowDxfId="110">
      <calculatedColumnFormula>IF(M2&gt;0,VLOOKUP(M2,'Full Price List'!$B$1:$O$1131,13,FALSE),"")</calculatedColumnFormula>
    </tableColumn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9AD27C6-2284-4C30-9925-3F7DCAB0414F}" name="Table10" displayName="Table10" ref="Q1:R61" totalsRowCount="1" headerRowDxfId="109" dataDxfId="108" totalsRowDxfId="107">
  <autoFilter ref="Q1:R60" xr:uid="{A9AD27C6-2284-4C30-9925-3F7DCAB0414F}"/>
  <tableColumns count="2">
    <tableColumn id="1" xr3:uid="{858C1F2D-98F5-4F0F-93BF-F774B78AECBE}" name="Item" dataDxfId="106" totalsRowDxfId="105"/>
    <tableColumn id="2" xr3:uid="{E6BA71D2-FA01-452D-916A-DF8B8A67C009}" name="South" totalsRowFunction="sum" dataDxfId="104" totalsRowDxfId="103">
      <calculatedColumnFormula>IF(Q2&gt;0,VLOOKUP(Q2,'Full Price List'!$B$1:$O$1131,14,FALSE),"")</calculatedColumnFormula>
    </tableColumn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68546F7-C75C-47E8-BE0D-CBFB56F050A2}" name="Table9" displayName="Table9" ref="T1:U61" totalsRowCount="1" headerRowDxfId="102" dataDxfId="101" totalsRowDxfId="100">
  <autoFilter ref="T1:U60" xr:uid="{868546F7-C75C-47E8-BE0D-CBFB56F050A2}"/>
  <tableColumns count="2">
    <tableColumn id="1" xr3:uid="{6851680E-817A-41A3-B2CC-530B4B55428E}" name="Item" totalsRowLabel="Total" dataDxfId="99" totalsRowDxfId="98"/>
    <tableColumn id="2" xr3:uid="{C61A42EB-CBEC-4C73-A5AE-9C90E9ECDE96}" name="Amazon" totalsRowFunction="sum" dataDxfId="97" totalsRowDxfId="96" dataCellStyle="Currency">
      <calculatedColumnFormula>IF(T2&gt;0,VLOOKUP(T2,'Full Price List'!$B$1:$P$1131,15,FALSE),"")</calculatedColumnFormula>
    </tableColumn>
  </tableColumns>
  <tableStyleInfo name="TableStyleMedium1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FACC8EE4-68CC-4261-AC03-D3C7EFBC282D}" name="Table423" displayName="Table423" ref="A2:F31" headerRowCount="0" totalsRowCount="1">
  <tableColumns count="6">
    <tableColumn id="1" xr3:uid="{38E21A22-4911-4E91-B0C3-D7090B82AAAD}" name="Art No." totalsRowLabel="Total" headerRowDxfId="95" dataDxfId="94" totalsRowDxfId="93"/>
    <tableColumn id="3" xr3:uid="{84879368-6620-45D4-9455-553BED290406}" name="Quantity" totalsRowFunction="custom" headerRowDxfId="92" dataDxfId="91" totalsRowDxfId="90">
      <totalsRowFormula>IF(SUBTOTAL(109,Table423[Quantity])=0,"",SUBTOTAL(109,Table423[Quantity]))</totalsRowFormula>
    </tableColumn>
    <tableColumn id="2" xr3:uid="{5B9BE672-D076-49ED-9014-AA38B08B9652}" name="Item" dataDxfId="89">
      <calculatedColumnFormula>IFERROR(PROPER(VLOOKUP(A2,#REF!,2,FALSE)),"")</calculatedColumnFormula>
    </tableColumn>
    <tableColumn id="6" xr3:uid="{6CE06267-03DA-4908-AA32-C75947538641}" name="Price" headerRowDxfId="88" dataDxfId="87" totalsRowDxfId="86">
      <calculatedColumnFormula>IF(A2&lt;&gt;"",VLOOKUP(A2,'Full Price List'!$B$2:$O$2076,12,FALSE),"")</calculatedColumnFormula>
    </tableColumn>
    <tableColumn id="4" xr3:uid="{F33A0251-B5AF-486D-8B4B-C8ED078B0BD8}" name="Net Price" headerRowDxfId="85" dataDxfId="84" totalsRowDxfId="83">
      <calculatedColumnFormula>IF(AND($J$1&lt;&gt;"",A2&lt;&gt;""),
   CEILING(
      VLOOKUP(A2,#REF!,12,FALSE) * (1 - $J$1/IF($J$1&gt;=1,100,1)),
      5
   ),
   ""
)</calculatedColumnFormula>
    </tableColumn>
    <tableColumn id="5" xr3:uid="{3EF2EF8C-0B61-4C4D-ACEF-B10011112CEF}" name="Total" totalsRowFunction="custom" headerRowDxfId="82" dataDxfId="81" totalsRowDxfId="80">
      <calculatedColumnFormula>IF(A2&lt;&gt;"",
   IF(E2&lt;&gt;"",
      B2*E2,
      IF(D2&lt;&gt;"",B2*D2,"")
   ),
   ""
)</calculatedColumnFormula>
      <totalsRowFormula>IF(SUBTOTAL(109,Table423[Total])=0,"",SUBTOTAL(109,Table423[Total]))</totalsRowFormula>
    </tableColumn>
  </tableColumns>
  <tableStyleInfo name="TableStyleLight1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4BC17CA3-555A-4069-A25E-BE2E5F5165C7}" name="Table42325" displayName="Table42325" ref="A2:F31" headerRowCount="0" totalsRowCount="1">
  <tableColumns count="6">
    <tableColumn id="1" xr3:uid="{05988193-0E3D-4D66-8E08-691271948CDF}" name="Art No." totalsRowLabel="Total" headerRowDxfId="79" dataDxfId="78" totalsRowDxfId="77"/>
    <tableColumn id="3" xr3:uid="{E01D1F41-C06B-4913-9C10-342E33664511}" name="Quantity" totalsRowFunction="custom" headerRowDxfId="76" dataDxfId="75" totalsRowDxfId="74">
      <totalsRowFormula>IF(SUBTOTAL(109,Table42325[Quantity])=0,"",SUBTOTAL(109,Table42325[Quantity]))</totalsRowFormula>
    </tableColumn>
    <tableColumn id="2" xr3:uid="{0B5B7FEB-77E0-4F56-84E0-16D263725240}" name="Item" dataDxfId="73">
      <calculatedColumnFormula>IFERROR(PROPER(VLOOKUP(A2,#REF!,2,FALSE)),"")</calculatedColumnFormula>
    </tableColumn>
    <tableColumn id="6" xr3:uid="{7F8ED747-A078-4887-98BF-EDB7DE5F42E9}" name="Price" headerRowDxfId="72" dataDxfId="71" totalsRowDxfId="70">
      <calculatedColumnFormula>IF(A2&lt;&gt;"",VLOOKUP(A2,'Full Price List'!$B$2:$O$2076,11,FALSE),"")</calculatedColumnFormula>
    </tableColumn>
    <tableColumn id="4" xr3:uid="{4A9A3A56-4726-41A9-859A-8F8B843BB9AE}" name="Net Price" headerRowDxfId="69" dataDxfId="68" totalsRowDxfId="67">
      <calculatedColumnFormula>IF(AND($J$1&lt;&gt;"",A2&lt;&gt;""),
   CEILING(
      VLOOKUP(A2,#REF!,11,FALSE) * (1 - $J$1/IF($J$1&gt;=1,100,1)),
      5
   ),
   ""
)</calculatedColumnFormula>
    </tableColumn>
    <tableColumn id="5" xr3:uid="{65D3228E-3502-4CCB-BDA9-A25CCEB7CE97}" name="Total" totalsRowFunction="custom" headerRowDxfId="66" dataDxfId="65" totalsRowDxfId="64">
      <calculatedColumnFormula>IF(A2&lt;&gt;"",
   IF(E2&lt;&gt;"",
      B2*E2,
      IF(D2&lt;&gt;"",B2*D2,"")
   ),
   ""
)</calculatedColumnFormula>
      <totalsRowFormula>IF(SUBTOTAL(109,Table42325[Total])=0,"",SUBTOTAL(109,Table42325[Total]))</totalsRowFormula>
    </tableColumn>
  </tableColumns>
  <tableStyleInfo name="TableStyleLight13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8801EC11-926B-4EA9-B208-49CE6D9F328B}" name="Table4232526" displayName="Table4232526" ref="A2:F31" headerRowCount="0" totalsRowCount="1">
  <tableColumns count="6">
    <tableColumn id="1" xr3:uid="{13BEDA5A-B56B-41FA-8C30-C8D78F017F7F}" name="Art No." totalsRowLabel="Total" headerRowDxfId="63" dataDxfId="62" totalsRowDxfId="61"/>
    <tableColumn id="3" xr3:uid="{1CF9FECE-2D79-4921-928A-2AD13E63E649}" name="Quantity" totalsRowFunction="custom" headerRowDxfId="60" dataDxfId="59" totalsRowDxfId="58">
      <totalsRowFormula>IF(SUBTOTAL(109,Table4232526[Quantity])=0,"",SUBTOTAL(109,Table4232526[Quantity]))</totalsRowFormula>
    </tableColumn>
    <tableColumn id="2" xr3:uid="{F45156F9-39E3-49C6-A036-D286C99B1203}" name="Item" dataDxfId="57">
      <calculatedColumnFormula>IFERROR(PROPER(VLOOKUP(A2,#REF!,2,FALSE)),"")</calculatedColumnFormula>
    </tableColumn>
    <tableColumn id="6" xr3:uid="{BC74F601-1F05-426A-BF87-2F77DAC3667D}" name="Price" headerRowDxfId="56" dataDxfId="55" totalsRowDxfId="54">
      <calculatedColumnFormula>IF(A2&lt;&gt;"",VLOOKUP(A2,'Full Price List'!$B$2:$O$2076,13,FALSE),"")</calculatedColumnFormula>
    </tableColumn>
    <tableColumn id="4" xr3:uid="{B09F1F33-6276-462F-ACCA-77C077E51255}" name="Net Price" headerRowDxfId="53" dataDxfId="52" totalsRowDxfId="51">
      <calculatedColumnFormula>IF(AND($J$1&lt;&gt;"",A2&lt;&gt;""),
   CEILING(
      VLOOKUP(A2,#REF!,13,FALSE) * (1 - $J$1/IF($J$1&gt;=1,100,1)),
      5
   ),
   ""
)</calculatedColumnFormula>
    </tableColumn>
    <tableColumn id="5" xr3:uid="{B1E1408F-8457-4E35-A551-B43FF210C485}" name="Total" totalsRowFunction="custom" headerRowDxfId="50" dataDxfId="49" totalsRowDxfId="48">
      <calculatedColumnFormula>IF(A2&lt;&gt;"",
   IF(E2&lt;&gt;"",
      B2*E2,
      IF(D2&lt;&gt;"",B2*D2,"")
   ),
   ""
)</calculatedColumnFormula>
      <totalsRowFormula>IF(SUBTOTAL(109,Table4232526[Total])=0,"",SUBTOTAL(109,Table4232526[Total]))</totalsRowFormula>
    </tableColumn>
  </tableColumns>
  <tableStyleInfo name="Table Style 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8091492-E938-4F40-BD45-EEAD093416E0}" name="Wsp_Shawls" displayName="Wsp_Shawls" ref="A1:D428" tableType="queryTable" totalsRowShown="0" headerRowDxfId="47" dataDxfId="46">
  <autoFilter ref="A1:D428" xr:uid="{28091492-E938-4F40-BD45-EEAD093416E0}"/>
  <tableColumns count="4">
    <tableColumn id="5" xr3:uid="{8176216B-B45C-4998-A613-E0D8FB7A13F0}" uniqueName="5" name="Art no." queryTableFieldId="1" dataDxfId="15"/>
    <tableColumn id="2" xr3:uid="{D8D7EB96-E496-4F13-9366-3451A5ABA89E}" uniqueName="2" name="Item" queryTableFieldId="2" dataDxfId="14"/>
    <tableColumn id="3" xr3:uid="{2450B85B-B562-49AE-A2CD-ABEA45245AEB}" uniqueName="3" name="Quality" queryTableFieldId="3" dataDxfId="13"/>
    <tableColumn id="4" xr3:uid="{2668532B-E977-4F53-9F16-F12A4ACA6E17}" uniqueName="4" name="Wsp" queryTableFieldId="4" dataDxfId="12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31D1BB0-7CC5-4087-B832-51882D50EE1D}" name="Wsp_Stoles" displayName="Wsp_Stoles" ref="A1:F295" tableType="queryTable" totalsRowShown="0" headerRowDxfId="45" dataDxfId="44">
  <autoFilter ref="A1:F295" xr:uid="{A31D1BB0-7CC5-4087-B832-51882D50EE1D}"/>
  <tableColumns count="6">
    <tableColumn id="2" xr3:uid="{B9BF8956-9E64-4ACF-B5FE-625355734A78}" uniqueName="2" name="Art no." queryTableFieldId="2" dataDxfId="11"/>
    <tableColumn id="3" xr3:uid="{B2C7036D-04CC-47B3-BD05-04721C49460A}" uniqueName="3" name="Item" queryTableFieldId="3" dataDxfId="10"/>
    <tableColumn id="4" xr3:uid="{A618C0D3-8EEF-4503-BC25-79F771A59A53}" uniqueName="4" name="Quality" queryTableFieldId="4" dataDxfId="9"/>
    <tableColumn id="12" xr3:uid="{9798CAFE-D2F9-4512-9344-6C20A8B5218F}" uniqueName="12" name="Wsp" queryTableFieldId="12" dataDxfId="8"/>
    <tableColumn id="1" xr3:uid="{2B194CBE-72F5-438B-94BF-402B78023C23}" uniqueName="1" name="Amazon" queryTableFieldId="16"/>
    <tableColumn id="5" xr3:uid="{D6E4E2C9-21F9-4C5A-B672-CA8515B0E1F3}" uniqueName="5" name="With Box" queryTableFieldId="17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39305EE-D737-4809-9E5F-9653CB8011C4}" name="Wsp_Lohi" displayName="Wsp_Lohi" ref="A1:F76" tableType="queryTable" totalsRowShown="0" headerRowDxfId="43" dataDxfId="42">
  <autoFilter ref="A1:F76" xr:uid="{039305EE-D737-4809-9E5F-9653CB8011C4}"/>
  <tableColumns count="6">
    <tableColumn id="5" xr3:uid="{153423E2-FE93-4824-9990-125BB3BC18D5}" uniqueName="5" name="Art no." queryTableFieldId="1" dataDxfId="23"/>
    <tableColumn id="2" xr3:uid="{F14F0184-A0D8-4056-8FB2-9F3008AEA085}" uniqueName="2" name="Item" queryTableFieldId="2" dataDxfId="22"/>
    <tableColumn id="3" xr3:uid="{0F0F410E-3917-45C0-AE79-5EF81FF27A38}" uniqueName="3" name="Quality" queryTableFieldId="3" dataDxfId="21"/>
    <tableColumn id="4" xr3:uid="{046B1B40-3CFF-48E0-AD89-FA2766C2C43C}" uniqueName="4" name="Wsp" queryTableFieldId="4" dataDxfId="20"/>
    <tableColumn id="1" xr3:uid="{5A976158-6F6B-4084-8863-1731FE55D14D}" uniqueName="1" name="Amazon" queryTableFieldId="5"/>
    <tableColumn id="6" xr3:uid="{ADEB3088-3262-40F1-9740-D223023008F5}" uniqueName="6" name="With Box" queryTableFieldId="6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80DC4F7-A49C-496A-8F03-6075AA7E6603}" name="Wsp_Suits" displayName="Wsp_Suits" ref="A1:E48" tableType="queryTable" totalsRowShown="0" headerRowDxfId="41" dataDxfId="40">
  <autoFilter ref="A1:E48" xr:uid="{F80DC4F7-A49C-496A-8F03-6075AA7E6603}"/>
  <tableColumns count="5">
    <tableColumn id="4" xr3:uid="{E4B2FD84-78FB-4277-BBB0-C6F83DB7D92A}" uniqueName="4" name="Art no." queryTableFieldId="1" dataDxfId="30"/>
    <tableColumn id="2" xr3:uid="{FF4EE069-2936-4017-BB09-4866C5D37715}" uniqueName="2" name="Item" queryTableFieldId="2" dataDxfId="29"/>
    <tableColumn id="3" xr3:uid="{AE72DA25-2257-4504-87C2-B0131192EFED}" uniqueName="3" name="Wsp" queryTableFieldId="3" dataDxfId="28"/>
    <tableColumn id="1" xr3:uid="{D3AC6B3A-06C0-4A24-9572-8DB00038D52E}" uniqueName="1" name="Amazon" queryTableFieldId="4"/>
    <tableColumn id="5" xr3:uid="{F2349C0E-DD45-49E5-86CB-3BD22CC7B512}" uniqueName="5" name="With Box" queryTableFieldId="5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3999E87-F2D1-447F-90B5-410CC5DF7E65}" name="Wsp_upto_2500" displayName="Wsp_upto_2500" ref="A1:D739" tableType="queryTable" totalsRowShown="0" headerRowDxfId="39" dataDxfId="38">
  <autoFilter ref="A1:D739" xr:uid="{C3999E87-F2D1-447F-90B5-410CC5DF7E65}"/>
  <sortState xmlns:xlrd2="http://schemas.microsoft.com/office/spreadsheetml/2017/richdata2" ref="A2:D739">
    <sortCondition ref="B1:B739"/>
  </sortState>
  <tableColumns count="4">
    <tableColumn id="5" xr3:uid="{D9F4CE96-24C0-4F18-A91C-7D343B47C994}" uniqueName="5" name="Art no." queryTableFieldId="1" dataDxfId="7"/>
    <tableColumn id="2" xr3:uid="{718F30A0-511F-450B-A206-0DC2AA288177}" uniqueName="2" name="Item" queryTableFieldId="2" dataDxfId="6"/>
    <tableColumn id="3" xr3:uid="{B7D70FD1-5F8E-4692-9BAE-477F972A0BDE}" uniqueName="3" name="Quality" queryTableFieldId="3" dataDxfId="5"/>
    <tableColumn id="4" xr3:uid="{5290695F-BFF3-4807-82B6-D6DCA94C5B02}" uniqueName="4" name="Wsp" queryTableFieldId="4" dataDxfId="4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A4AECA7-C640-41C5-A3E1-FB44E89EB779}" name="Mrp_All_Items" displayName="Mrp_All_Items" ref="A1:D852" tableType="queryTable" totalsRowShown="0" headerRowDxfId="37" dataDxfId="36">
  <autoFilter ref="A1:D852" xr:uid="{4A4AECA7-C640-41C5-A3E1-FB44E89EB779}"/>
  <sortState xmlns:xlrd2="http://schemas.microsoft.com/office/spreadsheetml/2017/richdata2" ref="A2:D852">
    <sortCondition ref="B1:B852"/>
  </sortState>
  <tableColumns count="4">
    <tableColumn id="5" xr3:uid="{128BC455-0A2B-4D8F-8DBC-13EDD6C22ECE}" uniqueName="5" name="Art no." queryTableFieldId="1" dataDxfId="19"/>
    <tableColumn id="2" xr3:uid="{B6BFEFA4-C1DE-49A4-A5BF-F4DB505481A0}" uniqueName="2" name="Item" queryTableFieldId="2" dataDxfId="18"/>
    <tableColumn id="3" xr3:uid="{66643D5B-1635-45F0-A2CE-7B08300B8349}" uniqueName="3" name="Quality" queryTableFieldId="3" dataDxfId="17"/>
    <tableColumn id="4" xr3:uid="{967DB8CC-7B9D-4A2C-B85F-F39C75E9B342}" uniqueName="4" name="Mrp" queryTableFieldId="4" dataDxfId="16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B437BB3-6D08-482A-83AD-9CE3EE73B2F9}" name="Net_Cash_All_items" displayName="Net_Cash_All_items" ref="A1:D852" tableType="queryTable" totalsRowShown="0" headerRowDxfId="35" dataDxfId="34">
  <autoFilter ref="A1:D852" xr:uid="{2B437BB3-6D08-482A-83AD-9CE3EE73B2F9}"/>
  <sortState xmlns:xlrd2="http://schemas.microsoft.com/office/spreadsheetml/2017/richdata2" ref="A2:D852">
    <sortCondition ref="B1:B852"/>
  </sortState>
  <tableColumns count="4">
    <tableColumn id="5" xr3:uid="{D902954A-E291-4ED1-8655-FACE30588ADF}" uniqueName="5" name="Art no." queryTableFieldId="1" dataDxfId="27"/>
    <tableColumn id="2" xr3:uid="{B31E330D-A50E-41BC-B159-43E4489116AE}" uniqueName="2" name="Item" queryTableFieldId="2" dataDxfId="26"/>
    <tableColumn id="3" xr3:uid="{41F1A9CF-526D-42BF-95F0-950236FDCDA9}" uniqueName="3" name="Quality" queryTableFieldId="3" dataDxfId="25"/>
    <tableColumn id="4" xr3:uid="{2ECACE20-0FF5-41AA-9B22-EC6607454346}" uniqueName="4" name="Net Cash" queryTableFieldId="4" dataDxfId="24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A38CA7AD-818B-4981-8120-C5CD59E4FF74}" name="South_Price_List" displayName="South_Price_List" ref="A1:D801" tableType="queryTable" totalsRowShown="0" headerRowDxfId="33" dataDxfId="32">
  <autoFilter ref="A1:D801" xr:uid="{A38CA7AD-818B-4981-8120-C5CD59E4FF74}"/>
  <sortState xmlns:xlrd2="http://schemas.microsoft.com/office/spreadsheetml/2017/richdata2" ref="A2:D801">
    <sortCondition ref="B1:B801"/>
  </sortState>
  <tableColumns count="4">
    <tableColumn id="5" xr3:uid="{79B40629-8192-4479-B6C5-B8EB5DF6D02D}" uniqueName="5" name="Art no." queryTableFieldId="1" dataDxfId="3"/>
    <tableColumn id="2" xr3:uid="{5F683297-F2D9-4E87-8A92-51332156648D}" uniqueName="2" name="Item" queryTableFieldId="2" dataDxfId="2"/>
    <tableColumn id="3" xr3:uid="{D8AB5A45-9B6B-4F6F-9753-E580ABE9082D}" uniqueName="3" name="Quality" queryTableFieldId="3" dataDxfId="1"/>
    <tableColumn id="4" xr3:uid="{71F8C28A-7F49-4A34-A634-A52EC682F984}" uniqueName="4" name="South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43704-6FD2-4E06-841E-BB26DC28FC89}">
  <dimension ref="A2:AH864"/>
  <sheetViews>
    <sheetView tabSelected="1" topLeftCell="A566" zoomScaleNormal="100" workbookViewId="0">
      <selection activeCell="L597" sqref="L597"/>
    </sheetView>
  </sheetViews>
  <sheetFormatPr defaultRowHeight="15" x14ac:dyDescent="0.25"/>
  <cols>
    <col min="1" max="1" width="11.28515625" bestFit="1" customWidth="1"/>
    <col min="2" max="2" width="39.5703125" style="2" bestFit="1" customWidth="1"/>
    <col min="3" max="3" width="9.5703125" style="3" bestFit="1" customWidth="1"/>
    <col min="4" max="4" width="12.5703125" style="3" bestFit="1" customWidth="1"/>
    <col min="5" max="5" width="15.28515625" style="3" bestFit="1" customWidth="1"/>
    <col min="6" max="6" width="63" style="3" bestFit="1" customWidth="1"/>
    <col min="7" max="7" width="9.42578125" style="20" bestFit="1" customWidth="1"/>
    <col min="8" max="8" width="13" style="20" bestFit="1" customWidth="1"/>
    <col min="9" max="9" width="13.85546875" style="20" bestFit="1" customWidth="1"/>
    <col min="10" max="10" width="14.28515625" style="4" bestFit="1" customWidth="1"/>
    <col min="11" max="11" width="19.7109375" style="4" bestFit="1" customWidth="1"/>
    <col min="12" max="12" width="9.5703125" style="4" bestFit="1" customWidth="1"/>
    <col min="13" max="13" width="9.28515625" style="4" bestFit="1" customWidth="1"/>
    <col min="14" max="14" width="13.42578125" style="4" bestFit="1" customWidth="1"/>
    <col min="15" max="15" width="10.7109375" style="4" bestFit="1" customWidth="1"/>
    <col min="17" max="17" width="13.28515625" bestFit="1" customWidth="1"/>
  </cols>
  <sheetData>
    <row r="2" spans="1:34" x14ac:dyDescent="0.25">
      <c r="A2" s="68" t="s">
        <v>697</v>
      </c>
      <c r="B2" s="69" t="s">
        <v>696</v>
      </c>
      <c r="C2" s="70" t="s">
        <v>427</v>
      </c>
      <c r="D2" s="70" t="s">
        <v>503</v>
      </c>
      <c r="E2" s="70" t="s">
        <v>123</v>
      </c>
      <c r="F2" s="70" t="s">
        <v>747</v>
      </c>
      <c r="G2" s="71" t="s">
        <v>748</v>
      </c>
      <c r="H2" s="71" t="s">
        <v>749</v>
      </c>
      <c r="I2" s="71" t="s">
        <v>750</v>
      </c>
      <c r="J2" s="72" t="s">
        <v>703</v>
      </c>
      <c r="K2" s="72" t="s">
        <v>751</v>
      </c>
      <c r="L2" s="72" t="s">
        <v>752</v>
      </c>
      <c r="M2" s="72" t="s">
        <v>432</v>
      </c>
      <c r="N2" s="72" t="s">
        <v>753</v>
      </c>
      <c r="O2" s="72" t="s">
        <v>754</v>
      </c>
      <c r="P2" s="72" t="s">
        <v>918</v>
      </c>
      <c r="Q2" s="72" t="s">
        <v>951</v>
      </c>
      <c r="S2" t="s">
        <v>950</v>
      </c>
      <c r="T2" t="s">
        <v>953</v>
      </c>
      <c r="W2" t="s">
        <v>952</v>
      </c>
      <c r="X2" t="s">
        <v>952</v>
      </c>
      <c r="Z2" s="1"/>
      <c r="AD2" s="1" t="s">
        <v>427</v>
      </c>
      <c r="AE2" s="1"/>
      <c r="AF2" s="1"/>
      <c r="AG2" s="1"/>
      <c r="AH2" s="1" t="s">
        <v>803</v>
      </c>
    </row>
    <row r="3" spans="1:34" x14ac:dyDescent="0.25">
      <c r="A3" s="68">
        <v>2026</v>
      </c>
      <c r="B3" s="69">
        <v>203</v>
      </c>
      <c r="C3" s="70" t="s">
        <v>284</v>
      </c>
      <c r="D3" s="70" t="s">
        <v>493</v>
      </c>
      <c r="E3" s="70"/>
      <c r="F3" s="70" t="s">
        <v>3</v>
      </c>
      <c r="G3" s="71">
        <v>205</v>
      </c>
      <c r="H3" s="71"/>
      <c r="I3" s="71">
        <v>85</v>
      </c>
      <c r="J3" s="72">
        <f t="shared" ref="J3:J51" si="0">IF(SUMIF(G3:I3,"&lt;&gt;")=0,"",SUM(G3:I3))</f>
        <v>290</v>
      </c>
      <c r="K3" s="72">
        <f t="shared" ref="K3:K51" si="1">IF(ISNUMBER(L3),
   IF(CEILING(ROUND(L3*0.95,2),5)=420,
      425,
      CEILING(ROUND(L3*0.95,2),5)
   ),
   ""
)</f>
        <v>380</v>
      </c>
      <c r="L3" s="72">
        <f t="shared" ref="L3:L51" si="2">IF(ISNUMBER(J3),
   IF(CEILING(ROUND(J3*1.35,2),5)=420,
      425,
      CEILING(ROUND(J3*1.35,2),5)
   ),
   ""
)</f>
        <v>395</v>
      </c>
      <c r="M3" s="72">
        <f t="shared" ref="M3:M51" si="3">IF(AND(ISNUMBER(J3),ISNUMBER(G3)),
   IF(
      CEILING(
         ROUND((J3*1.5) * IF(J3*1.5 &lt;= 2500, 1.05, 1.18), 2),
         IF(ROUND((J3*1.5) * IF(J3*1.5 &lt;= 2500, 1.05, 1.18), 2) &lt; 2500, 25, 50)
      )=420,
      425,
      CEILING(
         ROUND((J3*1.5) * IF(J3*1.5 &lt;= 2500, 1.05, 1.18), 2),
         IF(ROUND((J3*1.5) * IF(J3*1.5 &lt;= 2500, 1.05, 1.18), 2) &lt; 2500, 25, 50)
      )
   ),
   ""
)</f>
        <v>475</v>
      </c>
      <c r="N3" s="72">
        <f>IF(ISNUMBER(G3), CEILING(ROUND(L3*0.92,2),5), "")</f>
        <v>365</v>
      </c>
      <c r="O3" s="72">
        <f t="shared" ref="O3:O51" si="4">IF(ISNUMBER(L3),
   IF(CEILING(ROUND(L3*1.07,2),5)=420,
      425,
      CEILING(ROUND(L3*1.07,2),5)
   ),
   ""
)</f>
        <v>425</v>
      </c>
      <c r="P3" s="72">
        <f t="shared" ref="P3:P34" si="5">IF((((G3*1.5)+50)/0.835)&lt;2500,
MROUND(((((G3*1.5)+50)/0.835)*1.05)*2,10),
MROUND(((((G3*1.5)+50)/0.835)*1.18)*2,10))</f>
        <v>900</v>
      </c>
      <c r="Q3" s="72">
        <f>IF($S$3="","",
MROUND(
  IF($S$3="m",
     IF($T$3=1, Price35[[#This Row],[Mrp]]+$W$4, Price35[[#This Row],[Mrp]]+$X$4),
  IF($S$3="nc",
     IF($T$3=1, Price35[[#This Row],[Net Cash]]+$W$5, Price35[[#This Row],[Net Cash]]+$X$5),
  IF($S$3="npc",
     IF($T$3=1, Price35[[#This Row],[Net Price Credit]]+$W$6, Price35[[#This Row],[Net Price Credit]]+$X$6),
  IF($S$3="w",
     IF($T$3=1, Price35[[#This Row],[Wsp]]+$W$6, Price35[[#This Row],[Wsp]]+$X$6),
  "")))),
10))</f>
        <v>550</v>
      </c>
      <c r="S3" s="75" t="s">
        <v>957</v>
      </c>
      <c r="T3" s="75">
        <v>1</v>
      </c>
      <c r="W3">
        <v>1</v>
      </c>
      <c r="X3">
        <v>2</v>
      </c>
      <c r="Z3" s="1"/>
      <c r="AD3" s="1" t="s">
        <v>811</v>
      </c>
      <c r="AE3" s="1"/>
      <c r="AF3" s="1"/>
      <c r="AG3" s="1"/>
      <c r="AH3" s="1" t="s">
        <v>816</v>
      </c>
    </row>
    <row r="4" spans="1:34" x14ac:dyDescent="0.25">
      <c r="A4" s="68">
        <v>2026</v>
      </c>
      <c r="B4" s="69">
        <v>208</v>
      </c>
      <c r="C4" s="70" t="s">
        <v>284</v>
      </c>
      <c r="D4" s="70" t="s">
        <v>493</v>
      </c>
      <c r="E4" s="70"/>
      <c r="F4" s="70" t="s">
        <v>6</v>
      </c>
      <c r="G4" s="71">
        <v>205</v>
      </c>
      <c r="H4" s="71"/>
      <c r="I4" s="71">
        <v>160</v>
      </c>
      <c r="J4" s="72">
        <f t="shared" si="0"/>
        <v>365</v>
      </c>
      <c r="K4" s="72">
        <f t="shared" si="1"/>
        <v>475</v>
      </c>
      <c r="L4" s="72">
        <f t="shared" si="2"/>
        <v>495</v>
      </c>
      <c r="M4" s="72">
        <f t="shared" si="3"/>
        <v>575</v>
      </c>
      <c r="N4" s="72">
        <f t="shared" ref="N4:N51" si="6">IF(ISNUMBER(G4), CEILING(ROUND(L4*0.92,2),5), "")</f>
        <v>460</v>
      </c>
      <c r="O4" s="72">
        <f t="shared" si="4"/>
        <v>530</v>
      </c>
      <c r="P4" s="72">
        <f t="shared" si="5"/>
        <v>900</v>
      </c>
      <c r="Q4" s="72">
        <f>IF($S$3="","",
MROUND(
  IF($S$3="m",
     IF($T$3=1, Price35[[#This Row],[Mrp]]+$W$4, Price35[[#This Row],[Mrp]]+$X$4),
  IF($S$3="nc",
     IF($T$3=1, Price35[[#This Row],[Net Cash]]+$W$5, Price35[[#This Row],[Net Cash]]+$X$5),
  IF($S$3="npc",
     IF($T$3=1, Price35[[#This Row],[Net Price Credit]]+$W$6, Price35[[#This Row],[Net Price Credit]]+$X$6),
  IF($S$3="w",
     IF($T$3=1, Price35[[#This Row],[Wsp]]+$W$6, Price35[[#This Row],[Wsp]]+$X$6),
  "")))),
10))</f>
        <v>650</v>
      </c>
      <c r="W4">
        <v>70</v>
      </c>
      <c r="X4">
        <v>35</v>
      </c>
      <c r="Y4" s="73" t="s">
        <v>946</v>
      </c>
      <c r="Z4" s="1"/>
      <c r="AD4" s="1" t="s">
        <v>817</v>
      </c>
      <c r="AE4" s="1"/>
      <c r="AF4" s="1"/>
      <c r="AG4" s="1"/>
      <c r="AH4" s="1" t="s">
        <v>818</v>
      </c>
    </row>
    <row r="5" spans="1:34" x14ac:dyDescent="0.25">
      <c r="A5" s="68">
        <v>2026</v>
      </c>
      <c r="B5" s="69">
        <v>215</v>
      </c>
      <c r="C5" s="70" t="s">
        <v>284</v>
      </c>
      <c r="D5" s="70" t="s">
        <v>493</v>
      </c>
      <c r="E5" s="70"/>
      <c r="F5" s="70" t="s">
        <v>32</v>
      </c>
      <c r="G5" s="71">
        <v>205</v>
      </c>
      <c r="H5" s="71"/>
      <c r="I5" s="71">
        <v>265</v>
      </c>
      <c r="J5" s="72">
        <f t="shared" si="0"/>
        <v>470</v>
      </c>
      <c r="K5" s="72">
        <f t="shared" si="1"/>
        <v>605</v>
      </c>
      <c r="L5" s="72">
        <f t="shared" si="2"/>
        <v>635</v>
      </c>
      <c r="M5" s="72">
        <f t="shared" si="3"/>
        <v>750</v>
      </c>
      <c r="N5" s="72">
        <f t="shared" si="6"/>
        <v>585</v>
      </c>
      <c r="O5" s="72">
        <f t="shared" si="4"/>
        <v>680</v>
      </c>
      <c r="P5" s="72">
        <f t="shared" si="5"/>
        <v>900</v>
      </c>
      <c r="Q5" s="72">
        <f>IF($S$3="","",
MROUND(
  IF($S$3="m",
     IF($T$3=1, Price35[[#This Row],[Mrp]]+$W$4, Price35[[#This Row],[Mrp]]+$X$4),
  IF($S$3="nc",
     IF($T$3=1, Price35[[#This Row],[Net Cash]]+$W$5, Price35[[#This Row],[Net Cash]]+$X$5),
  IF($S$3="npc",
     IF($T$3=1, Price35[[#This Row],[Net Price Credit]]+$W$6, Price35[[#This Row],[Net Price Credit]]+$X$6),
  IF($S$3="w",
     IF($T$3=1, Price35[[#This Row],[Wsp]]+$W$6, Price35[[#This Row],[Wsp]]+$X$6),
  "")))),
10))</f>
        <v>820</v>
      </c>
      <c r="W5">
        <v>56</v>
      </c>
      <c r="X5">
        <v>28</v>
      </c>
      <c r="Y5" s="73" t="s">
        <v>947</v>
      </c>
      <c r="Z5" s="1"/>
      <c r="AD5" s="1" t="s">
        <v>819</v>
      </c>
      <c r="AE5" s="1"/>
      <c r="AF5" s="1"/>
      <c r="AG5" s="1"/>
      <c r="AH5" s="1" t="s">
        <v>820</v>
      </c>
    </row>
    <row r="6" spans="1:34" x14ac:dyDescent="0.25">
      <c r="A6" s="68">
        <v>2026</v>
      </c>
      <c r="B6" s="69">
        <v>216</v>
      </c>
      <c r="C6" s="70" t="s">
        <v>284</v>
      </c>
      <c r="D6" s="70" t="s">
        <v>493</v>
      </c>
      <c r="E6" s="70"/>
      <c r="F6" s="70" t="s">
        <v>56</v>
      </c>
      <c r="G6" s="71">
        <v>205</v>
      </c>
      <c r="H6" s="71"/>
      <c r="I6" s="71">
        <v>223</v>
      </c>
      <c r="J6" s="72">
        <f t="shared" si="0"/>
        <v>428</v>
      </c>
      <c r="K6" s="72">
        <f t="shared" si="1"/>
        <v>555</v>
      </c>
      <c r="L6" s="72">
        <f t="shared" si="2"/>
        <v>580</v>
      </c>
      <c r="M6" s="72">
        <f t="shared" si="3"/>
        <v>675</v>
      </c>
      <c r="N6" s="72">
        <f t="shared" si="6"/>
        <v>535</v>
      </c>
      <c r="O6" s="72">
        <f t="shared" si="4"/>
        <v>625</v>
      </c>
      <c r="P6" s="72">
        <f t="shared" si="5"/>
        <v>900</v>
      </c>
      <c r="Q6" s="72">
        <f>IF($S$3="","",
MROUND(
  IF($S$3="m",
     IF($T$3=1, Price35[[#This Row],[Mrp]]+$W$4, Price35[[#This Row],[Mrp]]+$X$4),
  IF($S$3="nc",
     IF($T$3=1, Price35[[#This Row],[Net Cash]]+$W$5, Price35[[#This Row],[Net Cash]]+$X$5),
  IF($S$3="npc",
     IF($T$3=1, Price35[[#This Row],[Net Price Credit]]+$W$6, Price35[[#This Row],[Net Price Credit]]+$X$6),
  IF($S$3="w",
     IF($T$3=1, Price35[[#This Row],[Wsp]]+$W$6, Price35[[#This Row],[Wsp]]+$X$6),
  "")))),
10))</f>
        <v>750</v>
      </c>
      <c r="W6">
        <v>58</v>
      </c>
      <c r="X6">
        <v>29</v>
      </c>
      <c r="Y6" s="74" t="s">
        <v>948</v>
      </c>
      <c r="Z6" s="1"/>
      <c r="AD6" s="1" t="s">
        <v>821</v>
      </c>
      <c r="AE6" s="1"/>
      <c r="AF6" s="1"/>
      <c r="AG6" s="1"/>
      <c r="AH6" s="1" t="s">
        <v>822</v>
      </c>
    </row>
    <row r="7" spans="1:34" x14ac:dyDescent="0.25">
      <c r="A7" s="68">
        <v>2026</v>
      </c>
      <c r="B7" s="69">
        <v>291</v>
      </c>
      <c r="C7" s="70" t="s">
        <v>284</v>
      </c>
      <c r="D7" s="70" t="s">
        <v>493</v>
      </c>
      <c r="E7" s="70"/>
      <c r="F7" s="70" t="s">
        <v>24</v>
      </c>
      <c r="G7" s="71">
        <v>285</v>
      </c>
      <c r="H7" s="71"/>
      <c r="I7" s="71">
        <v>375</v>
      </c>
      <c r="J7" s="72">
        <f t="shared" si="0"/>
        <v>660</v>
      </c>
      <c r="K7" s="72">
        <f t="shared" si="1"/>
        <v>855</v>
      </c>
      <c r="L7" s="72">
        <f t="shared" si="2"/>
        <v>895</v>
      </c>
      <c r="M7" s="72">
        <f t="shared" si="3"/>
        <v>1050</v>
      </c>
      <c r="N7" s="72">
        <f t="shared" si="6"/>
        <v>825</v>
      </c>
      <c r="O7" s="72">
        <f t="shared" si="4"/>
        <v>960</v>
      </c>
      <c r="P7" s="72">
        <f t="shared" si="5"/>
        <v>1200</v>
      </c>
      <c r="Q7" s="72">
        <f>IF($S$3="","",
MROUND(
  IF($S$3="m",
     IF($T$3=1, Price35[[#This Row],[Mrp]]+$W$4, Price35[[#This Row],[Mrp]]+$X$4),
  IF($S$3="nc",
     IF($T$3=1, Price35[[#This Row],[Net Cash]]+$W$5, Price35[[#This Row],[Net Cash]]+$X$5),
  IF($S$3="npc",
     IF($T$3=1, Price35[[#This Row],[Net Price Credit]]+$W$6, Price35[[#This Row],[Net Price Credit]]+$X$6),
  IF($S$3="w",
     IF($T$3=1, Price35[[#This Row],[Wsp]]+$W$6, Price35[[#This Row],[Wsp]]+$X$6),
  "")))),
10))</f>
        <v>1120</v>
      </c>
      <c r="W7">
        <v>60</v>
      </c>
      <c r="X7">
        <v>30</v>
      </c>
      <c r="Y7" s="74" t="s">
        <v>949</v>
      </c>
      <c r="Z7" s="1"/>
      <c r="AD7" s="1" t="s">
        <v>823</v>
      </c>
      <c r="AE7" s="1"/>
      <c r="AF7" s="1"/>
      <c r="AG7" s="1"/>
      <c r="AH7" s="1" t="s">
        <v>824</v>
      </c>
    </row>
    <row r="8" spans="1:34" x14ac:dyDescent="0.25">
      <c r="A8" s="68">
        <v>2026</v>
      </c>
      <c r="B8" s="69">
        <v>292</v>
      </c>
      <c r="C8" s="70" t="s">
        <v>284</v>
      </c>
      <c r="D8" s="70" t="s">
        <v>493</v>
      </c>
      <c r="E8" s="70"/>
      <c r="F8" s="70" t="s">
        <v>25</v>
      </c>
      <c r="G8" s="71">
        <v>285</v>
      </c>
      <c r="H8" s="71"/>
      <c r="I8" s="71">
        <v>375</v>
      </c>
      <c r="J8" s="72">
        <f t="shared" si="0"/>
        <v>660</v>
      </c>
      <c r="K8" s="72">
        <f t="shared" si="1"/>
        <v>855</v>
      </c>
      <c r="L8" s="72">
        <f t="shared" si="2"/>
        <v>895</v>
      </c>
      <c r="M8" s="72">
        <f t="shared" si="3"/>
        <v>1050</v>
      </c>
      <c r="N8" s="72">
        <f t="shared" si="6"/>
        <v>825</v>
      </c>
      <c r="O8" s="72">
        <f t="shared" si="4"/>
        <v>960</v>
      </c>
      <c r="P8" s="72">
        <f t="shared" si="5"/>
        <v>1200</v>
      </c>
      <c r="Q8" s="72">
        <f>IF($S$3="","",
MROUND(
  IF($S$3="m",
     IF($T$3=1, Price35[[#This Row],[Mrp]]+$W$4, Price35[[#This Row],[Mrp]]+$X$4),
  IF($S$3="nc",
     IF($T$3=1, Price35[[#This Row],[Net Cash]]+$W$5, Price35[[#This Row],[Net Cash]]+$X$5),
  IF($S$3="npc",
     IF($T$3=1, Price35[[#This Row],[Net Price Credit]]+$W$6, Price35[[#This Row],[Net Price Credit]]+$X$6),
  IF($S$3="w",
     IF($T$3=1, Price35[[#This Row],[Wsp]]+$W$6, Price35[[#This Row],[Wsp]]+$X$6),
  "")))),
10))</f>
        <v>1120</v>
      </c>
      <c r="Z8" s="1"/>
      <c r="AD8" s="1" t="s">
        <v>825</v>
      </c>
      <c r="AE8" s="1"/>
      <c r="AF8" s="1"/>
      <c r="AG8" s="1"/>
      <c r="AH8" s="1" t="s">
        <v>826</v>
      </c>
    </row>
    <row r="9" spans="1:34" x14ac:dyDescent="0.25">
      <c r="A9" s="68"/>
      <c r="B9" s="69">
        <v>101</v>
      </c>
      <c r="C9" s="70" t="s">
        <v>284</v>
      </c>
      <c r="D9" s="70" t="s">
        <v>698</v>
      </c>
      <c r="E9" s="70"/>
      <c r="F9" s="70" t="s">
        <v>21</v>
      </c>
      <c r="G9" s="71">
        <v>380</v>
      </c>
      <c r="H9" s="71"/>
      <c r="I9" s="71">
        <v>20</v>
      </c>
      <c r="J9" s="72">
        <f t="shared" si="0"/>
        <v>400</v>
      </c>
      <c r="K9" s="72">
        <f t="shared" si="1"/>
        <v>515</v>
      </c>
      <c r="L9" s="72">
        <f t="shared" si="2"/>
        <v>540</v>
      </c>
      <c r="M9" s="72">
        <f t="shared" si="3"/>
        <v>650</v>
      </c>
      <c r="N9" s="72">
        <f t="shared" si="6"/>
        <v>500</v>
      </c>
      <c r="O9" s="72">
        <f t="shared" si="4"/>
        <v>580</v>
      </c>
      <c r="P9" s="72">
        <f t="shared" si="5"/>
        <v>1560</v>
      </c>
      <c r="Q9" s="72">
        <f>IF($S$3="","",
MROUND(
  IF($S$3="m",
     IF($T$3=1, Price35[[#This Row],[Mrp]]+$W$4, Price35[[#This Row],[Mrp]]+$X$4),
  IF($S$3="nc",
     IF($T$3=1, Price35[[#This Row],[Net Cash]]+$W$5, Price35[[#This Row],[Net Cash]]+$X$5),
  IF($S$3="npc",
     IF($T$3=1, Price35[[#This Row],[Net Price Credit]]+$W$6, Price35[[#This Row],[Net Price Credit]]+$X$6),
  IF($S$3="w",
     IF($T$3=1, Price35[[#This Row],[Wsp]]+$W$6, Price35[[#This Row],[Wsp]]+$X$6),
  "")))),
10))</f>
        <v>720</v>
      </c>
      <c r="Z9" s="1"/>
      <c r="AD9" s="1" t="s">
        <v>827</v>
      </c>
      <c r="AE9" s="1"/>
      <c r="AF9" s="1"/>
      <c r="AG9" s="1"/>
      <c r="AH9" s="1" t="s">
        <v>828</v>
      </c>
    </row>
    <row r="10" spans="1:34" x14ac:dyDescent="0.25">
      <c r="A10" s="68"/>
      <c r="B10" s="69">
        <v>102</v>
      </c>
      <c r="C10" s="70" t="s">
        <v>284</v>
      </c>
      <c r="D10" s="70" t="s">
        <v>699</v>
      </c>
      <c r="E10" s="70" t="s">
        <v>124</v>
      </c>
      <c r="F10" s="70" t="s">
        <v>7</v>
      </c>
      <c r="G10" s="71">
        <v>380</v>
      </c>
      <c r="H10" s="71"/>
      <c r="I10" s="71">
        <v>15</v>
      </c>
      <c r="J10" s="72">
        <f t="shared" si="0"/>
        <v>395</v>
      </c>
      <c r="K10" s="72">
        <f t="shared" si="1"/>
        <v>510</v>
      </c>
      <c r="L10" s="72">
        <f t="shared" si="2"/>
        <v>535</v>
      </c>
      <c r="M10" s="72">
        <f t="shared" si="3"/>
        <v>625</v>
      </c>
      <c r="N10" s="72">
        <f t="shared" si="6"/>
        <v>495</v>
      </c>
      <c r="O10" s="72">
        <f t="shared" si="4"/>
        <v>575</v>
      </c>
      <c r="P10" s="72">
        <f t="shared" si="5"/>
        <v>1560</v>
      </c>
      <c r="Q10" s="72">
        <f>IF($S$3="","",
MROUND(
  IF($S$3="m",
     IF($T$3=1, Price35[[#This Row],[Mrp]]+$W$4, Price35[[#This Row],[Mrp]]+$X$4),
  IF($S$3="nc",
     IF($T$3=1, Price35[[#This Row],[Net Cash]]+$W$5, Price35[[#This Row],[Net Cash]]+$X$5),
  IF($S$3="npc",
     IF($T$3=1, Price35[[#This Row],[Net Price Credit]]+$W$6, Price35[[#This Row],[Net Price Credit]]+$X$6),
  IF($S$3="w",
     IF($T$3=1, Price35[[#This Row],[Wsp]]+$W$6, Price35[[#This Row],[Wsp]]+$X$6),
  "")))),
10))</f>
        <v>700</v>
      </c>
      <c r="U10" s="1"/>
      <c r="V10" s="1"/>
      <c r="W10" s="1"/>
      <c r="X10" s="1"/>
      <c r="Y10" s="1"/>
      <c r="Z10" s="1"/>
    </row>
    <row r="11" spans="1:34" x14ac:dyDescent="0.25">
      <c r="A11" s="68">
        <v>2026</v>
      </c>
      <c r="B11" s="69">
        <v>150</v>
      </c>
      <c r="C11" s="70" t="s">
        <v>287</v>
      </c>
      <c r="D11" s="70" t="s">
        <v>497</v>
      </c>
      <c r="E11" s="70" t="s">
        <v>169</v>
      </c>
      <c r="F11" s="70" t="s">
        <v>814</v>
      </c>
      <c r="G11" s="71">
        <v>970</v>
      </c>
      <c r="H11" s="71">
        <v>300</v>
      </c>
      <c r="I11" s="71">
        <v>60</v>
      </c>
      <c r="J11" s="72">
        <f t="shared" ref="J11:J15" si="7">IF(SUMIF(G11:I11,"&lt;&gt;")=0,"",SUM(G11:I11))</f>
        <v>1330</v>
      </c>
      <c r="K11" s="72">
        <f t="shared" si="1"/>
        <v>1710</v>
      </c>
      <c r="L11" s="72">
        <f t="shared" si="2"/>
        <v>1800</v>
      </c>
      <c r="M11" s="72">
        <f t="shared" si="3"/>
        <v>2100</v>
      </c>
      <c r="N11" s="72">
        <f t="shared" ref="N11:N15" si="8">IF(ISNUMBER(G11), CEILING(ROUND(L11*0.92,2),5), "")</f>
        <v>1660</v>
      </c>
      <c r="O11" s="72">
        <f t="shared" si="4"/>
        <v>1930</v>
      </c>
      <c r="P11" s="72">
        <f t="shared" si="5"/>
        <v>3790</v>
      </c>
      <c r="Q11" s="72">
        <f>IF($S$3="","",
MROUND(
  IF($S$3="m",
     IF($T$3=1, Price35[[#This Row],[Mrp]]+$W$4, Price35[[#This Row],[Mrp]]+$X$4),
  IF($S$3="nc",
     IF($T$3=1, Price35[[#This Row],[Net Cash]]+$W$5, Price35[[#This Row],[Net Cash]]+$X$5),
  IF($S$3="npc",
     IF($T$3=1, Price35[[#This Row],[Net Price Credit]]+$W$6, Price35[[#This Row],[Net Price Credit]]+$X$6),
  IF($S$3="w",
     IF($T$3=1, Price35[[#This Row],[Wsp]]+$W$6, Price35[[#This Row],[Wsp]]+$X$6),
  "")))),
10))</f>
        <v>2170</v>
      </c>
      <c r="U11" s="1"/>
      <c r="V11" s="1"/>
      <c r="W11" s="1"/>
      <c r="X11" s="1"/>
      <c r="Y11" s="1"/>
      <c r="Z11" s="1"/>
    </row>
    <row r="12" spans="1:34" x14ac:dyDescent="0.25">
      <c r="A12" s="68">
        <v>2026</v>
      </c>
      <c r="B12" s="69">
        <v>160</v>
      </c>
      <c r="C12" s="70" t="s">
        <v>284</v>
      </c>
      <c r="D12" s="70" t="s">
        <v>497</v>
      </c>
      <c r="E12" s="70"/>
      <c r="F12" s="70" t="s">
        <v>812</v>
      </c>
      <c r="G12" s="71">
        <v>630</v>
      </c>
      <c r="H12" s="71"/>
      <c r="I12" s="71">
        <v>60</v>
      </c>
      <c r="J12" s="72">
        <f t="shared" si="7"/>
        <v>690</v>
      </c>
      <c r="K12" s="72">
        <f t="shared" si="1"/>
        <v>890</v>
      </c>
      <c r="L12" s="72">
        <f t="shared" si="2"/>
        <v>935</v>
      </c>
      <c r="M12" s="72">
        <f t="shared" si="3"/>
        <v>1100</v>
      </c>
      <c r="N12" s="72">
        <f t="shared" si="8"/>
        <v>865</v>
      </c>
      <c r="O12" s="72">
        <f t="shared" si="4"/>
        <v>1005</v>
      </c>
      <c r="P12" s="72">
        <f t="shared" si="5"/>
        <v>2500</v>
      </c>
      <c r="Q12" s="72">
        <f>IF($S$3="","",
MROUND(
  IF($S$3="m",
     IF($T$3=1, Price35[[#This Row],[Mrp]]+$W$4, Price35[[#This Row],[Mrp]]+$X$4),
  IF($S$3="nc",
     IF($T$3=1, Price35[[#This Row],[Net Cash]]+$W$5, Price35[[#This Row],[Net Cash]]+$X$5),
  IF($S$3="npc",
     IF($T$3=1, Price35[[#This Row],[Net Price Credit]]+$W$6, Price35[[#This Row],[Net Price Credit]]+$X$6),
  IF($S$3="w",
     IF($T$3=1, Price35[[#This Row],[Wsp]]+$W$6, Price35[[#This Row],[Wsp]]+$X$6),
  "")))),
10))</f>
        <v>1170</v>
      </c>
      <c r="U12" s="1"/>
      <c r="V12" s="1"/>
      <c r="W12" s="1"/>
      <c r="X12" s="1"/>
      <c r="Y12" s="1"/>
      <c r="Z12" s="1"/>
    </row>
    <row r="13" spans="1:34" x14ac:dyDescent="0.25">
      <c r="A13" s="68">
        <v>2026</v>
      </c>
      <c r="B13" s="69">
        <v>161</v>
      </c>
      <c r="C13" s="70" t="s">
        <v>284</v>
      </c>
      <c r="D13" s="70" t="s">
        <v>497</v>
      </c>
      <c r="E13" s="70" t="s">
        <v>169</v>
      </c>
      <c r="F13" s="70" t="s">
        <v>813</v>
      </c>
      <c r="G13" s="71">
        <v>650</v>
      </c>
      <c r="H13" s="71"/>
      <c r="I13" s="71">
        <v>60</v>
      </c>
      <c r="J13" s="72">
        <f>IF(SUMIF(G13:I13,"&lt;&gt;")=0,"",SUM(G13:I13))</f>
        <v>710</v>
      </c>
      <c r="K13" s="72">
        <f t="shared" si="1"/>
        <v>915</v>
      </c>
      <c r="L13" s="72">
        <f t="shared" si="2"/>
        <v>960</v>
      </c>
      <c r="M13" s="72">
        <f t="shared" si="3"/>
        <v>1125</v>
      </c>
      <c r="N13" s="72">
        <f>IF(ISNUMBER(G13), CEILING(ROUND(L13*0.92,2),5), "")</f>
        <v>885</v>
      </c>
      <c r="O13" s="72">
        <f t="shared" si="4"/>
        <v>1030</v>
      </c>
      <c r="P13" s="72">
        <f t="shared" si="5"/>
        <v>2580</v>
      </c>
      <c r="Q13" s="72">
        <f>IF($S$3="","",
MROUND(
  IF($S$3="m",
     IF($T$3=1, Price35[[#This Row],[Mrp]]+$W$4, Price35[[#This Row],[Mrp]]+$X$4),
  IF($S$3="nc",
     IF($T$3=1, Price35[[#This Row],[Net Cash]]+$W$5, Price35[[#This Row],[Net Cash]]+$X$5),
  IF($S$3="npc",
     IF($T$3=1, Price35[[#This Row],[Net Price Credit]]+$W$6, Price35[[#This Row],[Net Price Credit]]+$X$6),
  IF($S$3="w",
     IF($T$3=1, Price35[[#This Row],[Wsp]]+$W$6, Price35[[#This Row],[Wsp]]+$X$6),
  "")))),
10))</f>
        <v>1200</v>
      </c>
      <c r="U13" s="1"/>
      <c r="V13" s="1"/>
      <c r="W13" s="1"/>
      <c r="X13" s="1"/>
      <c r="Y13" s="1"/>
      <c r="Z13" s="1"/>
    </row>
    <row r="14" spans="1:34" x14ac:dyDescent="0.25">
      <c r="A14" s="68">
        <v>2026</v>
      </c>
      <c r="B14" s="69">
        <v>170</v>
      </c>
      <c r="C14" s="70" t="s">
        <v>287</v>
      </c>
      <c r="D14" s="70" t="s">
        <v>497</v>
      </c>
      <c r="E14" s="70"/>
      <c r="F14" s="70" t="s">
        <v>815</v>
      </c>
      <c r="G14" s="71">
        <v>980</v>
      </c>
      <c r="H14" s="71">
        <v>170</v>
      </c>
      <c r="I14" s="71">
        <v>60</v>
      </c>
      <c r="J14" s="72">
        <f t="shared" si="7"/>
        <v>1210</v>
      </c>
      <c r="K14" s="72">
        <f t="shared" si="1"/>
        <v>1555</v>
      </c>
      <c r="L14" s="72">
        <f t="shared" si="2"/>
        <v>1635</v>
      </c>
      <c r="M14" s="72">
        <f t="shared" si="3"/>
        <v>1925</v>
      </c>
      <c r="N14" s="72">
        <f t="shared" si="8"/>
        <v>1505</v>
      </c>
      <c r="O14" s="72">
        <f t="shared" si="4"/>
        <v>1750</v>
      </c>
      <c r="P14" s="72">
        <f t="shared" si="5"/>
        <v>3820</v>
      </c>
      <c r="Q14" s="72">
        <f>IF($S$3="","",
MROUND(
  IF($S$3="m",
     IF($T$3=1, Price35[[#This Row],[Mrp]]+$W$4, Price35[[#This Row],[Mrp]]+$X$4),
  IF($S$3="nc",
     IF($T$3=1, Price35[[#This Row],[Net Cash]]+$W$5, Price35[[#This Row],[Net Cash]]+$X$5),
  IF($S$3="npc",
     IF($T$3=1, Price35[[#This Row],[Net Price Credit]]+$W$6, Price35[[#This Row],[Net Price Credit]]+$X$6),
  IF($S$3="w",
     IF($T$3=1, Price35[[#This Row],[Wsp]]+$W$6, Price35[[#This Row],[Wsp]]+$X$6),
  "")))),
10))</f>
        <v>2000</v>
      </c>
      <c r="U14" s="1"/>
      <c r="V14" s="1"/>
      <c r="W14" s="1"/>
      <c r="X14" s="1"/>
      <c r="Y14" s="1"/>
      <c r="Z14" s="1"/>
    </row>
    <row r="15" spans="1:34" x14ac:dyDescent="0.25">
      <c r="A15" s="68"/>
      <c r="B15" s="69">
        <v>193</v>
      </c>
      <c r="C15" s="70" t="s">
        <v>287</v>
      </c>
      <c r="D15" s="70" t="s">
        <v>497</v>
      </c>
      <c r="E15" s="70" t="s">
        <v>290</v>
      </c>
      <c r="F15" s="70" t="s">
        <v>426</v>
      </c>
      <c r="G15" s="71">
        <v>2500</v>
      </c>
      <c r="H15" s="71"/>
      <c r="I15" s="71">
        <v>25</v>
      </c>
      <c r="J15" s="72">
        <f t="shared" si="7"/>
        <v>2525</v>
      </c>
      <c r="K15" s="72">
        <f t="shared" si="1"/>
        <v>3240</v>
      </c>
      <c r="L15" s="72">
        <f t="shared" si="2"/>
        <v>3410</v>
      </c>
      <c r="M15" s="72">
        <f t="shared" si="3"/>
        <v>4500</v>
      </c>
      <c r="N15" s="72">
        <f t="shared" si="8"/>
        <v>3140</v>
      </c>
      <c r="O15" s="72">
        <f t="shared" si="4"/>
        <v>3650</v>
      </c>
      <c r="P15" s="72">
        <f t="shared" si="5"/>
        <v>10740</v>
      </c>
      <c r="Q15" s="72">
        <f>IF($S$3="","",
MROUND(
  IF($S$3="m",
     IF($T$3=1, Price35[[#This Row],[Mrp]]+$W$4, Price35[[#This Row],[Mrp]]+$X$4),
  IF($S$3="nc",
     IF($T$3=1, Price35[[#This Row],[Net Cash]]+$W$5, Price35[[#This Row],[Net Cash]]+$X$5),
  IF($S$3="npc",
     IF($T$3=1, Price35[[#This Row],[Net Price Credit]]+$W$6, Price35[[#This Row],[Net Price Credit]]+$X$6),
  IF($S$3="w",
     IF($T$3=1, Price35[[#This Row],[Wsp]]+$W$6, Price35[[#This Row],[Wsp]]+$X$6),
  "")))),
10))</f>
        <v>4570</v>
      </c>
      <c r="U15" s="1"/>
      <c r="V15" s="1"/>
      <c r="W15" s="1"/>
      <c r="X15" s="1"/>
      <c r="Y15" s="1"/>
      <c r="Z15" s="1"/>
    </row>
    <row r="16" spans="1:34" x14ac:dyDescent="0.25">
      <c r="A16" s="68"/>
      <c r="B16" s="69">
        <v>710</v>
      </c>
      <c r="C16" s="70" t="s">
        <v>287</v>
      </c>
      <c r="D16" s="70" t="s">
        <v>699</v>
      </c>
      <c r="E16" s="70"/>
      <c r="F16" s="70" t="s">
        <v>29</v>
      </c>
      <c r="G16" s="71">
        <v>340</v>
      </c>
      <c r="H16" s="71"/>
      <c r="I16" s="71">
        <v>50</v>
      </c>
      <c r="J16" s="72">
        <f t="shared" si="0"/>
        <v>390</v>
      </c>
      <c r="K16" s="72">
        <f t="shared" si="1"/>
        <v>505</v>
      </c>
      <c r="L16" s="72">
        <f t="shared" si="2"/>
        <v>530</v>
      </c>
      <c r="M16" s="72">
        <f t="shared" si="3"/>
        <v>625</v>
      </c>
      <c r="N16" s="72">
        <f t="shared" si="6"/>
        <v>490</v>
      </c>
      <c r="O16" s="72">
        <f t="shared" si="4"/>
        <v>570</v>
      </c>
      <c r="P16" s="72">
        <f t="shared" si="5"/>
        <v>1410</v>
      </c>
      <c r="Q16" s="72">
        <f>IF($S$3="","",
MROUND(
  IF($S$3="m",
     IF($T$3=1, Price35[[#This Row],[Mrp]]+$W$4, Price35[[#This Row],[Mrp]]+$X$4),
  IF($S$3="nc",
     IF($T$3=1, Price35[[#This Row],[Net Cash]]+$W$5, Price35[[#This Row],[Net Cash]]+$X$5),
  IF($S$3="npc",
     IF($T$3=1, Price35[[#This Row],[Net Price Credit]]+$W$6, Price35[[#This Row],[Net Price Credit]]+$X$6),
  IF($S$3="w",
     IF($T$3=1, Price35[[#This Row],[Wsp]]+$W$6, Price35[[#This Row],[Wsp]]+$X$6),
  "")))),
10))</f>
        <v>700</v>
      </c>
      <c r="U16" s="1"/>
      <c r="V16" s="1"/>
      <c r="W16" s="1"/>
      <c r="X16" s="1"/>
      <c r="Y16" s="1"/>
      <c r="Z16" s="1"/>
    </row>
    <row r="17" spans="1:26" x14ac:dyDescent="0.25">
      <c r="A17" s="68">
        <v>2026</v>
      </c>
      <c r="B17" s="69">
        <v>910</v>
      </c>
      <c r="C17" s="70" t="s">
        <v>287</v>
      </c>
      <c r="D17" s="70" t="s">
        <v>699</v>
      </c>
      <c r="E17" s="70"/>
      <c r="F17" s="70" t="s">
        <v>0</v>
      </c>
      <c r="G17" s="71">
        <v>500</v>
      </c>
      <c r="H17" s="71"/>
      <c r="I17" s="71">
        <v>100</v>
      </c>
      <c r="J17" s="72">
        <f t="shared" si="0"/>
        <v>600</v>
      </c>
      <c r="K17" s="72">
        <f t="shared" si="1"/>
        <v>770</v>
      </c>
      <c r="L17" s="72">
        <f t="shared" si="2"/>
        <v>810</v>
      </c>
      <c r="M17" s="72">
        <f t="shared" si="3"/>
        <v>950</v>
      </c>
      <c r="N17" s="72">
        <f t="shared" si="6"/>
        <v>750</v>
      </c>
      <c r="O17" s="72">
        <f t="shared" si="4"/>
        <v>870</v>
      </c>
      <c r="P17" s="72">
        <f t="shared" si="5"/>
        <v>2010</v>
      </c>
      <c r="Q17" s="72">
        <f>IF($S$3="","",
MROUND(
  IF($S$3="m",
     IF($T$3=1, Price35[[#This Row],[Mrp]]+$W$4, Price35[[#This Row],[Mrp]]+$X$4),
  IF($S$3="nc",
     IF($T$3=1, Price35[[#This Row],[Net Cash]]+$W$5, Price35[[#This Row],[Net Cash]]+$X$5),
  IF($S$3="npc",
     IF($T$3=1, Price35[[#This Row],[Net Price Credit]]+$W$6, Price35[[#This Row],[Net Price Credit]]+$X$6),
  IF($S$3="w",
     IF($T$3=1, Price35[[#This Row],[Wsp]]+$W$6, Price35[[#This Row],[Wsp]]+$X$6),
  "")))),
10))</f>
        <v>1020</v>
      </c>
      <c r="U17" s="1"/>
      <c r="V17" s="1"/>
      <c r="W17" s="1"/>
      <c r="X17" s="1"/>
      <c r="Y17" s="1"/>
      <c r="Z17" s="1"/>
    </row>
    <row r="18" spans="1:26" x14ac:dyDescent="0.25">
      <c r="A18" s="68">
        <v>2026</v>
      </c>
      <c r="B18" s="69">
        <v>1000</v>
      </c>
      <c r="C18" s="70" t="s">
        <v>287</v>
      </c>
      <c r="D18" s="70" t="s">
        <v>699</v>
      </c>
      <c r="E18" s="70"/>
      <c r="F18" s="70" t="s">
        <v>112</v>
      </c>
      <c r="G18" s="71">
        <v>693</v>
      </c>
      <c r="H18" s="71"/>
      <c r="I18" s="71">
        <v>15</v>
      </c>
      <c r="J18" s="72">
        <f t="shared" si="0"/>
        <v>708</v>
      </c>
      <c r="K18" s="72">
        <f t="shared" si="1"/>
        <v>915</v>
      </c>
      <c r="L18" s="72">
        <f t="shared" si="2"/>
        <v>960</v>
      </c>
      <c r="M18" s="72">
        <f t="shared" si="3"/>
        <v>1125</v>
      </c>
      <c r="N18" s="72">
        <f t="shared" si="6"/>
        <v>885</v>
      </c>
      <c r="O18" s="72">
        <f t="shared" si="4"/>
        <v>1030</v>
      </c>
      <c r="P18" s="72">
        <f t="shared" si="5"/>
        <v>2740</v>
      </c>
      <c r="Q18" s="72">
        <f>IF($S$3="","",
MROUND(
  IF($S$3="m",
     IF($T$3=1, Price35[[#This Row],[Mrp]]+$W$4, Price35[[#This Row],[Mrp]]+$X$4),
  IF($S$3="nc",
     IF($T$3=1, Price35[[#This Row],[Net Cash]]+$W$5, Price35[[#This Row],[Net Cash]]+$X$5),
  IF($S$3="npc",
     IF($T$3=1, Price35[[#This Row],[Net Price Credit]]+$W$6, Price35[[#This Row],[Net Price Credit]]+$X$6),
  IF($S$3="w",
     IF($T$3=1, Price35[[#This Row],[Wsp]]+$W$6, Price35[[#This Row],[Wsp]]+$X$6),
  "")))),
10))</f>
        <v>1200</v>
      </c>
      <c r="U18" s="1"/>
      <c r="V18" s="1"/>
      <c r="W18" s="1"/>
      <c r="X18" s="1"/>
      <c r="Y18" s="1"/>
      <c r="Z18" s="1"/>
    </row>
    <row r="19" spans="1:26" x14ac:dyDescent="0.25">
      <c r="A19" s="68"/>
      <c r="B19" s="69">
        <v>1010</v>
      </c>
      <c r="C19" s="70" t="s">
        <v>287</v>
      </c>
      <c r="D19" s="70" t="s">
        <v>699</v>
      </c>
      <c r="E19" s="70"/>
      <c r="F19" s="70" t="s">
        <v>16</v>
      </c>
      <c r="G19" s="71">
        <v>480</v>
      </c>
      <c r="H19" s="71"/>
      <c r="I19" s="71">
        <v>80</v>
      </c>
      <c r="J19" s="72">
        <f t="shared" si="0"/>
        <v>560</v>
      </c>
      <c r="K19" s="72">
        <f t="shared" si="1"/>
        <v>725</v>
      </c>
      <c r="L19" s="72">
        <f t="shared" si="2"/>
        <v>760</v>
      </c>
      <c r="M19" s="72">
        <f t="shared" si="3"/>
        <v>900</v>
      </c>
      <c r="N19" s="72">
        <f t="shared" si="6"/>
        <v>700</v>
      </c>
      <c r="O19" s="72">
        <f t="shared" si="4"/>
        <v>815</v>
      </c>
      <c r="P19" s="72">
        <f t="shared" si="5"/>
        <v>1940</v>
      </c>
      <c r="Q19" s="72">
        <f>IF($S$3="","",
MROUND(
  IF($S$3="m",
     IF($T$3=1, Price35[[#This Row],[Mrp]]+$W$4, Price35[[#This Row],[Mrp]]+$X$4),
  IF($S$3="nc",
     IF($T$3=1, Price35[[#This Row],[Net Cash]]+$W$5, Price35[[#This Row],[Net Cash]]+$X$5),
  IF($S$3="npc",
     IF($T$3=1, Price35[[#This Row],[Net Price Credit]]+$W$6, Price35[[#This Row],[Net Price Credit]]+$X$6),
  IF($S$3="w",
     IF($T$3=1, Price35[[#This Row],[Wsp]]+$W$6, Price35[[#This Row],[Wsp]]+$X$6),
  "")))),
10))</f>
        <v>970</v>
      </c>
      <c r="U19" s="1"/>
      <c r="V19" s="1"/>
      <c r="W19" s="1"/>
      <c r="X19" s="1"/>
      <c r="Y19" s="1"/>
      <c r="Z19" s="1"/>
    </row>
    <row r="20" spans="1:26" x14ac:dyDescent="0.25">
      <c r="A20" s="68">
        <v>2026</v>
      </c>
      <c r="B20" s="69">
        <v>1651</v>
      </c>
      <c r="C20" s="70" t="s">
        <v>287</v>
      </c>
      <c r="D20" s="70" t="s">
        <v>699</v>
      </c>
      <c r="E20" s="70" t="s">
        <v>655</v>
      </c>
      <c r="F20" s="70" t="s">
        <v>782</v>
      </c>
      <c r="G20" s="71">
        <v>881</v>
      </c>
      <c r="H20" s="71"/>
      <c r="I20" s="71">
        <v>25</v>
      </c>
      <c r="J20" s="72">
        <f>IF(SUMIF(G20:I20,"&lt;&gt;")=0,"",SUM(G20:I20))</f>
        <v>906</v>
      </c>
      <c r="K20" s="72">
        <f t="shared" si="1"/>
        <v>1165</v>
      </c>
      <c r="L20" s="72">
        <f t="shared" si="2"/>
        <v>1225</v>
      </c>
      <c r="M20" s="72">
        <f t="shared" si="3"/>
        <v>1450</v>
      </c>
      <c r="N20" s="72">
        <f>IF(ISNUMBER(G20), CEILING(ROUND(L20*0.92,2),5), "")</f>
        <v>1130</v>
      </c>
      <c r="O20" s="72">
        <f t="shared" si="4"/>
        <v>1315</v>
      </c>
      <c r="P20" s="72">
        <f t="shared" si="5"/>
        <v>3450</v>
      </c>
      <c r="Q20" s="72">
        <f>IF($S$3="","",
MROUND(
  IF($S$3="m",
     IF($T$3=1, Price35[[#This Row],[Mrp]]+$W$4, Price35[[#This Row],[Mrp]]+$X$4),
  IF($S$3="nc",
     IF($T$3=1, Price35[[#This Row],[Net Cash]]+$W$5, Price35[[#This Row],[Net Cash]]+$X$5),
  IF($S$3="npc",
     IF($T$3=1, Price35[[#This Row],[Net Price Credit]]+$W$6, Price35[[#This Row],[Net Price Credit]]+$X$6),
  IF($S$3="w",
     IF($T$3=1, Price35[[#This Row],[Wsp]]+$W$6, Price35[[#This Row],[Wsp]]+$X$6),
  "")))),
10))</f>
        <v>1520</v>
      </c>
      <c r="U20" s="1"/>
      <c r="V20" s="1"/>
      <c r="W20" s="1"/>
      <c r="X20" s="1"/>
      <c r="Y20" s="1"/>
      <c r="Z20" s="1"/>
    </row>
    <row r="21" spans="1:26" x14ac:dyDescent="0.25">
      <c r="A21" s="68">
        <v>2026</v>
      </c>
      <c r="B21" s="69">
        <v>2400</v>
      </c>
      <c r="C21" s="70" t="s">
        <v>287</v>
      </c>
      <c r="D21" s="70" t="s">
        <v>699</v>
      </c>
      <c r="E21" s="70"/>
      <c r="F21" s="70" t="s">
        <v>113</v>
      </c>
      <c r="G21" s="71">
        <v>936</v>
      </c>
      <c r="H21" s="71"/>
      <c r="I21" s="71">
        <v>15</v>
      </c>
      <c r="J21" s="72">
        <f t="shared" si="0"/>
        <v>951</v>
      </c>
      <c r="K21" s="72">
        <f t="shared" si="1"/>
        <v>1225</v>
      </c>
      <c r="L21" s="72">
        <f t="shared" si="2"/>
        <v>1285</v>
      </c>
      <c r="M21" s="72">
        <f t="shared" si="3"/>
        <v>1500</v>
      </c>
      <c r="N21" s="72">
        <f t="shared" si="6"/>
        <v>1185</v>
      </c>
      <c r="O21" s="72">
        <f t="shared" si="4"/>
        <v>1375</v>
      </c>
      <c r="P21" s="72">
        <f t="shared" si="5"/>
        <v>3660</v>
      </c>
      <c r="Q21" s="72">
        <f>IF($S$3="","",
MROUND(
  IF($S$3="m",
     IF($T$3=1, Price35[[#This Row],[Mrp]]+$W$4, Price35[[#This Row],[Mrp]]+$X$4),
  IF($S$3="nc",
     IF($T$3=1, Price35[[#This Row],[Net Cash]]+$W$5, Price35[[#This Row],[Net Cash]]+$X$5),
  IF($S$3="npc",
     IF($T$3=1, Price35[[#This Row],[Net Price Credit]]+$W$6, Price35[[#This Row],[Net Price Credit]]+$X$6),
  IF($S$3="w",
     IF($T$3=1, Price35[[#This Row],[Wsp]]+$W$6, Price35[[#This Row],[Wsp]]+$X$6),
  "")))),
10))</f>
        <v>1570</v>
      </c>
      <c r="U21" s="1"/>
      <c r="V21" s="1"/>
      <c r="W21" s="1"/>
      <c r="X21" s="1"/>
      <c r="Y21" s="1"/>
      <c r="Z21" s="1"/>
    </row>
    <row r="22" spans="1:26" x14ac:dyDescent="0.25">
      <c r="A22" s="68">
        <v>2026</v>
      </c>
      <c r="B22" s="69">
        <v>2451</v>
      </c>
      <c r="C22" s="70" t="s">
        <v>287</v>
      </c>
      <c r="D22" s="70" t="s">
        <v>699</v>
      </c>
      <c r="E22" s="70" t="s">
        <v>655</v>
      </c>
      <c r="F22" s="70" t="s">
        <v>783</v>
      </c>
      <c r="G22" s="71">
        <v>1303</v>
      </c>
      <c r="H22" s="71"/>
      <c r="I22" s="71">
        <v>25</v>
      </c>
      <c r="J22" s="72">
        <f>IF(SUMIF(G22:I22,"&lt;&gt;")=0,"",SUM(G22:I22))</f>
        <v>1328</v>
      </c>
      <c r="K22" s="72">
        <f t="shared" si="1"/>
        <v>1710</v>
      </c>
      <c r="L22" s="72">
        <f t="shared" si="2"/>
        <v>1795</v>
      </c>
      <c r="M22" s="72">
        <f t="shared" si="3"/>
        <v>2100</v>
      </c>
      <c r="N22" s="72">
        <f>IF(ISNUMBER(G22), CEILING(ROUND(L22*0.92,2),5), "")</f>
        <v>1655</v>
      </c>
      <c r="O22" s="72">
        <f t="shared" si="4"/>
        <v>1925</v>
      </c>
      <c r="P22" s="72">
        <f t="shared" si="5"/>
        <v>5040</v>
      </c>
      <c r="Q22" s="72">
        <f>IF($S$3="","",
MROUND(
  IF($S$3="m",
     IF($T$3=1, Price35[[#This Row],[Mrp]]+$W$4, Price35[[#This Row],[Mrp]]+$X$4),
  IF($S$3="nc",
     IF($T$3=1, Price35[[#This Row],[Net Cash]]+$W$5, Price35[[#This Row],[Net Cash]]+$X$5),
  IF($S$3="npc",
     IF($T$3=1, Price35[[#This Row],[Net Price Credit]]+$W$6, Price35[[#This Row],[Net Price Credit]]+$X$6),
  IF($S$3="w",
     IF($T$3=1, Price35[[#This Row],[Wsp]]+$W$6, Price35[[#This Row],[Wsp]]+$X$6),
  "")))),
10))</f>
        <v>2170</v>
      </c>
      <c r="U22" s="1"/>
      <c r="V22" s="1"/>
      <c r="W22" s="1"/>
      <c r="X22" s="1"/>
      <c r="Y22" s="1"/>
      <c r="Z22" s="1"/>
    </row>
    <row r="23" spans="1:26" x14ac:dyDescent="0.25">
      <c r="A23" s="68">
        <v>2026</v>
      </c>
      <c r="B23" s="69">
        <v>142</v>
      </c>
      <c r="C23" s="70" t="s">
        <v>284</v>
      </c>
      <c r="D23" s="70" t="s">
        <v>494</v>
      </c>
      <c r="E23" s="70" t="s">
        <v>868</v>
      </c>
      <c r="F23" s="70" t="s">
        <v>869</v>
      </c>
      <c r="G23" s="71">
        <v>370</v>
      </c>
      <c r="H23" s="71"/>
      <c r="I23" s="71">
        <v>265</v>
      </c>
      <c r="J23" s="72">
        <f t="shared" ref="J23:J24" si="9">IF(SUMIF(G23:I23,"&lt;&gt;")=0,"",SUM(G23:I23))</f>
        <v>635</v>
      </c>
      <c r="K23" s="72">
        <f t="shared" ref="K23:K24" si="10">IF(ISNUMBER(L23),
   IF(CEILING(ROUND(L23*0.95,2),5)=420,
      425,
      CEILING(ROUND(L23*0.95,2),5)
   ),
   ""
)</f>
        <v>820</v>
      </c>
      <c r="L23" s="72">
        <f t="shared" ref="L23:L24" si="11">IF(ISNUMBER(J23),
   IF(CEILING(ROUND(J23*1.35,2),5)=420,
      425,
      CEILING(ROUND(J23*1.35,2),5)
   ),
   ""
)</f>
        <v>860</v>
      </c>
      <c r="M23" s="72">
        <f t="shared" ref="M23:M24" si="12">IF(AND(ISNUMBER(J23),ISNUMBER(G23)),
   IF(
      CEILING(
         ROUND((J23*1.5) * IF(J23*1.5 &lt;= 2500, 1.05, 1.18), 2),
         IF(ROUND((J23*1.5) * IF(J23*1.5 &lt;= 2500, 1.05, 1.18), 2) &lt; 2500, 25, 50)
      )=420,
      425,
      CEILING(
         ROUND((J23*1.5) * IF(J23*1.5 &lt;= 2500, 1.05, 1.18), 2),
         IF(ROUND((J23*1.5) * IF(J23*1.5 &lt;= 2500, 1.05, 1.18), 2) &lt; 2500, 25, 50)
      )
   ),
   ""
)</f>
        <v>1025</v>
      </c>
      <c r="N23" s="72">
        <f t="shared" ref="N23:N24" si="13">IF(ISNUMBER(G23), CEILING(ROUND(L23*0.92,2),5), "")</f>
        <v>795</v>
      </c>
      <c r="O23" s="72">
        <f t="shared" ref="O23:O24" si="14">IF(ISNUMBER(L23),
   IF(CEILING(ROUND(L23*1.07,2),5)=420,
      425,
      CEILING(ROUND(L23*1.07,2),5)
   ),
   ""
)</f>
        <v>925</v>
      </c>
      <c r="P23" s="72">
        <f t="shared" si="5"/>
        <v>1520</v>
      </c>
      <c r="Q23" s="72">
        <f>IF($S$3="","",
MROUND(
  IF($S$3="m",
     IF($T$3=1, Price35[[#This Row],[Mrp]]+$W$4, Price35[[#This Row],[Mrp]]+$X$4),
  IF($S$3="nc",
     IF($T$3=1, Price35[[#This Row],[Net Cash]]+$W$5, Price35[[#This Row],[Net Cash]]+$X$5),
  IF($S$3="npc",
     IF($T$3=1, Price35[[#This Row],[Net Price Credit]]+$W$6, Price35[[#This Row],[Net Price Credit]]+$X$6),
  IF($S$3="w",
     IF($T$3=1, Price35[[#This Row],[Wsp]]+$W$6, Price35[[#This Row],[Wsp]]+$X$6),
  "")))),
10))</f>
        <v>1100</v>
      </c>
    </row>
    <row r="24" spans="1:26" x14ac:dyDescent="0.25">
      <c r="A24" s="68">
        <v>2026</v>
      </c>
      <c r="B24" s="69">
        <v>143</v>
      </c>
      <c r="C24" s="70" t="s">
        <v>284</v>
      </c>
      <c r="D24" s="70" t="s">
        <v>494</v>
      </c>
      <c r="E24" s="70" t="s">
        <v>868</v>
      </c>
      <c r="F24" s="70" t="s">
        <v>870</v>
      </c>
      <c r="G24" s="71">
        <v>500</v>
      </c>
      <c r="H24" s="71"/>
      <c r="I24" s="71">
        <v>325</v>
      </c>
      <c r="J24" s="72">
        <f t="shared" si="9"/>
        <v>825</v>
      </c>
      <c r="K24" s="72">
        <f t="shared" si="10"/>
        <v>1060</v>
      </c>
      <c r="L24" s="72">
        <f t="shared" si="11"/>
        <v>1115</v>
      </c>
      <c r="M24" s="72">
        <f t="shared" si="12"/>
        <v>1300</v>
      </c>
      <c r="N24" s="72">
        <f t="shared" si="13"/>
        <v>1030</v>
      </c>
      <c r="O24" s="72">
        <f t="shared" si="14"/>
        <v>1195</v>
      </c>
      <c r="P24" s="72">
        <f t="shared" si="5"/>
        <v>2010</v>
      </c>
      <c r="Q24" s="72">
        <f>IF($S$3="","",
MROUND(
  IF($S$3="m",
     IF($T$3=1, Price35[[#This Row],[Mrp]]+$W$4, Price35[[#This Row],[Mrp]]+$X$4),
  IF($S$3="nc",
     IF($T$3=1, Price35[[#This Row],[Net Cash]]+$W$5, Price35[[#This Row],[Net Cash]]+$X$5),
  IF($S$3="npc",
     IF($T$3=1, Price35[[#This Row],[Net Price Credit]]+$W$6, Price35[[#This Row],[Net Price Credit]]+$X$6),
  IF($S$3="w",
     IF($T$3=1, Price35[[#This Row],[Wsp]]+$W$6, Price35[[#This Row],[Wsp]]+$X$6),
  "")))),
10))</f>
        <v>1370</v>
      </c>
    </row>
    <row r="25" spans="1:26" x14ac:dyDescent="0.25">
      <c r="A25" s="68"/>
      <c r="B25" s="69">
        <v>948</v>
      </c>
      <c r="C25" s="70" t="s">
        <v>284</v>
      </c>
      <c r="D25" s="70" t="s">
        <v>493</v>
      </c>
      <c r="E25" s="70"/>
      <c r="F25" s="70" t="s">
        <v>4</v>
      </c>
      <c r="G25" s="71">
        <v>390</v>
      </c>
      <c r="H25" s="71"/>
      <c r="I25" s="71">
        <v>215</v>
      </c>
      <c r="J25" s="72">
        <f t="shared" si="0"/>
        <v>605</v>
      </c>
      <c r="K25" s="72">
        <f t="shared" si="1"/>
        <v>780</v>
      </c>
      <c r="L25" s="72">
        <f t="shared" si="2"/>
        <v>820</v>
      </c>
      <c r="M25" s="72">
        <f t="shared" si="3"/>
        <v>975</v>
      </c>
      <c r="N25" s="72">
        <f t="shared" si="6"/>
        <v>755</v>
      </c>
      <c r="O25" s="72">
        <f t="shared" si="4"/>
        <v>880</v>
      </c>
      <c r="P25" s="72">
        <f t="shared" si="5"/>
        <v>1600</v>
      </c>
      <c r="Q25" s="72">
        <f>IF($S$3="","",
MROUND(
  IF($S$3="m",
     IF($T$3=1, Price35[[#This Row],[Mrp]]+$W$4, Price35[[#This Row],[Mrp]]+$X$4),
  IF($S$3="nc",
     IF($T$3=1, Price35[[#This Row],[Net Cash]]+$W$5, Price35[[#This Row],[Net Cash]]+$X$5),
  IF($S$3="npc",
     IF($T$3=1, Price35[[#This Row],[Net Price Credit]]+$W$6, Price35[[#This Row],[Net Price Credit]]+$X$6),
  IF($S$3="w",
     IF($T$3=1, Price35[[#This Row],[Wsp]]+$W$6, Price35[[#This Row],[Wsp]]+$X$6),
  "")))),
10))</f>
        <v>1050</v>
      </c>
    </row>
    <row r="26" spans="1:26" x14ac:dyDescent="0.25">
      <c r="A26" s="68"/>
      <c r="B26" s="69">
        <v>949</v>
      </c>
      <c r="C26" s="70" t="s">
        <v>284</v>
      </c>
      <c r="D26" s="70" t="s">
        <v>493</v>
      </c>
      <c r="E26" s="70"/>
      <c r="F26" s="70" t="s">
        <v>12</v>
      </c>
      <c r="G26" s="71">
        <v>460</v>
      </c>
      <c r="H26" s="71"/>
      <c r="I26" s="71">
        <v>215</v>
      </c>
      <c r="J26" s="72">
        <f t="shared" si="0"/>
        <v>675</v>
      </c>
      <c r="K26" s="72">
        <f t="shared" si="1"/>
        <v>870</v>
      </c>
      <c r="L26" s="72">
        <f t="shared" si="2"/>
        <v>915</v>
      </c>
      <c r="M26" s="72">
        <f t="shared" si="3"/>
        <v>1075</v>
      </c>
      <c r="N26" s="72">
        <f t="shared" si="6"/>
        <v>845</v>
      </c>
      <c r="O26" s="72">
        <f t="shared" si="4"/>
        <v>980</v>
      </c>
      <c r="P26" s="72">
        <f t="shared" si="5"/>
        <v>1860</v>
      </c>
      <c r="Q26" s="72">
        <f>IF($S$3="","",
MROUND(
  IF($S$3="m",
     IF($T$3=1, Price35[[#This Row],[Mrp]]+$W$4, Price35[[#This Row],[Mrp]]+$X$4),
  IF($S$3="nc",
     IF($T$3=1, Price35[[#This Row],[Net Cash]]+$W$5, Price35[[#This Row],[Net Cash]]+$X$5),
  IF($S$3="npc",
     IF($T$3=1, Price35[[#This Row],[Net Price Credit]]+$W$6, Price35[[#This Row],[Net Price Credit]]+$X$6),
  IF($S$3="w",
     IF($T$3=1, Price35[[#This Row],[Wsp]]+$W$6, Price35[[#This Row],[Wsp]]+$X$6),
  "")))),
10))</f>
        <v>1150</v>
      </c>
    </row>
    <row r="27" spans="1:26" x14ac:dyDescent="0.25">
      <c r="A27" s="68"/>
      <c r="B27" s="69">
        <v>951</v>
      </c>
      <c r="C27" s="70" t="s">
        <v>284</v>
      </c>
      <c r="D27" s="70" t="s">
        <v>493</v>
      </c>
      <c r="E27" s="70"/>
      <c r="F27" s="70" t="s">
        <v>89</v>
      </c>
      <c r="G27" s="71">
        <v>390</v>
      </c>
      <c r="H27" s="71"/>
      <c r="I27" s="71">
        <v>300</v>
      </c>
      <c r="J27" s="72">
        <f t="shared" si="0"/>
        <v>690</v>
      </c>
      <c r="K27" s="72">
        <f t="shared" si="1"/>
        <v>890</v>
      </c>
      <c r="L27" s="72">
        <f t="shared" si="2"/>
        <v>935</v>
      </c>
      <c r="M27" s="72">
        <f t="shared" si="3"/>
        <v>1100</v>
      </c>
      <c r="N27" s="72">
        <f t="shared" si="6"/>
        <v>865</v>
      </c>
      <c r="O27" s="72">
        <f t="shared" si="4"/>
        <v>1005</v>
      </c>
      <c r="P27" s="72">
        <f t="shared" si="5"/>
        <v>1600</v>
      </c>
      <c r="Q27" s="72">
        <f>IF($S$3="","",
MROUND(
  IF($S$3="m",
     IF($T$3=1, Price35[[#This Row],[Mrp]]+$W$4, Price35[[#This Row],[Mrp]]+$X$4),
  IF($S$3="nc",
     IF($T$3=1, Price35[[#This Row],[Net Cash]]+$W$5, Price35[[#This Row],[Net Cash]]+$X$5),
  IF($S$3="npc",
     IF($T$3=1, Price35[[#This Row],[Net Price Credit]]+$W$6, Price35[[#This Row],[Net Price Credit]]+$X$6),
  IF($S$3="w",
     IF($T$3=1, Price35[[#This Row],[Wsp]]+$W$6, Price35[[#This Row],[Wsp]]+$X$6),
  "")))),
10))</f>
        <v>1170</v>
      </c>
    </row>
    <row r="28" spans="1:26" x14ac:dyDescent="0.25">
      <c r="A28" s="68">
        <v>2026</v>
      </c>
      <c r="B28" s="69">
        <v>959</v>
      </c>
      <c r="C28" s="70" t="s">
        <v>284</v>
      </c>
      <c r="D28" s="70" t="s">
        <v>493</v>
      </c>
      <c r="E28" s="70" t="s">
        <v>995</v>
      </c>
      <c r="F28" s="70" t="s">
        <v>34</v>
      </c>
      <c r="G28" s="71">
        <v>390</v>
      </c>
      <c r="H28" s="71"/>
      <c r="I28" s="71">
        <v>265</v>
      </c>
      <c r="J28" s="72">
        <f t="shared" si="0"/>
        <v>655</v>
      </c>
      <c r="K28" s="72">
        <f t="shared" si="1"/>
        <v>845</v>
      </c>
      <c r="L28" s="72">
        <f t="shared" si="2"/>
        <v>885</v>
      </c>
      <c r="M28" s="72">
        <f t="shared" si="3"/>
        <v>1050</v>
      </c>
      <c r="N28" s="72">
        <f t="shared" si="6"/>
        <v>815</v>
      </c>
      <c r="O28" s="72">
        <f t="shared" si="4"/>
        <v>950</v>
      </c>
      <c r="P28" s="72">
        <f t="shared" si="5"/>
        <v>1600</v>
      </c>
      <c r="Q28" s="72">
        <f>IF($S$3="","",
MROUND(
  IF($S$3="m",
     IF($T$3=1, Price35[[#This Row],[Mrp]]+$W$4, Price35[[#This Row],[Mrp]]+$X$4),
  IF($S$3="nc",
     IF($T$3=1, Price35[[#This Row],[Net Cash]]+$W$5, Price35[[#This Row],[Net Cash]]+$X$5),
  IF($S$3="npc",
     IF($T$3=1, Price35[[#This Row],[Net Price Credit]]+$W$6, Price35[[#This Row],[Net Price Credit]]+$X$6),
  IF($S$3="w",
     IF($T$3=1, Price35[[#This Row],[Wsp]]+$W$6, Price35[[#This Row],[Wsp]]+$X$6),
  "")))),
10))</f>
        <v>1120</v>
      </c>
    </row>
    <row r="29" spans="1:26" x14ac:dyDescent="0.25">
      <c r="A29" s="68"/>
      <c r="B29" s="69">
        <v>960</v>
      </c>
      <c r="C29" s="70" t="s">
        <v>284</v>
      </c>
      <c r="D29" s="70" t="s">
        <v>493</v>
      </c>
      <c r="E29" s="70"/>
      <c r="F29" s="70" t="s">
        <v>88</v>
      </c>
      <c r="G29" s="71">
        <v>460</v>
      </c>
      <c r="H29" s="71"/>
      <c r="I29" s="71">
        <v>325</v>
      </c>
      <c r="J29" s="72">
        <f t="shared" si="0"/>
        <v>785</v>
      </c>
      <c r="K29" s="72">
        <f t="shared" si="1"/>
        <v>1010</v>
      </c>
      <c r="L29" s="72">
        <f t="shared" si="2"/>
        <v>1060</v>
      </c>
      <c r="M29" s="72">
        <f t="shared" si="3"/>
        <v>1250</v>
      </c>
      <c r="N29" s="72">
        <f t="shared" si="6"/>
        <v>980</v>
      </c>
      <c r="O29" s="72">
        <f t="shared" si="4"/>
        <v>1135</v>
      </c>
      <c r="P29" s="72">
        <f t="shared" si="5"/>
        <v>1860</v>
      </c>
      <c r="Q29" s="72">
        <f>IF($S$3="","",
MROUND(
  IF($S$3="m",
     IF($T$3=1, Price35[[#This Row],[Mrp]]+$W$4, Price35[[#This Row],[Mrp]]+$X$4),
  IF($S$3="nc",
     IF($T$3=1, Price35[[#This Row],[Net Cash]]+$W$5, Price35[[#This Row],[Net Cash]]+$X$5),
  IF($S$3="npc",
     IF($T$3=1, Price35[[#This Row],[Net Price Credit]]+$W$6, Price35[[#This Row],[Net Price Credit]]+$X$6),
  IF($S$3="w",
     IF($T$3=1, Price35[[#This Row],[Wsp]]+$W$6, Price35[[#This Row],[Wsp]]+$X$6),
  "")))),
10))</f>
        <v>1320</v>
      </c>
    </row>
    <row r="30" spans="1:26" x14ac:dyDescent="0.25">
      <c r="A30" s="68"/>
      <c r="B30" s="69">
        <v>962</v>
      </c>
      <c r="C30" s="70" t="s">
        <v>284</v>
      </c>
      <c r="D30" s="70" t="s">
        <v>493</v>
      </c>
      <c r="E30" s="70"/>
      <c r="F30" s="70" t="s">
        <v>1</v>
      </c>
      <c r="G30" s="71">
        <v>460</v>
      </c>
      <c r="H30" s="71"/>
      <c r="I30" s="71">
        <v>310</v>
      </c>
      <c r="J30" s="72">
        <f t="shared" si="0"/>
        <v>770</v>
      </c>
      <c r="K30" s="72">
        <f t="shared" si="1"/>
        <v>990</v>
      </c>
      <c r="L30" s="72">
        <f t="shared" si="2"/>
        <v>1040</v>
      </c>
      <c r="M30" s="72">
        <f t="shared" si="3"/>
        <v>1225</v>
      </c>
      <c r="N30" s="72">
        <f t="shared" si="6"/>
        <v>960</v>
      </c>
      <c r="O30" s="72">
        <f t="shared" si="4"/>
        <v>1115</v>
      </c>
      <c r="P30" s="72">
        <f t="shared" si="5"/>
        <v>1860</v>
      </c>
      <c r="Q30" s="72">
        <f>IF($S$3="","",
MROUND(
  IF($S$3="m",
     IF($T$3=1, Price35[[#This Row],[Mrp]]+$W$4, Price35[[#This Row],[Mrp]]+$X$4),
  IF($S$3="nc",
     IF($T$3=1, Price35[[#This Row],[Net Cash]]+$W$5, Price35[[#This Row],[Net Cash]]+$X$5),
  IF($S$3="npc",
     IF($T$3=1, Price35[[#This Row],[Net Price Credit]]+$W$6, Price35[[#This Row],[Net Price Credit]]+$X$6),
  IF($S$3="w",
     IF($T$3=1, Price35[[#This Row],[Wsp]]+$W$6, Price35[[#This Row],[Wsp]]+$X$6),
  "")))),
10))</f>
        <v>1300</v>
      </c>
    </row>
    <row r="31" spans="1:26" x14ac:dyDescent="0.25">
      <c r="A31" s="68"/>
      <c r="B31" s="69">
        <v>965</v>
      </c>
      <c r="C31" s="70" t="s">
        <v>284</v>
      </c>
      <c r="D31" s="70" t="s">
        <v>493</v>
      </c>
      <c r="E31" s="70"/>
      <c r="F31" s="70" t="s">
        <v>3</v>
      </c>
      <c r="G31" s="71">
        <v>390</v>
      </c>
      <c r="H31" s="71"/>
      <c r="I31" s="71">
        <v>165</v>
      </c>
      <c r="J31" s="72">
        <f t="shared" si="0"/>
        <v>555</v>
      </c>
      <c r="K31" s="72">
        <f t="shared" si="1"/>
        <v>715</v>
      </c>
      <c r="L31" s="72">
        <f t="shared" si="2"/>
        <v>750</v>
      </c>
      <c r="M31" s="72">
        <f t="shared" si="3"/>
        <v>875</v>
      </c>
      <c r="N31" s="72">
        <f t="shared" si="6"/>
        <v>690</v>
      </c>
      <c r="O31" s="72">
        <f t="shared" si="4"/>
        <v>805</v>
      </c>
      <c r="P31" s="72">
        <f t="shared" si="5"/>
        <v>1600</v>
      </c>
      <c r="Q31" s="72">
        <f>IF($S$3="","",
MROUND(
  IF($S$3="m",
     IF($T$3=1, Price35[[#This Row],[Mrp]]+$W$4, Price35[[#This Row],[Mrp]]+$X$4),
  IF($S$3="nc",
     IF($T$3=1, Price35[[#This Row],[Net Cash]]+$W$5, Price35[[#This Row],[Net Cash]]+$X$5),
  IF($S$3="npc",
     IF($T$3=1, Price35[[#This Row],[Net Price Credit]]+$W$6, Price35[[#This Row],[Net Price Credit]]+$X$6),
  IF($S$3="w",
     IF($T$3=1, Price35[[#This Row],[Wsp]]+$W$6, Price35[[#This Row],[Wsp]]+$X$6),
  "")))),
10))</f>
        <v>950</v>
      </c>
    </row>
    <row r="32" spans="1:26" x14ac:dyDescent="0.25">
      <c r="A32" s="68"/>
      <c r="B32" s="69">
        <v>968</v>
      </c>
      <c r="C32" s="70" t="s">
        <v>284</v>
      </c>
      <c r="D32" s="70" t="s">
        <v>493</v>
      </c>
      <c r="E32" s="70"/>
      <c r="F32" s="70" t="s">
        <v>1</v>
      </c>
      <c r="G32" s="71">
        <v>460</v>
      </c>
      <c r="H32" s="71"/>
      <c r="I32" s="71">
        <v>310</v>
      </c>
      <c r="J32" s="72">
        <f t="shared" si="0"/>
        <v>770</v>
      </c>
      <c r="K32" s="72">
        <f t="shared" si="1"/>
        <v>990</v>
      </c>
      <c r="L32" s="72">
        <f t="shared" si="2"/>
        <v>1040</v>
      </c>
      <c r="M32" s="72">
        <f t="shared" si="3"/>
        <v>1225</v>
      </c>
      <c r="N32" s="72">
        <f t="shared" si="6"/>
        <v>960</v>
      </c>
      <c r="O32" s="72">
        <f t="shared" si="4"/>
        <v>1115</v>
      </c>
      <c r="P32" s="72">
        <f t="shared" si="5"/>
        <v>1860</v>
      </c>
      <c r="Q32" s="72">
        <f>IF($S$3="","",
MROUND(
  IF($S$3="m",
     IF($T$3=1, Price35[[#This Row],[Mrp]]+$W$4, Price35[[#This Row],[Mrp]]+$X$4),
  IF($S$3="nc",
     IF($T$3=1, Price35[[#This Row],[Net Cash]]+$W$5, Price35[[#This Row],[Net Cash]]+$X$5),
  IF($S$3="npc",
     IF($T$3=1, Price35[[#This Row],[Net Price Credit]]+$W$6, Price35[[#This Row],[Net Price Credit]]+$X$6),
  IF($S$3="w",
     IF($T$3=1, Price35[[#This Row],[Wsp]]+$W$6, Price35[[#This Row],[Wsp]]+$X$6),
  "")))),
10))</f>
        <v>1300</v>
      </c>
    </row>
    <row r="33" spans="1:17" x14ac:dyDescent="0.25">
      <c r="A33" s="68"/>
      <c r="B33" s="69">
        <v>969</v>
      </c>
      <c r="C33" s="70" t="s">
        <v>284</v>
      </c>
      <c r="D33" s="70" t="s">
        <v>493</v>
      </c>
      <c r="E33" s="70"/>
      <c r="F33" s="70" t="s">
        <v>11</v>
      </c>
      <c r="G33" s="71">
        <v>390</v>
      </c>
      <c r="H33" s="71"/>
      <c r="I33" s="71">
        <v>210</v>
      </c>
      <c r="J33" s="72">
        <f t="shared" si="0"/>
        <v>600</v>
      </c>
      <c r="K33" s="72">
        <f t="shared" si="1"/>
        <v>770</v>
      </c>
      <c r="L33" s="72">
        <f t="shared" si="2"/>
        <v>810</v>
      </c>
      <c r="M33" s="72">
        <f t="shared" si="3"/>
        <v>950</v>
      </c>
      <c r="N33" s="72">
        <f t="shared" si="6"/>
        <v>750</v>
      </c>
      <c r="O33" s="72">
        <f t="shared" si="4"/>
        <v>870</v>
      </c>
      <c r="P33" s="72">
        <f t="shared" si="5"/>
        <v>1600</v>
      </c>
      <c r="Q33" s="72">
        <f>IF($S$3="","",
MROUND(
  IF($S$3="m",
     IF($T$3=1, Price35[[#This Row],[Mrp]]+$W$4, Price35[[#This Row],[Mrp]]+$X$4),
  IF($S$3="nc",
     IF($T$3=1, Price35[[#This Row],[Net Cash]]+$W$5, Price35[[#This Row],[Net Cash]]+$X$5),
  IF($S$3="npc",
     IF($T$3=1, Price35[[#This Row],[Net Price Credit]]+$W$6, Price35[[#This Row],[Net Price Credit]]+$X$6),
  IF($S$3="w",
     IF($T$3=1, Price35[[#This Row],[Wsp]]+$W$6, Price35[[#This Row],[Wsp]]+$X$6),
  "")))),
10))</f>
        <v>1020</v>
      </c>
    </row>
    <row r="34" spans="1:17" x14ac:dyDescent="0.25">
      <c r="A34" s="68"/>
      <c r="B34" s="69">
        <v>970</v>
      </c>
      <c r="C34" s="70" t="s">
        <v>284</v>
      </c>
      <c r="D34" s="70" t="s">
        <v>493</v>
      </c>
      <c r="E34" s="70"/>
      <c r="F34" s="70" t="s">
        <v>10</v>
      </c>
      <c r="G34" s="71">
        <v>460</v>
      </c>
      <c r="H34" s="71"/>
      <c r="I34" s="71">
        <v>375</v>
      </c>
      <c r="J34" s="72">
        <f t="shared" si="0"/>
        <v>835</v>
      </c>
      <c r="K34" s="72">
        <f t="shared" si="1"/>
        <v>1075</v>
      </c>
      <c r="L34" s="72">
        <f t="shared" si="2"/>
        <v>1130</v>
      </c>
      <c r="M34" s="72">
        <f t="shared" si="3"/>
        <v>1325</v>
      </c>
      <c r="N34" s="72">
        <f t="shared" si="6"/>
        <v>1040</v>
      </c>
      <c r="O34" s="72">
        <f t="shared" si="4"/>
        <v>1210</v>
      </c>
      <c r="P34" s="72">
        <f t="shared" si="5"/>
        <v>1860</v>
      </c>
      <c r="Q34" s="72">
        <f>IF($S$3="","",
MROUND(
  IF($S$3="m",
     IF($T$3=1, Price35[[#This Row],[Mrp]]+$W$4, Price35[[#This Row],[Mrp]]+$X$4),
  IF($S$3="nc",
     IF($T$3=1, Price35[[#This Row],[Net Cash]]+$W$5, Price35[[#This Row],[Net Cash]]+$X$5),
  IF($S$3="npc",
     IF($T$3=1, Price35[[#This Row],[Net Price Credit]]+$W$6, Price35[[#This Row],[Net Price Credit]]+$X$6),
  IF($S$3="w",
     IF($T$3=1, Price35[[#This Row],[Wsp]]+$W$6, Price35[[#This Row],[Wsp]]+$X$6),
  "")))),
10))</f>
        <v>1400</v>
      </c>
    </row>
    <row r="35" spans="1:17" x14ac:dyDescent="0.25">
      <c r="A35" s="68"/>
      <c r="B35" s="69">
        <v>971</v>
      </c>
      <c r="C35" s="70" t="s">
        <v>284</v>
      </c>
      <c r="D35" s="70" t="s">
        <v>493</v>
      </c>
      <c r="E35" s="70"/>
      <c r="F35" s="70" t="s">
        <v>2</v>
      </c>
      <c r="G35" s="71">
        <v>425</v>
      </c>
      <c r="H35" s="71"/>
      <c r="I35" s="71">
        <v>210</v>
      </c>
      <c r="J35" s="72">
        <f t="shared" si="0"/>
        <v>635</v>
      </c>
      <c r="K35" s="72">
        <f t="shared" si="1"/>
        <v>820</v>
      </c>
      <c r="L35" s="72">
        <f t="shared" si="2"/>
        <v>860</v>
      </c>
      <c r="M35" s="72">
        <f t="shared" si="3"/>
        <v>1025</v>
      </c>
      <c r="N35" s="72">
        <f t="shared" si="6"/>
        <v>795</v>
      </c>
      <c r="O35" s="72">
        <f t="shared" si="4"/>
        <v>925</v>
      </c>
      <c r="P35" s="72">
        <f t="shared" ref="P35:P51" si="15">IF((((G35*1.5)+50)/0.835)&lt;2500,
MROUND(((((G35*1.5)+50)/0.835)*1.05)*2,10),
MROUND(((((G35*1.5)+50)/0.835)*1.18)*2,10))</f>
        <v>1730</v>
      </c>
      <c r="Q35" s="72">
        <f>IF($S$3="","",
MROUND(
  IF($S$3="m",
     IF($T$3=1, Price35[[#This Row],[Mrp]]+$W$4, Price35[[#This Row],[Mrp]]+$X$4),
  IF($S$3="nc",
     IF($T$3=1, Price35[[#This Row],[Net Cash]]+$W$5, Price35[[#This Row],[Net Cash]]+$X$5),
  IF($S$3="npc",
     IF($T$3=1, Price35[[#This Row],[Net Price Credit]]+$W$6, Price35[[#This Row],[Net Price Credit]]+$X$6),
  IF($S$3="w",
     IF($T$3=1, Price35[[#This Row],[Wsp]]+$W$6, Price35[[#This Row],[Wsp]]+$X$6),
  "")))),
10))</f>
        <v>1100</v>
      </c>
    </row>
    <row r="36" spans="1:17" x14ac:dyDescent="0.25">
      <c r="A36" s="68"/>
      <c r="B36" s="69">
        <v>973</v>
      </c>
      <c r="C36" s="70" t="s">
        <v>284</v>
      </c>
      <c r="D36" s="70" t="s">
        <v>493</v>
      </c>
      <c r="E36" s="70"/>
      <c r="F36" s="70" t="s">
        <v>9</v>
      </c>
      <c r="G36" s="71">
        <v>460</v>
      </c>
      <c r="H36" s="71"/>
      <c r="I36" s="71">
        <v>340</v>
      </c>
      <c r="J36" s="72">
        <f t="shared" si="0"/>
        <v>800</v>
      </c>
      <c r="K36" s="72">
        <f t="shared" si="1"/>
        <v>1030</v>
      </c>
      <c r="L36" s="72">
        <f t="shared" si="2"/>
        <v>1080</v>
      </c>
      <c r="M36" s="72">
        <f t="shared" si="3"/>
        <v>1275</v>
      </c>
      <c r="N36" s="72">
        <f t="shared" si="6"/>
        <v>995</v>
      </c>
      <c r="O36" s="72">
        <f t="shared" si="4"/>
        <v>1160</v>
      </c>
      <c r="P36" s="72">
        <f t="shared" si="15"/>
        <v>1860</v>
      </c>
      <c r="Q36" s="72">
        <f>IF($S$3="","",
MROUND(
  IF($S$3="m",
     IF($T$3=1, Price35[[#This Row],[Mrp]]+$W$4, Price35[[#This Row],[Mrp]]+$X$4),
  IF($S$3="nc",
     IF($T$3=1, Price35[[#This Row],[Net Cash]]+$W$5, Price35[[#This Row],[Net Cash]]+$X$5),
  IF($S$3="npc",
     IF($T$3=1, Price35[[#This Row],[Net Price Credit]]+$W$6, Price35[[#This Row],[Net Price Credit]]+$X$6),
  IF($S$3="w",
     IF($T$3=1, Price35[[#This Row],[Wsp]]+$W$6, Price35[[#This Row],[Wsp]]+$X$6),
  "")))),
10))</f>
        <v>1350</v>
      </c>
    </row>
    <row r="37" spans="1:17" x14ac:dyDescent="0.25">
      <c r="A37" s="68"/>
      <c r="B37" s="69">
        <v>1004</v>
      </c>
      <c r="C37" s="70" t="s">
        <v>284</v>
      </c>
      <c r="D37" s="70" t="s">
        <v>493</v>
      </c>
      <c r="E37" s="70"/>
      <c r="F37" s="70" t="s">
        <v>8</v>
      </c>
      <c r="G37" s="71">
        <v>560</v>
      </c>
      <c r="H37" s="71"/>
      <c r="I37" s="71">
        <v>145</v>
      </c>
      <c r="J37" s="72">
        <f t="shared" si="0"/>
        <v>705</v>
      </c>
      <c r="K37" s="72">
        <f t="shared" si="1"/>
        <v>910</v>
      </c>
      <c r="L37" s="72">
        <f t="shared" si="2"/>
        <v>955</v>
      </c>
      <c r="M37" s="72">
        <f t="shared" si="3"/>
        <v>1125</v>
      </c>
      <c r="N37" s="72">
        <f t="shared" si="6"/>
        <v>880</v>
      </c>
      <c r="O37" s="72">
        <f t="shared" si="4"/>
        <v>1025</v>
      </c>
      <c r="P37" s="72">
        <f t="shared" si="15"/>
        <v>2240</v>
      </c>
      <c r="Q37" s="72">
        <f>IF($S$3="","",
MROUND(
  IF($S$3="m",
     IF($T$3=1, Price35[[#This Row],[Mrp]]+$W$4, Price35[[#This Row],[Mrp]]+$X$4),
  IF($S$3="nc",
     IF($T$3=1, Price35[[#This Row],[Net Cash]]+$W$5, Price35[[#This Row],[Net Cash]]+$X$5),
  IF($S$3="npc",
     IF($T$3=1, Price35[[#This Row],[Net Price Credit]]+$W$6, Price35[[#This Row],[Net Price Credit]]+$X$6),
  IF($S$3="w",
     IF($T$3=1, Price35[[#This Row],[Wsp]]+$W$6, Price35[[#This Row],[Wsp]]+$X$6),
  "")))),
10))</f>
        <v>1200</v>
      </c>
    </row>
    <row r="38" spans="1:17" x14ac:dyDescent="0.25">
      <c r="A38" s="68">
        <v>2026</v>
      </c>
      <c r="B38" s="69">
        <v>1005</v>
      </c>
      <c r="C38" s="70" t="s">
        <v>284</v>
      </c>
      <c r="D38" s="70" t="s">
        <v>493</v>
      </c>
      <c r="E38" s="70" t="s">
        <v>995</v>
      </c>
      <c r="F38" s="70" t="s">
        <v>106</v>
      </c>
      <c r="G38" s="71">
        <v>460</v>
      </c>
      <c r="H38" s="71"/>
      <c r="I38" s="71">
        <v>300</v>
      </c>
      <c r="J38" s="72">
        <f t="shared" si="0"/>
        <v>760</v>
      </c>
      <c r="K38" s="72">
        <f t="shared" si="1"/>
        <v>980</v>
      </c>
      <c r="L38" s="72">
        <f t="shared" si="2"/>
        <v>1030</v>
      </c>
      <c r="M38" s="72">
        <f t="shared" si="3"/>
        <v>1200</v>
      </c>
      <c r="N38" s="72">
        <f t="shared" si="6"/>
        <v>950</v>
      </c>
      <c r="O38" s="72">
        <f t="shared" si="4"/>
        <v>1105</v>
      </c>
      <c r="P38" s="72">
        <f t="shared" si="15"/>
        <v>1860</v>
      </c>
      <c r="Q38" s="72">
        <f>IF($S$3="","",
MROUND(
  IF($S$3="m",
     IF($T$3=1, Price35[[#This Row],[Mrp]]+$W$4, Price35[[#This Row],[Mrp]]+$X$4),
  IF($S$3="nc",
     IF($T$3=1, Price35[[#This Row],[Net Cash]]+$W$5, Price35[[#This Row],[Net Cash]]+$X$5),
  IF($S$3="npc",
     IF($T$3=1, Price35[[#This Row],[Net Price Credit]]+$W$6, Price35[[#This Row],[Net Price Credit]]+$X$6),
  IF($S$3="w",
     IF($T$3=1, Price35[[#This Row],[Wsp]]+$W$6, Price35[[#This Row],[Wsp]]+$X$6),
  "")))),
10))</f>
        <v>1270</v>
      </c>
    </row>
    <row r="39" spans="1:17" x14ac:dyDescent="0.25">
      <c r="A39" s="68">
        <v>2026</v>
      </c>
      <c r="B39" s="69">
        <v>1006</v>
      </c>
      <c r="C39" s="70" t="s">
        <v>284</v>
      </c>
      <c r="D39" s="70" t="s">
        <v>493</v>
      </c>
      <c r="E39" s="70"/>
      <c r="F39" s="70" t="s">
        <v>90</v>
      </c>
      <c r="G39" s="71">
        <v>550</v>
      </c>
      <c r="H39" s="71"/>
      <c r="I39" s="71">
        <v>400</v>
      </c>
      <c r="J39" s="72">
        <f t="shared" si="0"/>
        <v>950</v>
      </c>
      <c r="K39" s="72">
        <f t="shared" si="1"/>
        <v>1225</v>
      </c>
      <c r="L39" s="72">
        <f t="shared" si="2"/>
        <v>1285</v>
      </c>
      <c r="M39" s="72">
        <f t="shared" si="3"/>
        <v>1500</v>
      </c>
      <c r="N39" s="72">
        <f t="shared" si="6"/>
        <v>1185</v>
      </c>
      <c r="O39" s="72">
        <f t="shared" si="4"/>
        <v>1375</v>
      </c>
      <c r="P39" s="72">
        <f t="shared" si="15"/>
        <v>2200</v>
      </c>
      <c r="Q39" s="72">
        <f>IF($S$3="","",
MROUND(
  IF($S$3="m",
     IF($T$3=1, Price35[[#This Row],[Mrp]]+$W$4, Price35[[#This Row],[Mrp]]+$X$4),
  IF($S$3="nc",
     IF($T$3=1, Price35[[#This Row],[Net Cash]]+$W$5, Price35[[#This Row],[Net Cash]]+$X$5),
  IF($S$3="npc",
     IF($T$3=1, Price35[[#This Row],[Net Price Credit]]+$W$6, Price35[[#This Row],[Net Price Credit]]+$X$6),
  IF($S$3="w",
     IF($T$3=1, Price35[[#This Row],[Wsp]]+$W$6, Price35[[#This Row],[Wsp]]+$X$6),
  "")))),
10))</f>
        <v>1570</v>
      </c>
    </row>
    <row r="40" spans="1:17" x14ac:dyDescent="0.25">
      <c r="A40" s="68"/>
      <c r="B40" s="69">
        <v>1007</v>
      </c>
      <c r="C40" s="70" t="s">
        <v>284</v>
      </c>
      <c r="D40" s="70" t="s">
        <v>493</v>
      </c>
      <c r="E40" s="70"/>
      <c r="F40" s="70" t="s">
        <v>13</v>
      </c>
      <c r="G40" s="71">
        <v>560</v>
      </c>
      <c r="H40" s="71"/>
      <c r="I40" s="71">
        <v>210</v>
      </c>
      <c r="J40" s="72">
        <f t="shared" si="0"/>
        <v>770</v>
      </c>
      <c r="K40" s="72">
        <f t="shared" si="1"/>
        <v>990</v>
      </c>
      <c r="L40" s="72">
        <f t="shared" si="2"/>
        <v>1040</v>
      </c>
      <c r="M40" s="72">
        <f t="shared" si="3"/>
        <v>1225</v>
      </c>
      <c r="N40" s="72">
        <f t="shared" si="6"/>
        <v>960</v>
      </c>
      <c r="O40" s="72">
        <f t="shared" si="4"/>
        <v>1115</v>
      </c>
      <c r="P40" s="72">
        <f t="shared" si="15"/>
        <v>2240</v>
      </c>
      <c r="Q40" s="72">
        <f>IF($S$3="","",
MROUND(
  IF($S$3="m",
     IF($T$3=1, Price35[[#This Row],[Mrp]]+$W$4, Price35[[#This Row],[Mrp]]+$X$4),
  IF($S$3="nc",
     IF($T$3=1, Price35[[#This Row],[Net Cash]]+$W$5, Price35[[#This Row],[Net Cash]]+$X$5),
  IF($S$3="npc",
     IF($T$3=1, Price35[[#This Row],[Net Price Credit]]+$W$6, Price35[[#This Row],[Net Price Credit]]+$X$6),
  IF($S$3="w",
     IF($T$3=1, Price35[[#This Row],[Wsp]]+$W$6, Price35[[#This Row],[Wsp]]+$X$6),
  "")))),
10))</f>
        <v>1300</v>
      </c>
    </row>
    <row r="41" spans="1:17" x14ac:dyDescent="0.25">
      <c r="A41" s="68"/>
      <c r="B41" s="69">
        <v>1008</v>
      </c>
      <c r="C41" s="70" t="s">
        <v>284</v>
      </c>
      <c r="D41" s="70" t="s">
        <v>493</v>
      </c>
      <c r="E41" s="70"/>
      <c r="F41" s="70" t="s">
        <v>107</v>
      </c>
      <c r="G41" s="71">
        <v>460</v>
      </c>
      <c r="H41" s="71"/>
      <c r="I41" s="71">
        <v>400</v>
      </c>
      <c r="J41" s="72">
        <f t="shared" si="0"/>
        <v>860</v>
      </c>
      <c r="K41" s="72">
        <f t="shared" si="1"/>
        <v>1110</v>
      </c>
      <c r="L41" s="72">
        <f t="shared" si="2"/>
        <v>1165</v>
      </c>
      <c r="M41" s="72">
        <f t="shared" si="3"/>
        <v>1375</v>
      </c>
      <c r="N41" s="72">
        <f t="shared" si="6"/>
        <v>1075</v>
      </c>
      <c r="O41" s="72">
        <f t="shared" si="4"/>
        <v>1250</v>
      </c>
      <c r="P41" s="72">
        <f t="shared" si="15"/>
        <v>1860</v>
      </c>
      <c r="Q41" s="72">
        <f>IF($S$3="","",
MROUND(
  IF($S$3="m",
     IF($T$3=1, Price35[[#This Row],[Mrp]]+$W$4, Price35[[#This Row],[Mrp]]+$X$4),
  IF($S$3="nc",
     IF($T$3=1, Price35[[#This Row],[Net Cash]]+$W$5, Price35[[#This Row],[Net Cash]]+$X$5),
  IF($S$3="npc",
     IF($T$3=1, Price35[[#This Row],[Net Price Credit]]+$W$6, Price35[[#This Row],[Net Price Credit]]+$X$6),
  IF($S$3="w",
     IF($T$3=1, Price35[[#This Row],[Wsp]]+$W$6, Price35[[#This Row],[Wsp]]+$X$6),
  "")))),
10))</f>
        <v>1450</v>
      </c>
    </row>
    <row r="42" spans="1:17" x14ac:dyDescent="0.25">
      <c r="A42" s="68"/>
      <c r="B42" s="69">
        <v>1009</v>
      </c>
      <c r="C42" s="70" t="s">
        <v>284</v>
      </c>
      <c r="D42" s="70" t="s">
        <v>493</v>
      </c>
      <c r="E42" s="70"/>
      <c r="F42" s="70" t="s">
        <v>14</v>
      </c>
      <c r="G42" s="71">
        <v>470</v>
      </c>
      <c r="H42" s="71"/>
      <c r="I42" s="71">
        <v>165</v>
      </c>
      <c r="J42" s="72">
        <f t="shared" si="0"/>
        <v>635</v>
      </c>
      <c r="K42" s="72">
        <f t="shared" si="1"/>
        <v>820</v>
      </c>
      <c r="L42" s="72">
        <f t="shared" si="2"/>
        <v>860</v>
      </c>
      <c r="M42" s="72">
        <f t="shared" si="3"/>
        <v>1025</v>
      </c>
      <c r="N42" s="72">
        <f t="shared" si="6"/>
        <v>795</v>
      </c>
      <c r="O42" s="72">
        <f t="shared" si="4"/>
        <v>925</v>
      </c>
      <c r="P42" s="72">
        <f t="shared" si="15"/>
        <v>1900</v>
      </c>
      <c r="Q42" s="72">
        <f>IF($S$3="","",
MROUND(
  IF($S$3="m",
     IF($T$3=1, Price35[[#This Row],[Mrp]]+$W$4, Price35[[#This Row],[Mrp]]+$X$4),
  IF($S$3="nc",
     IF($T$3=1, Price35[[#This Row],[Net Cash]]+$W$5, Price35[[#This Row],[Net Cash]]+$X$5),
  IF($S$3="npc",
     IF($T$3=1, Price35[[#This Row],[Net Price Credit]]+$W$6, Price35[[#This Row],[Net Price Credit]]+$X$6),
  IF($S$3="w",
     IF($T$3=1, Price35[[#This Row],[Wsp]]+$W$6, Price35[[#This Row],[Wsp]]+$X$6),
  "")))),
10))</f>
        <v>1100</v>
      </c>
    </row>
    <row r="43" spans="1:17" x14ac:dyDescent="0.25">
      <c r="A43" s="68"/>
      <c r="B43" s="69">
        <v>1011</v>
      </c>
      <c r="C43" s="70" t="s">
        <v>284</v>
      </c>
      <c r="D43" s="70" t="s">
        <v>493</v>
      </c>
      <c r="E43" s="70"/>
      <c r="F43" s="70" t="s">
        <v>17</v>
      </c>
      <c r="G43" s="71">
        <v>630</v>
      </c>
      <c r="H43" s="71"/>
      <c r="I43" s="71">
        <v>130</v>
      </c>
      <c r="J43" s="72">
        <f t="shared" si="0"/>
        <v>760</v>
      </c>
      <c r="K43" s="72">
        <f t="shared" si="1"/>
        <v>980</v>
      </c>
      <c r="L43" s="72">
        <f t="shared" si="2"/>
        <v>1030</v>
      </c>
      <c r="M43" s="72">
        <f t="shared" si="3"/>
        <v>1200</v>
      </c>
      <c r="N43" s="72">
        <f t="shared" si="6"/>
        <v>950</v>
      </c>
      <c r="O43" s="72">
        <f t="shared" si="4"/>
        <v>1105</v>
      </c>
      <c r="P43" s="72">
        <f t="shared" si="15"/>
        <v>2500</v>
      </c>
      <c r="Q43" s="72">
        <f>IF($S$3="","",
MROUND(
  IF($S$3="m",
     IF($T$3=1, Price35[[#This Row],[Mrp]]+$W$4, Price35[[#This Row],[Mrp]]+$X$4),
  IF($S$3="nc",
     IF($T$3=1, Price35[[#This Row],[Net Cash]]+$W$5, Price35[[#This Row],[Net Cash]]+$X$5),
  IF($S$3="npc",
     IF($T$3=1, Price35[[#This Row],[Net Price Credit]]+$W$6, Price35[[#This Row],[Net Price Credit]]+$X$6),
  IF($S$3="w",
     IF($T$3=1, Price35[[#This Row],[Wsp]]+$W$6, Price35[[#This Row],[Wsp]]+$X$6),
  "")))),
10))</f>
        <v>1270</v>
      </c>
    </row>
    <row r="44" spans="1:17" x14ac:dyDescent="0.25">
      <c r="A44" s="68">
        <v>2026</v>
      </c>
      <c r="B44" s="69">
        <v>1012</v>
      </c>
      <c r="C44" s="70" t="s">
        <v>284</v>
      </c>
      <c r="D44" s="70" t="s">
        <v>493</v>
      </c>
      <c r="E44" s="70" t="s">
        <v>995</v>
      </c>
      <c r="F44" s="70" t="s">
        <v>173</v>
      </c>
      <c r="G44" s="71">
        <v>550</v>
      </c>
      <c r="H44" s="71"/>
      <c r="I44" s="71">
        <v>300</v>
      </c>
      <c r="J44" s="72">
        <f t="shared" si="0"/>
        <v>850</v>
      </c>
      <c r="K44" s="72">
        <f t="shared" si="1"/>
        <v>1095</v>
      </c>
      <c r="L44" s="72">
        <f t="shared" si="2"/>
        <v>1150</v>
      </c>
      <c r="M44" s="72">
        <f t="shared" si="3"/>
        <v>1350</v>
      </c>
      <c r="N44" s="72">
        <f t="shared" si="6"/>
        <v>1060</v>
      </c>
      <c r="O44" s="72">
        <f t="shared" si="4"/>
        <v>1235</v>
      </c>
      <c r="P44" s="72">
        <f t="shared" si="15"/>
        <v>2200</v>
      </c>
      <c r="Q44" s="72">
        <f>IF($S$3="","",
MROUND(
  IF($S$3="m",
     IF($T$3=1, Price35[[#This Row],[Mrp]]+$W$4, Price35[[#This Row],[Mrp]]+$X$4),
  IF($S$3="nc",
     IF($T$3=1, Price35[[#This Row],[Net Cash]]+$W$5, Price35[[#This Row],[Net Cash]]+$X$5),
  IF($S$3="npc",
     IF($T$3=1, Price35[[#This Row],[Net Price Credit]]+$W$6, Price35[[#This Row],[Net Price Credit]]+$X$6),
  IF($S$3="w",
     IF($T$3=1, Price35[[#This Row],[Wsp]]+$W$6, Price35[[#This Row],[Wsp]]+$X$6),
  "")))),
10))</f>
        <v>1420</v>
      </c>
    </row>
    <row r="45" spans="1:17" x14ac:dyDescent="0.25">
      <c r="A45" s="68">
        <v>2026</v>
      </c>
      <c r="B45" s="69">
        <v>1016</v>
      </c>
      <c r="C45" s="70" t="s">
        <v>284</v>
      </c>
      <c r="D45" s="70" t="s">
        <v>493</v>
      </c>
      <c r="E45" s="70"/>
      <c r="F45" s="70" t="s">
        <v>996</v>
      </c>
      <c r="G45" s="71">
        <v>550</v>
      </c>
      <c r="H45" s="71"/>
      <c r="I45" s="71">
        <v>300</v>
      </c>
      <c r="J45" s="72">
        <f t="shared" si="0"/>
        <v>850</v>
      </c>
      <c r="K45" s="72">
        <f t="shared" si="1"/>
        <v>1095</v>
      </c>
      <c r="L45" s="72">
        <f t="shared" si="2"/>
        <v>1150</v>
      </c>
      <c r="M45" s="72">
        <f t="shared" si="3"/>
        <v>1350</v>
      </c>
      <c r="N45" s="72">
        <f t="shared" si="6"/>
        <v>1060</v>
      </c>
      <c r="O45" s="72">
        <f t="shared" si="4"/>
        <v>1235</v>
      </c>
      <c r="P45" s="72">
        <f t="shared" si="15"/>
        <v>2200</v>
      </c>
      <c r="Q45" s="72">
        <f>IF($S$3="","",
MROUND(
  IF($S$3="m",
     IF($T$3=1, Price35[[#This Row],[Mrp]]+$W$4, Price35[[#This Row],[Mrp]]+$X$4),
  IF($S$3="nc",
     IF($T$3=1, Price35[[#This Row],[Net Cash]]+$W$5, Price35[[#This Row],[Net Cash]]+$X$5),
  IF($S$3="npc",
     IF($T$3=1, Price35[[#This Row],[Net Price Credit]]+$W$6, Price35[[#This Row],[Net Price Credit]]+$X$6),
  IF($S$3="w",
     IF($T$3=1, Price35[[#This Row],[Wsp]]+$W$6, Price35[[#This Row],[Wsp]]+$X$6),
  "")))),
10))</f>
        <v>1420</v>
      </c>
    </row>
    <row r="46" spans="1:17" x14ac:dyDescent="0.25">
      <c r="A46" s="68"/>
      <c r="B46" s="69">
        <v>1017</v>
      </c>
      <c r="C46" s="70" t="s">
        <v>284</v>
      </c>
      <c r="D46" s="70" t="s">
        <v>493</v>
      </c>
      <c r="E46" s="70"/>
      <c r="F46" s="70" t="s">
        <v>15</v>
      </c>
      <c r="G46" s="71">
        <v>470</v>
      </c>
      <c r="H46" s="71"/>
      <c r="I46" s="71">
        <v>175</v>
      </c>
      <c r="J46" s="72">
        <f t="shared" si="0"/>
        <v>645</v>
      </c>
      <c r="K46" s="72">
        <f t="shared" si="1"/>
        <v>835</v>
      </c>
      <c r="L46" s="72">
        <f t="shared" si="2"/>
        <v>875</v>
      </c>
      <c r="M46" s="72">
        <f t="shared" si="3"/>
        <v>1025</v>
      </c>
      <c r="N46" s="72">
        <f t="shared" si="6"/>
        <v>805</v>
      </c>
      <c r="O46" s="72">
        <f t="shared" si="4"/>
        <v>940</v>
      </c>
      <c r="P46" s="72">
        <f t="shared" si="15"/>
        <v>1900</v>
      </c>
      <c r="Q46" s="72">
        <f>IF($S$3="","",
MROUND(
  IF($S$3="m",
     IF($T$3=1, Price35[[#This Row],[Mrp]]+$W$4, Price35[[#This Row],[Mrp]]+$X$4),
  IF($S$3="nc",
     IF($T$3=1, Price35[[#This Row],[Net Cash]]+$W$5, Price35[[#This Row],[Net Cash]]+$X$5),
  IF($S$3="npc",
     IF($T$3=1, Price35[[#This Row],[Net Price Credit]]+$W$6, Price35[[#This Row],[Net Price Credit]]+$X$6),
  IF($S$3="w",
     IF($T$3=1, Price35[[#This Row],[Wsp]]+$W$6, Price35[[#This Row],[Wsp]]+$X$6),
  "")))),
10))</f>
        <v>1100</v>
      </c>
    </row>
    <row r="47" spans="1:17" x14ac:dyDescent="0.25">
      <c r="A47" s="68"/>
      <c r="B47" s="69">
        <v>1018</v>
      </c>
      <c r="C47" s="70" t="s">
        <v>284</v>
      </c>
      <c r="D47" s="70" t="s">
        <v>493</v>
      </c>
      <c r="E47" s="70"/>
      <c r="F47" s="70" t="s">
        <v>18</v>
      </c>
      <c r="G47" s="71">
        <v>470</v>
      </c>
      <c r="H47" s="71"/>
      <c r="I47" s="71">
        <v>120</v>
      </c>
      <c r="J47" s="72">
        <f t="shared" si="0"/>
        <v>590</v>
      </c>
      <c r="K47" s="72">
        <f t="shared" si="1"/>
        <v>760</v>
      </c>
      <c r="L47" s="72">
        <f t="shared" si="2"/>
        <v>800</v>
      </c>
      <c r="M47" s="72">
        <f t="shared" si="3"/>
        <v>950</v>
      </c>
      <c r="N47" s="72">
        <f t="shared" si="6"/>
        <v>740</v>
      </c>
      <c r="O47" s="72">
        <f t="shared" si="4"/>
        <v>860</v>
      </c>
      <c r="P47" s="72">
        <f t="shared" si="15"/>
        <v>1900</v>
      </c>
      <c r="Q47" s="72">
        <f>IF($S$3="","",
MROUND(
  IF($S$3="m",
     IF($T$3=1, Price35[[#This Row],[Mrp]]+$W$4, Price35[[#This Row],[Mrp]]+$X$4),
  IF($S$3="nc",
     IF($T$3=1, Price35[[#This Row],[Net Cash]]+$W$5, Price35[[#This Row],[Net Cash]]+$X$5),
  IF($S$3="npc",
     IF($T$3=1, Price35[[#This Row],[Net Price Credit]]+$W$6, Price35[[#This Row],[Net Price Credit]]+$X$6),
  IF($S$3="w",
     IF($T$3=1, Price35[[#This Row],[Wsp]]+$W$6, Price35[[#This Row],[Wsp]]+$X$6),
  "")))),
10))</f>
        <v>1020</v>
      </c>
    </row>
    <row r="48" spans="1:17" x14ac:dyDescent="0.25">
      <c r="A48" s="68"/>
      <c r="B48" s="69">
        <v>1019</v>
      </c>
      <c r="C48" s="70" t="s">
        <v>284</v>
      </c>
      <c r="D48" s="70" t="s">
        <v>493</v>
      </c>
      <c r="E48" s="70"/>
      <c r="F48" s="70" t="s">
        <v>5</v>
      </c>
      <c r="G48" s="71">
        <v>600</v>
      </c>
      <c r="H48" s="71"/>
      <c r="I48" s="71">
        <v>15</v>
      </c>
      <c r="J48" s="72">
        <f t="shared" si="0"/>
        <v>615</v>
      </c>
      <c r="K48" s="72">
        <f t="shared" si="1"/>
        <v>795</v>
      </c>
      <c r="L48" s="72">
        <f t="shared" si="2"/>
        <v>835</v>
      </c>
      <c r="M48" s="72">
        <f t="shared" si="3"/>
        <v>975</v>
      </c>
      <c r="N48" s="72">
        <f t="shared" si="6"/>
        <v>770</v>
      </c>
      <c r="O48" s="72">
        <f t="shared" si="4"/>
        <v>895</v>
      </c>
      <c r="P48" s="72">
        <f t="shared" si="15"/>
        <v>2390</v>
      </c>
      <c r="Q48" s="72">
        <f>IF($S$3="","",
MROUND(
  IF($S$3="m",
     IF($T$3=1, Price35[[#This Row],[Mrp]]+$W$4, Price35[[#This Row],[Mrp]]+$X$4),
  IF($S$3="nc",
     IF($T$3=1, Price35[[#This Row],[Net Cash]]+$W$5, Price35[[#This Row],[Net Cash]]+$X$5),
  IF($S$3="npc",
     IF($T$3=1, Price35[[#This Row],[Net Price Credit]]+$W$6, Price35[[#This Row],[Net Price Credit]]+$X$6),
  IF($S$3="w",
     IF($T$3=1, Price35[[#This Row],[Wsp]]+$W$6, Price35[[#This Row],[Wsp]]+$X$6),
  "")))),
10))</f>
        <v>1050</v>
      </c>
    </row>
    <row r="49" spans="1:17" x14ac:dyDescent="0.25">
      <c r="A49" s="68">
        <v>2026</v>
      </c>
      <c r="B49" s="69">
        <v>1020</v>
      </c>
      <c r="C49" s="70" t="s">
        <v>284</v>
      </c>
      <c r="D49" s="70" t="s">
        <v>493</v>
      </c>
      <c r="E49" s="70" t="s">
        <v>995</v>
      </c>
      <c r="F49" s="70" t="s">
        <v>35</v>
      </c>
      <c r="G49" s="71">
        <v>460</v>
      </c>
      <c r="H49" s="71"/>
      <c r="I49" s="71">
        <v>300</v>
      </c>
      <c r="J49" s="72">
        <f t="shared" si="0"/>
        <v>760</v>
      </c>
      <c r="K49" s="72">
        <f t="shared" si="1"/>
        <v>980</v>
      </c>
      <c r="L49" s="72">
        <f t="shared" si="2"/>
        <v>1030</v>
      </c>
      <c r="M49" s="72">
        <f t="shared" si="3"/>
        <v>1200</v>
      </c>
      <c r="N49" s="72">
        <f t="shared" si="6"/>
        <v>950</v>
      </c>
      <c r="O49" s="72">
        <f t="shared" si="4"/>
        <v>1105</v>
      </c>
      <c r="P49" s="72">
        <f t="shared" si="15"/>
        <v>1860</v>
      </c>
      <c r="Q49" s="72">
        <f>IF($S$3="","",
MROUND(
  IF($S$3="m",
     IF($T$3=1, Price35[[#This Row],[Mrp]]+$W$4, Price35[[#This Row],[Mrp]]+$X$4),
  IF($S$3="nc",
     IF($T$3=1, Price35[[#This Row],[Net Cash]]+$W$5, Price35[[#This Row],[Net Cash]]+$X$5),
  IF($S$3="npc",
     IF($T$3=1, Price35[[#This Row],[Net Price Credit]]+$W$6, Price35[[#This Row],[Net Price Credit]]+$X$6),
  IF($S$3="w",
     IF($T$3=1, Price35[[#This Row],[Wsp]]+$W$6, Price35[[#This Row],[Wsp]]+$X$6),
  "")))),
10))</f>
        <v>1270</v>
      </c>
    </row>
    <row r="50" spans="1:17" x14ac:dyDescent="0.25">
      <c r="A50" s="68"/>
      <c r="B50" s="69">
        <v>1021</v>
      </c>
      <c r="C50" s="70" t="s">
        <v>284</v>
      </c>
      <c r="D50" s="70" t="s">
        <v>493</v>
      </c>
      <c r="E50" s="70"/>
      <c r="F50" s="70" t="s">
        <v>19</v>
      </c>
      <c r="G50" s="71">
        <v>720</v>
      </c>
      <c r="H50" s="71"/>
      <c r="I50" s="71">
        <v>300</v>
      </c>
      <c r="J50" s="72">
        <f t="shared" si="0"/>
        <v>1020</v>
      </c>
      <c r="K50" s="72">
        <f t="shared" si="1"/>
        <v>1315</v>
      </c>
      <c r="L50" s="72">
        <f t="shared" si="2"/>
        <v>1380</v>
      </c>
      <c r="M50" s="72">
        <f t="shared" si="3"/>
        <v>1625</v>
      </c>
      <c r="N50" s="72">
        <f t="shared" si="6"/>
        <v>1270</v>
      </c>
      <c r="O50" s="72">
        <f t="shared" si="4"/>
        <v>1480</v>
      </c>
      <c r="P50" s="72">
        <f t="shared" si="15"/>
        <v>2840</v>
      </c>
      <c r="Q50" s="72">
        <f>IF($S$3="","",
MROUND(
  IF($S$3="m",
     IF($T$3=1, Price35[[#This Row],[Mrp]]+$W$4, Price35[[#This Row],[Mrp]]+$X$4),
  IF($S$3="nc",
     IF($T$3=1, Price35[[#This Row],[Net Cash]]+$W$5, Price35[[#This Row],[Net Cash]]+$X$5),
  IF($S$3="npc",
     IF($T$3=1, Price35[[#This Row],[Net Price Credit]]+$W$6, Price35[[#This Row],[Net Price Credit]]+$X$6),
  IF($S$3="w",
     IF($T$3=1, Price35[[#This Row],[Wsp]]+$W$6, Price35[[#This Row],[Wsp]]+$X$6),
  "")))),
10))</f>
        <v>1700</v>
      </c>
    </row>
    <row r="51" spans="1:17" x14ac:dyDescent="0.25">
      <c r="A51" s="68"/>
      <c r="B51" s="69">
        <v>1030</v>
      </c>
      <c r="C51" s="70" t="s">
        <v>284</v>
      </c>
      <c r="D51" s="70" t="s">
        <v>493</v>
      </c>
      <c r="E51" s="70"/>
      <c r="F51" s="70" t="s">
        <v>20</v>
      </c>
      <c r="G51" s="71">
        <v>560</v>
      </c>
      <c r="H51" s="71"/>
      <c r="I51" s="71">
        <v>130</v>
      </c>
      <c r="J51" s="72">
        <f t="shared" si="0"/>
        <v>690</v>
      </c>
      <c r="K51" s="72">
        <f t="shared" si="1"/>
        <v>890</v>
      </c>
      <c r="L51" s="72">
        <f t="shared" si="2"/>
        <v>935</v>
      </c>
      <c r="M51" s="72">
        <f t="shared" si="3"/>
        <v>1100</v>
      </c>
      <c r="N51" s="72">
        <f t="shared" si="6"/>
        <v>865</v>
      </c>
      <c r="O51" s="72">
        <f t="shared" si="4"/>
        <v>1005</v>
      </c>
      <c r="P51" s="72">
        <f t="shared" si="15"/>
        <v>2240</v>
      </c>
      <c r="Q51" s="72">
        <f>IF($S$3="","",
MROUND(
  IF($S$3="m",
     IF($T$3=1, Price35[[#This Row],[Mrp]]+$W$4, Price35[[#This Row],[Mrp]]+$X$4),
  IF($S$3="nc",
     IF($T$3=1, Price35[[#This Row],[Net Cash]]+$W$5, Price35[[#This Row],[Net Cash]]+$X$5),
  IF($S$3="npc",
     IF($T$3=1, Price35[[#This Row],[Net Price Credit]]+$W$6, Price35[[#This Row],[Net Price Credit]]+$X$6),
  IF($S$3="w",
     IF($T$3=1, Price35[[#This Row],[Wsp]]+$W$6, Price35[[#This Row],[Wsp]]+$X$6),
  "")))),
10))</f>
        <v>1170</v>
      </c>
    </row>
    <row r="52" spans="1:17" x14ac:dyDescent="0.25">
      <c r="A52" s="1"/>
      <c r="B52" s="18"/>
      <c r="C52" s="19"/>
      <c r="D52" s="19"/>
      <c r="E52" s="19"/>
      <c r="F52" s="19"/>
    </row>
    <row r="53" spans="1:17" x14ac:dyDescent="0.25">
      <c r="A53" s="1"/>
      <c r="B53" s="18"/>
      <c r="C53" s="19"/>
      <c r="D53" s="19"/>
      <c r="E53" s="19"/>
      <c r="F53" s="19"/>
    </row>
    <row r="54" spans="1:17" x14ac:dyDescent="0.25">
      <c r="A54" s="1" t="s">
        <v>697</v>
      </c>
      <c r="B54" s="18" t="s">
        <v>696</v>
      </c>
      <c r="C54" s="19" t="s">
        <v>427</v>
      </c>
      <c r="D54" s="19" t="s">
        <v>503</v>
      </c>
      <c r="E54" s="19" t="s">
        <v>123</v>
      </c>
      <c r="F54" s="19" t="s">
        <v>747</v>
      </c>
      <c r="G54" s="20" t="s">
        <v>748</v>
      </c>
      <c r="H54" s="20" t="s">
        <v>749</v>
      </c>
      <c r="I54" s="20" t="s">
        <v>750</v>
      </c>
      <c r="J54" s="4" t="s">
        <v>703</v>
      </c>
      <c r="K54" s="4" t="s">
        <v>751</v>
      </c>
      <c r="L54" s="4" t="s">
        <v>752</v>
      </c>
      <c r="M54" s="4" t="s">
        <v>432</v>
      </c>
      <c r="N54" s="4" t="s">
        <v>753</v>
      </c>
      <c r="O54" s="4" t="s">
        <v>754</v>
      </c>
      <c r="P54" s="4" t="s">
        <v>918</v>
      </c>
      <c r="Q54" s="72" t="s">
        <v>951</v>
      </c>
    </row>
    <row r="55" spans="1:17" x14ac:dyDescent="0.25">
      <c r="A55" s="1">
        <v>2026</v>
      </c>
      <c r="B55" s="18">
        <v>105</v>
      </c>
      <c r="C55" s="19" t="s">
        <v>284</v>
      </c>
      <c r="D55" s="19" t="s">
        <v>497</v>
      </c>
      <c r="E55" s="19" t="s">
        <v>132</v>
      </c>
      <c r="F55" s="19" t="s">
        <v>567</v>
      </c>
      <c r="G55" s="20">
        <v>12500</v>
      </c>
      <c r="I55" s="20">
        <v>50</v>
      </c>
      <c r="J55" s="4">
        <f t="shared" ref="J55:J127" si="16">IF(SUMIF(G55:I55,"&lt;&gt;")=0,"",SUM(G55:I55))</f>
        <v>12550</v>
      </c>
      <c r="K55" s="4">
        <f t="shared" ref="K55:K124" si="17">IF(ISNUMBER(L55),
   IF(CEILING(ROUND(L55*0.95,2),5)=420,
      425,
      CEILING(ROUND(L55*0.95,2),5)
   ),
   ""
)</f>
        <v>15500</v>
      </c>
      <c r="L55" s="4">
        <f t="shared" ref="L55:L124" si="18">IF(AND(ISNUMBER(J55),ISNUMBER(G55)),
   IF(CEILING(ROUND(J55*1.3,2),5)=420,
      425,
      CEILING(ROUND(J55*1.3,2),5)
   ),
   ""
)</f>
        <v>16315</v>
      </c>
      <c r="M55" s="4">
        <f t="shared" ref="M55:M124" si="19">IF(AND(ISNUMBER(J55),ISNUMBER(G55)),
   IF(
      CEILING(
         ROUND((J55*1.5) * IF(J55*1.5 &lt;= 2500, 1.05, 1.18), 2),
         IF(ROUND((J55*1.5) * IF(J55*1.5 &lt;= 2500, 1.05, 1.18), 2) &lt; 2500, 25, 50)
      )=420,
      425,
      CEILING(
         ROUND((J55*1.5) * IF(J55*1.5 &lt;= 2500, 1.05, 1.18), 2),
         IF(ROUND((J55*1.5) * IF(J55*1.5 &lt;= 2500, 1.05, 1.18), 2) &lt; 2500, 25, 50)
      )
   ),
   ""
)</f>
        <v>22250</v>
      </c>
      <c r="N55" s="4">
        <f t="shared" ref="N55:N124" si="20">IF(ISNUMBER(G55),
   IF(CEILING(ROUND(L55*0.92,2),5)=420,
      425,
      CEILING(ROUND(L55*0.92,2),5)
   ),
   ""
)</f>
        <v>15010</v>
      </c>
      <c r="O55" s="4">
        <f t="shared" ref="O55:O124" si="21">IF(ISNUMBER(L55),
   IF(CEILING(ROUND(L55*1.07,2),5)=420,
      425,
      CEILING(ROUND(L55*1.07,2),5)
   ),
   ""
)</f>
        <v>17460</v>
      </c>
      <c r="P55" s="4">
        <f>IF((((Price30[Cost]*1.5)+50)/0.835)&lt;2500,
MROUND((((( Price30[Cost]*1.5)+50)/0.835)*1.05)*2,10),
MROUND((((( Price30[Cost]*1.5)+50)/0.835)*1.18)*2,10))</f>
        <v>53140</v>
      </c>
      <c r="Q55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22320</v>
      </c>
    </row>
    <row r="56" spans="1:17" x14ac:dyDescent="0.25">
      <c r="A56" s="1">
        <v>2025</v>
      </c>
      <c r="B56" s="18">
        <v>106</v>
      </c>
      <c r="C56" s="19" t="s">
        <v>284</v>
      </c>
      <c r="D56" s="19" t="s">
        <v>497</v>
      </c>
      <c r="E56" s="19" t="s">
        <v>132</v>
      </c>
      <c r="F56" s="19" t="s">
        <v>567</v>
      </c>
      <c r="G56" s="20">
        <v>8500</v>
      </c>
      <c r="H56" s="20">
        <v>15</v>
      </c>
      <c r="I56" s="20">
        <v>25</v>
      </c>
      <c r="J56" s="4">
        <f t="shared" si="16"/>
        <v>8540</v>
      </c>
      <c r="K56" s="4">
        <f t="shared" si="17"/>
        <v>10550</v>
      </c>
      <c r="L56" s="4">
        <f t="shared" si="18"/>
        <v>11105</v>
      </c>
      <c r="M56" s="4">
        <f t="shared" si="19"/>
        <v>15150</v>
      </c>
      <c r="N56" s="4">
        <f t="shared" si="20"/>
        <v>10220</v>
      </c>
      <c r="O56" s="4">
        <f t="shared" si="21"/>
        <v>11885</v>
      </c>
      <c r="P56" s="4">
        <f>IF((((Price30[Cost]*1.5)+50)/0.835)&lt;2500,
MROUND((((( Price30[Cost]*1.5)+50)/0.835)*1.05)*2,10),
MROUND((((( Price30[Cost]*1.5)+50)/0.835)*1.18)*2,10))</f>
        <v>36180</v>
      </c>
      <c r="Q56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15220</v>
      </c>
    </row>
    <row r="57" spans="1:17" x14ac:dyDescent="0.25">
      <c r="A57" s="1"/>
      <c r="B57" s="18">
        <v>107</v>
      </c>
      <c r="C57" s="19" t="s">
        <v>277</v>
      </c>
      <c r="D57" s="19" t="s">
        <v>497</v>
      </c>
      <c r="E57" s="19" t="s">
        <v>126</v>
      </c>
      <c r="F57" s="19" t="s">
        <v>42</v>
      </c>
      <c r="G57" s="20">
        <v>2700</v>
      </c>
      <c r="I57" s="20">
        <v>15</v>
      </c>
      <c r="J57" s="4">
        <f t="shared" si="16"/>
        <v>2715</v>
      </c>
      <c r="K57" s="4">
        <f t="shared" si="17"/>
        <v>3355</v>
      </c>
      <c r="L57" s="4">
        <f t="shared" si="18"/>
        <v>3530</v>
      </c>
      <c r="M57" s="4">
        <f t="shared" si="19"/>
        <v>4850</v>
      </c>
      <c r="N57" s="4">
        <f t="shared" si="20"/>
        <v>3250</v>
      </c>
      <c r="O57" s="4">
        <f t="shared" si="21"/>
        <v>3780</v>
      </c>
      <c r="P57" s="4">
        <f>IF((((Price30[Cost]*1.5)+50)/0.835)&lt;2500,
MROUND((((( Price30[Cost]*1.5)+50)/0.835)*1.05)*2,10),
MROUND((((( Price30[Cost]*1.5)+50)/0.835)*1.18)*2,10))</f>
        <v>11590</v>
      </c>
      <c r="Q57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4920</v>
      </c>
    </row>
    <row r="58" spans="1:17" x14ac:dyDescent="0.25">
      <c r="A58" s="1">
        <v>2026</v>
      </c>
      <c r="B58" s="18">
        <v>108</v>
      </c>
      <c r="C58" s="19" t="s">
        <v>277</v>
      </c>
      <c r="D58" s="19" t="s">
        <v>497</v>
      </c>
      <c r="E58" s="19" t="s">
        <v>126</v>
      </c>
      <c r="F58" s="19" t="s">
        <v>614</v>
      </c>
      <c r="G58" s="20">
        <v>3700</v>
      </c>
      <c r="I58" s="20">
        <v>25</v>
      </c>
      <c r="J58" s="4">
        <f t="shared" si="16"/>
        <v>3725</v>
      </c>
      <c r="K58" s="4">
        <f t="shared" si="17"/>
        <v>4605</v>
      </c>
      <c r="L58" s="4">
        <f t="shared" si="18"/>
        <v>4845</v>
      </c>
      <c r="M58" s="4">
        <f t="shared" si="19"/>
        <v>6600</v>
      </c>
      <c r="N58" s="4">
        <f t="shared" si="20"/>
        <v>4460</v>
      </c>
      <c r="O58" s="4">
        <f t="shared" si="21"/>
        <v>5185</v>
      </c>
      <c r="P58" s="4">
        <f>IF((((Price30[Cost]*1.5)+50)/0.835)&lt;2500,
MROUND((((( Price30[Cost]*1.5)+50)/0.835)*1.05)*2,10),
MROUND((((( Price30[Cost]*1.5)+50)/0.835)*1.18)*2,10))</f>
        <v>15830</v>
      </c>
      <c r="Q58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6670</v>
      </c>
    </row>
    <row r="59" spans="1:17" x14ac:dyDescent="0.25">
      <c r="A59" s="1">
        <v>2026</v>
      </c>
      <c r="B59" s="18">
        <v>109</v>
      </c>
      <c r="C59" s="19" t="s">
        <v>284</v>
      </c>
      <c r="D59" s="19" t="s">
        <v>497</v>
      </c>
      <c r="E59" s="19" t="s">
        <v>168</v>
      </c>
      <c r="F59" s="19" t="s">
        <v>683</v>
      </c>
      <c r="G59" s="20">
        <v>8500</v>
      </c>
      <c r="I59" s="20">
        <v>50</v>
      </c>
      <c r="J59" s="4">
        <f t="shared" si="16"/>
        <v>8550</v>
      </c>
      <c r="K59" s="4">
        <f t="shared" si="17"/>
        <v>10560</v>
      </c>
      <c r="L59" s="4">
        <f t="shared" si="18"/>
        <v>11115</v>
      </c>
      <c r="M59" s="4">
        <f t="shared" si="19"/>
        <v>15150</v>
      </c>
      <c r="N59" s="4">
        <f t="shared" si="20"/>
        <v>10230</v>
      </c>
      <c r="O59" s="4">
        <f t="shared" si="21"/>
        <v>11895</v>
      </c>
      <c r="P59" s="4">
        <f>IF((((Price30[Cost]*1.5)+50)/0.835)&lt;2500,
MROUND((((( Price30[Cost]*1.5)+50)/0.835)*1.05)*2,10),
MROUND((((( Price30[Cost]*1.5)+50)/0.835)*1.18)*2,10))</f>
        <v>36180</v>
      </c>
      <c r="Q59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15220</v>
      </c>
    </row>
    <row r="60" spans="1:17" x14ac:dyDescent="0.25">
      <c r="A60" s="1"/>
      <c r="B60" s="18">
        <v>110</v>
      </c>
      <c r="C60" s="19" t="s">
        <v>277</v>
      </c>
      <c r="D60" s="19" t="s">
        <v>497</v>
      </c>
      <c r="E60" s="19" t="s">
        <v>128</v>
      </c>
      <c r="F60" s="19" t="s">
        <v>292</v>
      </c>
      <c r="G60" s="20">
        <v>3800</v>
      </c>
      <c r="I60" s="20">
        <v>15</v>
      </c>
      <c r="J60" s="4">
        <f t="shared" si="16"/>
        <v>3815</v>
      </c>
      <c r="K60" s="4">
        <f t="shared" si="17"/>
        <v>4715</v>
      </c>
      <c r="L60" s="4">
        <f t="shared" si="18"/>
        <v>4960</v>
      </c>
      <c r="M60" s="4">
        <f t="shared" si="19"/>
        <v>6800</v>
      </c>
      <c r="N60" s="4">
        <f t="shared" si="20"/>
        <v>4565</v>
      </c>
      <c r="O60" s="4">
        <f t="shared" si="21"/>
        <v>5310</v>
      </c>
      <c r="P60" s="4">
        <f>IF((((Price30[Cost]*1.5)+50)/0.835)&lt;2500,
MROUND((((( Price30[Cost]*1.5)+50)/0.835)*1.05)*2,10),
MROUND((((( Price30[Cost]*1.5)+50)/0.835)*1.18)*2,10))</f>
        <v>16250</v>
      </c>
      <c r="Q60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6870</v>
      </c>
    </row>
    <row r="61" spans="1:17" x14ac:dyDescent="0.25">
      <c r="A61" s="1">
        <v>2025</v>
      </c>
      <c r="B61" s="18">
        <v>112</v>
      </c>
      <c r="C61" s="19" t="s">
        <v>284</v>
      </c>
      <c r="D61" s="19" t="s">
        <v>497</v>
      </c>
      <c r="E61" s="19" t="s">
        <v>132</v>
      </c>
      <c r="F61" s="19" t="s">
        <v>568</v>
      </c>
      <c r="G61" s="20">
        <v>4500</v>
      </c>
      <c r="H61" s="20">
        <v>25</v>
      </c>
      <c r="I61" s="20">
        <v>15</v>
      </c>
      <c r="J61" s="4">
        <f t="shared" si="16"/>
        <v>4540</v>
      </c>
      <c r="K61" s="4">
        <f t="shared" si="17"/>
        <v>5610</v>
      </c>
      <c r="L61" s="4">
        <f t="shared" si="18"/>
        <v>5905</v>
      </c>
      <c r="M61" s="4">
        <f t="shared" si="19"/>
        <v>8050</v>
      </c>
      <c r="N61" s="4">
        <f t="shared" si="20"/>
        <v>5435</v>
      </c>
      <c r="O61" s="4">
        <f t="shared" si="21"/>
        <v>6320</v>
      </c>
      <c r="P61" s="4">
        <f>IF((((Price30[Cost]*1.5)+50)/0.835)&lt;2500,
MROUND((((( Price30[Cost]*1.5)+50)/0.835)*1.05)*2,10),
MROUND((((( Price30[Cost]*1.5)+50)/0.835)*1.18)*2,10))</f>
        <v>19220</v>
      </c>
      <c r="Q61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8120</v>
      </c>
    </row>
    <row r="62" spans="1:17" x14ac:dyDescent="0.25">
      <c r="A62" s="1">
        <v>2026</v>
      </c>
      <c r="B62" s="18">
        <v>113</v>
      </c>
      <c r="C62" s="19" t="s">
        <v>277</v>
      </c>
      <c r="D62" s="19" t="s">
        <v>497</v>
      </c>
      <c r="E62" s="19" t="s">
        <v>126</v>
      </c>
      <c r="F62" s="19" t="s">
        <v>1010</v>
      </c>
      <c r="G62" s="20">
        <v>5300</v>
      </c>
      <c r="I62" s="20">
        <v>15</v>
      </c>
      <c r="J62" s="4">
        <f t="shared" si="16"/>
        <v>5315</v>
      </c>
      <c r="K62" s="4">
        <f t="shared" si="17"/>
        <v>6565</v>
      </c>
      <c r="L62" s="4">
        <f t="shared" si="18"/>
        <v>6910</v>
      </c>
      <c r="M62" s="4">
        <f t="shared" si="19"/>
        <v>9450</v>
      </c>
      <c r="N62" s="4">
        <f t="shared" si="20"/>
        <v>6360</v>
      </c>
      <c r="O62" s="4">
        <f t="shared" si="21"/>
        <v>7395</v>
      </c>
      <c r="P62" s="4">
        <f>IF((((Price30[Cost]*1.5)+50)/0.835)&lt;2500,
MROUND((((( Price30[Cost]*1.5)+50)/0.835)*1.05)*2,10),
MROUND((((( Price30[Cost]*1.5)+50)/0.835)*1.18)*2,10))</f>
        <v>22610</v>
      </c>
      <c r="Q62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9520</v>
      </c>
    </row>
    <row r="63" spans="1:17" x14ac:dyDescent="0.25">
      <c r="A63" s="1">
        <v>2025</v>
      </c>
      <c r="B63" s="18">
        <v>115</v>
      </c>
      <c r="C63" s="19" t="s">
        <v>284</v>
      </c>
      <c r="D63" s="19" t="s">
        <v>497</v>
      </c>
      <c r="E63" s="19" t="s">
        <v>132</v>
      </c>
      <c r="F63" s="19" t="s">
        <v>569</v>
      </c>
      <c r="G63" s="20">
        <v>1350</v>
      </c>
      <c r="H63" s="20">
        <v>10</v>
      </c>
      <c r="I63" s="20">
        <v>25</v>
      </c>
      <c r="J63" s="4">
        <f t="shared" si="16"/>
        <v>1385</v>
      </c>
      <c r="K63" s="4">
        <f t="shared" si="17"/>
        <v>1715</v>
      </c>
      <c r="L63" s="4">
        <f t="shared" si="18"/>
        <v>1805</v>
      </c>
      <c r="M63" s="4">
        <f t="shared" si="19"/>
        <v>2200</v>
      </c>
      <c r="N63" s="4">
        <f t="shared" si="20"/>
        <v>1665</v>
      </c>
      <c r="O63" s="4">
        <f t="shared" si="21"/>
        <v>1935</v>
      </c>
      <c r="P63" s="4">
        <f>IF((((Price30[Cost]*1.5)+50)/0.835)&lt;2500,
MROUND((((( Price30[Cost]*1.5)+50)/0.835)*1.05)*2,10),
MROUND((((( Price30[Cost]*1.5)+50)/0.835)*1.18)*2,10))</f>
        <v>5220</v>
      </c>
      <c r="Q63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2270</v>
      </c>
    </row>
    <row r="64" spans="1:17" x14ac:dyDescent="0.25">
      <c r="A64" s="1"/>
      <c r="B64" s="18">
        <v>116</v>
      </c>
      <c r="C64" s="19" t="s">
        <v>277</v>
      </c>
      <c r="D64" s="19" t="s">
        <v>497</v>
      </c>
      <c r="E64" s="19" t="s">
        <v>128</v>
      </c>
      <c r="F64" s="19" t="s">
        <v>291</v>
      </c>
      <c r="G64" s="20">
        <v>4200</v>
      </c>
      <c r="I64" s="20">
        <v>15</v>
      </c>
      <c r="J64" s="4">
        <f t="shared" si="16"/>
        <v>4215</v>
      </c>
      <c r="K64" s="4">
        <f t="shared" si="17"/>
        <v>5210</v>
      </c>
      <c r="L64" s="4">
        <f t="shared" si="18"/>
        <v>5480</v>
      </c>
      <c r="M64" s="4">
        <f t="shared" si="19"/>
        <v>7500</v>
      </c>
      <c r="N64" s="4">
        <f t="shared" si="20"/>
        <v>5045</v>
      </c>
      <c r="O64" s="4">
        <f t="shared" si="21"/>
        <v>5865</v>
      </c>
      <c r="P64" s="4">
        <f>IF((((Price30[Cost]*1.5)+50)/0.835)&lt;2500,
MROUND((((( Price30[Cost]*1.5)+50)/0.835)*1.05)*2,10),
MROUND((((( Price30[Cost]*1.5)+50)/0.835)*1.18)*2,10))</f>
        <v>17950</v>
      </c>
      <c r="Q64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7570</v>
      </c>
    </row>
    <row r="65" spans="1:17" x14ac:dyDescent="0.25">
      <c r="A65" s="1">
        <v>2025</v>
      </c>
      <c r="B65" s="18">
        <v>117</v>
      </c>
      <c r="C65" s="19" t="s">
        <v>284</v>
      </c>
      <c r="D65" s="19" t="s">
        <v>497</v>
      </c>
      <c r="E65" s="19" t="s">
        <v>571</v>
      </c>
      <c r="F65" s="19" t="s">
        <v>572</v>
      </c>
      <c r="G65" s="20">
        <v>2250</v>
      </c>
      <c r="I65" s="20">
        <v>25</v>
      </c>
      <c r="J65" s="4">
        <f t="shared" si="16"/>
        <v>2275</v>
      </c>
      <c r="K65" s="4">
        <f t="shared" si="17"/>
        <v>2815</v>
      </c>
      <c r="L65" s="4">
        <f t="shared" si="18"/>
        <v>2960</v>
      </c>
      <c r="M65" s="4">
        <f t="shared" si="19"/>
        <v>4050</v>
      </c>
      <c r="N65" s="4">
        <f t="shared" si="20"/>
        <v>2725</v>
      </c>
      <c r="O65" s="4">
        <f t="shared" si="21"/>
        <v>3170</v>
      </c>
      <c r="P65" s="4">
        <f>IF((((Price30[Cost]*1.5)+50)/0.835)&lt;2500,
MROUND((((( Price30[Cost]*1.5)+50)/0.835)*1.05)*2,10),
MROUND((((( Price30[Cost]*1.5)+50)/0.835)*1.18)*2,10))</f>
        <v>9680</v>
      </c>
      <c r="Q65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4120</v>
      </c>
    </row>
    <row r="66" spans="1:17" x14ac:dyDescent="0.25">
      <c r="A66" s="1">
        <v>2025</v>
      </c>
      <c r="B66" s="18">
        <v>118</v>
      </c>
      <c r="C66" s="19" t="s">
        <v>284</v>
      </c>
      <c r="D66" s="19" t="s">
        <v>497</v>
      </c>
      <c r="E66" s="19" t="s">
        <v>571</v>
      </c>
      <c r="F66" s="19" t="s">
        <v>573</v>
      </c>
      <c r="G66" s="20">
        <v>2750</v>
      </c>
      <c r="I66" s="20">
        <v>25</v>
      </c>
      <c r="J66" s="4">
        <f t="shared" si="16"/>
        <v>2775</v>
      </c>
      <c r="K66" s="4">
        <f t="shared" si="17"/>
        <v>3430</v>
      </c>
      <c r="L66" s="4">
        <f t="shared" si="18"/>
        <v>3610</v>
      </c>
      <c r="M66" s="4">
        <f t="shared" si="19"/>
        <v>4950</v>
      </c>
      <c r="N66" s="4">
        <f t="shared" si="20"/>
        <v>3325</v>
      </c>
      <c r="O66" s="4">
        <f t="shared" si="21"/>
        <v>3865</v>
      </c>
      <c r="P66" s="4">
        <f>IF((((Price30[Cost]*1.5)+50)/0.835)&lt;2500,
MROUND((((( Price30[Cost]*1.5)+50)/0.835)*1.05)*2,10),
MROUND((((( Price30[Cost]*1.5)+50)/0.835)*1.18)*2,10))</f>
        <v>11800</v>
      </c>
      <c r="Q66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5020</v>
      </c>
    </row>
    <row r="67" spans="1:17" x14ac:dyDescent="0.25">
      <c r="A67" s="1">
        <v>2026</v>
      </c>
      <c r="B67" s="18">
        <v>119</v>
      </c>
      <c r="C67" s="19" t="s">
        <v>277</v>
      </c>
      <c r="D67" s="19" t="s">
        <v>497</v>
      </c>
      <c r="E67" s="19" t="s">
        <v>809</v>
      </c>
      <c r="F67" s="19" t="s">
        <v>810</v>
      </c>
      <c r="G67" s="20">
        <v>1275</v>
      </c>
      <c r="I67" s="20">
        <v>15</v>
      </c>
      <c r="J67" s="4">
        <f t="shared" si="16"/>
        <v>1290</v>
      </c>
      <c r="K67" s="4">
        <f t="shared" si="17"/>
        <v>1600</v>
      </c>
      <c r="L67" s="4">
        <f t="shared" si="18"/>
        <v>1680</v>
      </c>
      <c r="M67" s="4">
        <f t="shared" si="19"/>
        <v>2050</v>
      </c>
      <c r="N67" s="4">
        <f t="shared" si="20"/>
        <v>1550</v>
      </c>
      <c r="O67" s="4">
        <f t="shared" si="21"/>
        <v>1800</v>
      </c>
      <c r="P67" s="4">
        <f>IF((((Price30[Cost]*1.5)+50)/0.835)&lt;2500,
MROUND((((( Price30[Cost]*1.5)+50)/0.835)*1.05)*2,10),
MROUND((((( Price30[Cost]*1.5)+50)/0.835)*1.18)*2,10))</f>
        <v>4940</v>
      </c>
      <c r="Q67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2120</v>
      </c>
    </row>
    <row r="68" spans="1:17" x14ac:dyDescent="0.25">
      <c r="A68" s="1"/>
      <c r="B68" s="18">
        <v>121</v>
      </c>
      <c r="C68" s="19" t="s">
        <v>287</v>
      </c>
      <c r="D68" s="19" t="s">
        <v>497</v>
      </c>
      <c r="E68" s="19" t="s">
        <v>128</v>
      </c>
      <c r="F68" s="19" t="s">
        <v>632</v>
      </c>
      <c r="G68" s="20">
        <v>3350</v>
      </c>
      <c r="I68" s="20">
        <v>15</v>
      </c>
      <c r="J68" s="4">
        <f t="shared" si="16"/>
        <v>3365</v>
      </c>
      <c r="K68" s="4">
        <f t="shared" si="17"/>
        <v>4160</v>
      </c>
      <c r="L68" s="4">
        <f t="shared" si="18"/>
        <v>4375</v>
      </c>
      <c r="M68" s="4">
        <f t="shared" si="19"/>
        <v>6000</v>
      </c>
      <c r="N68" s="4">
        <f t="shared" si="20"/>
        <v>4025</v>
      </c>
      <c r="O68" s="4">
        <f t="shared" si="21"/>
        <v>4685</v>
      </c>
      <c r="P68" s="4">
        <f>IF((((Price30[Cost]*1.5)+50)/0.835)&lt;2500,
MROUND((((( Price30[Cost]*1.5)+50)/0.835)*1.05)*2,10),
MROUND((((( Price30[Cost]*1.5)+50)/0.835)*1.18)*2,10))</f>
        <v>14340</v>
      </c>
      <c r="Q68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6070</v>
      </c>
    </row>
    <row r="69" spans="1:17" x14ac:dyDescent="0.25">
      <c r="A69" s="1">
        <v>2025</v>
      </c>
      <c r="B69" s="18">
        <v>1211</v>
      </c>
      <c r="C69" s="19" t="s">
        <v>287</v>
      </c>
      <c r="D69" s="19" t="s">
        <v>497</v>
      </c>
      <c r="E69" s="19" t="s">
        <v>128</v>
      </c>
      <c r="F69" s="19" t="s">
        <v>633</v>
      </c>
      <c r="G69" s="20">
        <v>1960</v>
      </c>
      <c r="I69" s="20">
        <v>15</v>
      </c>
      <c r="J69" s="4">
        <f t="shared" si="16"/>
        <v>1975</v>
      </c>
      <c r="K69" s="4">
        <f t="shared" si="17"/>
        <v>2445</v>
      </c>
      <c r="L69" s="4">
        <f t="shared" si="18"/>
        <v>2570</v>
      </c>
      <c r="M69" s="4">
        <f t="shared" si="19"/>
        <v>3500</v>
      </c>
      <c r="N69" s="4">
        <f t="shared" si="20"/>
        <v>2365</v>
      </c>
      <c r="O69" s="4">
        <f t="shared" si="21"/>
        <v>2750</v>
      </c>
      <c r="P69" s="4">
        <f>IF((((Price30[Cost]*1.5)+50)/0.835)&lt;2500,
MROUND((((( Price30[Cost]*1.5)+50)/0.835)*1.05)*2,10),
MROUND((((( Price30[Cost]*1.5)+50)/0.835)*1.18)*2,10))</f>
        <v>8450</v>
      </c>
      <c r="Q69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3570</v>
      </c>
    </row>
    <row r="70" spans="1:17" x14ac:dyDescent="0.25">
      <c r="A70" s="1">
        <v>2025</v>
      </c>
      <c r="B70" s="18">
        <v>1212</v>
      </c>
      <c r="C70" s="19" t="s">
        <v>287</v>
      </c>
      <c r="D70" s="19" t="s">
        <v>497</v>
      </c>
      <c r="E70" s="19" t="s">
        <v>128</v>
      </c>
      <c r="F70" s="19" t="s">
        <v>634</v>
      </c>
      <c r="G70" s="20">
        <v>1405</v>
      </c>
      <c r="I70" s="20">
        <v>15</v>
      </c>
      <c r="J70" s="4">
        <f t="shared" si="16"/>
        <v>1420</v>
      </c>
      <c r="K70" s="4">
        <f t="shared" si="17"/>
        <v>1760</v>
      </c>
      <c r="L70" s="4">
        <f t="shared" si="18"/>
        <v>1850</v>
      </c>
      <c r="M70" s="4">
        <f t="shared" si="19"/>
        <v>2250</v>
      </c>
      <c r="N70" s="4">
        <f t="shared" si="20"/>
        <v>1705</v>
      </c>
      <c r="O70" s="4">
        <f t="shared" si="21"/>
        <v>1980</v>
      </c>
      <c r="P70" s="4">
        <f>IF((((Price30[Cost]*1.5)+50)/0.835)&lt;2500,
MROUND((((( Price30[Cost]*1.5)+50)/0.835)*1.05)*2,10),
MROUND((((( Price30[Cost]*1.5)+50)/0.835)*1.18)*2,10))</f>
        <v>6100</v>
      </c>
      <c r="Q70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2320</v>
      </c>
    </row>
    <row r="71" spans="1:17" x14ac:dyDescent="0.25">
      <c r="A71" s="1">
        <v>2025</v>
      </c>
      <c r="B71" s="18">
        <v>1213</v>
      </c>
      <c r="C71" s="19" t="s">
        <v>287</v>
      </c>
      <c r="D71" s="19" t="s">
        <v>497</v>
      </c>
      <c r="E71" s="19" t="s">
        <v>128</v>
      </c>
      <c r="F71" s="19" t="s">
        <v>635</v>
      </c>
      <c r="G71" s="20">
        <v>1860</v>
      </c>
      <c r="I71" s="20">
        <v>15</v>
      </c>
      <c r="J71" s="4">
        <f t="shared" si="16"/>
        <v>1875</v>
      </c>
      <c r="K71" s="4">
        <f t="shared" si="17"/>
        <v>2320</v>
      </c>
      <c r="L71" s="4">
        <f t="shared" si="18"/>
        <v>2440</v>
      </c>
      <c r="M71" s="4">
        <f t="shared" si="19"/>
        <v>3350</v>
      </c>
      <c r="N71" s="4">
        <f t="shared" si="20"/>
        <v>2245</v>
      </c>
      <c r="O71" s="4">
        <f t="shared" si="21"/>
        <v>2615</v>
      </c>
      <c r="P71" s="4">
        <f>IF((((Price30[Cost]*1.5)+50)/0.835)&lt;2500,
MROUND((((( Price30[Cost]*1.5)+50)/0.835)*1.05)*2,10),
MROUND((((( Price30[Cost]*1.5)+50)/0.835)*1.18)*2,10))</f>
        <v>8030</v>
      </c>
      <c r="Q71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3420</v>
      </c>
    </row>
    <row r="72" spans="1:17" x14ac:dyDescent="0.25">
      <c r="A72" s="1">
        <v>2025</v>
      </c>
      <c r="B72" s="18">
        <v>1214</v>
      </c>
      <c r="C72" s="19" t="s">
        <v>680</v>
      </c>
      <c r="D72" s="19" t="s">
        <v>497</v>
      </c>
      <c r="E72" s="19" t="s">
        <v>326</v>
      </c>
      <c r="F72" s="19" t="s">
        <v>681</v>
      </c>
      <c r="G72" s="20">
        <v>2700</v>
      </c>
      <c r="I72" s="20">
        <v>25</v>
      </c>
      <c r="J72" s="4">
        <f t="shared" si="16"/>
        <v>2725</v>
      </c>
      <c r="K72" s="4">
        <f t="shared" si="17"/>
        <v>3370</v>
      </c>
      <c r="L72" s="4">
        <f t="shared" si="18"/>
        <v>3545</v>
      </c>
      <c r="M72" s="4">
        <f t="shared" si="19"/>
        <v>4850</v>
      </c>
      <c r="N72" s="4">
        <f t="shared" si="20"/>
        <v>3265</v>
      </c>
      <c r="O72" s="4">
        <f t="shared" si="21"/>
        <v>3795</v>
      </c>
      <c r="P72" s="4">
        <f>IF((((Price30[Cost]*1.5)+50)/0.835)&lt;2500,
MROUND((((( Price30[Cost]*1.5)+50)/0.835)*1.05)*2,10),
MROUND((((( Price30[Cost]*1.5)+50)/0.835)*1.18)*2,10))</f>
        <v>11590</v>
      </c>
      <c r="Q72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4920</v>
      </c>
    </row>
    <row r="73" spans="1:17" x14ac:dyDescent="0.25">
      <c r="A73" s="1"/>
      <c r="B73" s="18">
        <v>122</v>
      </c>
      <c r="C73" s="19" t="s">
        <v>287</v>
      </c>
      <c r="D73" s="19" t="s">
        <v>497</v>
      </c>
      <c r="E73" s="19" t="s">
        <v>127</v>
      </c>
      <c r="F73" s="19" t="s">
        <v>39</v>
      </c>
      <c r="G73" s="20">
        <v>1150</v>
      </c>
      <c r="I73" s="20">
        <v>15</v>
      </c>
      <c r="J73" s="4">
        <f t="shared" si="16"/>
        <v>1165</v>
      </c>
      <c r="K73" s="4">
        <f t="shared" si="17"/>
        <v>1440</v>
      </c>
      <c r="L73" s="4">
        <f t="shared" si="18"/>
        <v>1515</v>
      </c>
      <c r="M73" s="4">
        <f t="shared" si="19"/>
        <v>1850</v>
      </c>
      <c r="N73" s="4">
        <f t="shared" si="20"/>
        <v>1395</v>
      </c>
      <c r="O73" s="4">
        <f t="shared" si="21"/>
        <v>1625</v>
      </c>
      <c r="P73" s="4">
        <f>IF((((Price30[Cost]*1.5)+50)/0.835)&lt;2500,
MROUND((((( Price30[Cost]*1.5)+50)/0.835)*1.05)*2,10),
MROUND((((( Price30[Cost]*1.5)+50)/0.835)*1.18)*2,10))</f>
        <v>4460</v>
      </c>
      <c r="Q73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1920</v>
      </c>
    </row>
    <row r="74" spans="1:17" x14ac:dyDescent="0.25">
      <c r="A74" s="1">
        <v>2026</v>
      </c>
      <c r="B74" s="18">
        <v>123</v>
      </c>
      <c r="C74" s="19" t="s">
        <v>287</v>
      </c>
      <c r="D74" s="19" t="s">
        <v>497</v>
      </c>
      <c r="E74" s="19" t="s">
        <v>134</v>
      </c>
      <c r="F74" s="19" t="s">
        <v>41</v>
      </c>
      <c r="G74" s="20">
        <v>1525</v>
      </c>
      <c r="H74" s="20">
        <v>5</v>
      </c>
      <c r="I74" s="20">
        <v>15</v>
      </c>
      <c r="J74" s="4">
        <f t="shared" si="16"/>
        <v>1545</v>
      </c>
      <c r="K74" s="4">
        <f t="shared" si="17"/>
        <v>1910</v>
      </c>
      <c r="L74" s="4">
        <f t="shared" si="18"/>
        <v>2010</v>
      </c>
      <c r="M74" s="4">
        <f t="shared" si="19"/>
        <v>2450</v>
      </c>
      <c r="N74" s="4">
        <f t="shared" si="20"/>
        <v>1850</v>
      </c>
      <c r="O74" s="4">
        <f t="shared" si="21"/>
        <v>2155</v>
      </c>
      <c r="P74" s="4">
        <f>IF((((Price30[Cost]*1.5)+50)/0.835)&lt;2500,
MROUND((((( Price30[Cost]*1.5)+50)/0.835)*1.05)*2,10),
MROUND((((( Price30[Cost]*1.5)+50)/0.835)*1.18)*2,10))</f>
        <v>6610</v>
      </c>
      <c r="Q74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2520</v>
      </c>
    </row>
    <row r="75" spans="1:17" x14ac:dyDescent="0.25">
      <c r="A75" s="1"/>
      <c r="B75" s="18">
        <v>124</v>
      </c>
      <c r="C75" s="19" t="s">
        <v>277</v>
      </c>
      <c r="D75" s="19" t="s">
        <v>497</v>
      </c>
      <c r="E75" s="19" t="s">
        <v>126</v>
      </c>
      <c r="F75" s="19" t="s">
        <v>23</v>
      </c>
      <c r="G75" s="20">
        <v>3000</v>
      </c>
      <c r="I75" s="20">
        <v>15</v>
      </c>
      <c r="J75" s="4">
        <f t="shared" si="16"/>
        <v>3015</v>
      </c>
      <c r="K75" s="4">
        <f t="shared" si="17"/>
        <v>3725</v>
      </c>
      <c r="L75" s="4">
        <f t="shared" si="18"/>
        <v>3920</v>
      </c>
      <c r="M75" s="4">
        <f t="shared" si="19"/>
        <v>5350</v>
      </c>
      <c r="N75" s="4">
        <f t="shared" si="20"/>
        <v>3610</v>
      </c>
      <c r="O75" s="4">
        <f t="shared" si="21"/>
        <v>4195</v>
      </c>
      <c r="P75" s="4">
        <f>IF((((Price30[Cost]*1.5)+50)/0.835)&lt;2500,
MROUND((((( Price30[Cost]*1.5)+50)/0.835)*1.05)*2,10),
MROUND((((( Price30[Cost]*1.5)+50)/0.835)*1.18)*2,10))</f>
        <v>12860</v>
      </c>
      <c r="Q75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5420</v>
      </c>
    </row>
    <row r="76" spans="1:17" x14ac:dyDescent="0.25">
      <c r="A76" s="1">
        <v>2026</v>
      </c>
      <c r="B76" s="18">
        <v>125</v>
      </c>
      <c r="C76" s="19" t="s">
        <v>277</v>
      </c>
      <c r="D76" s="19" t="s">
        <v>497</v>
      </c>
      <c r="E76" s="19" t="s">
        <v>126</v>
      </c>
      <c r="F76" s="19" t="s">
        <v>1009</v>
      </c>
      <c r="G76" s="20">
        <v>4800</v>
      </c>
      <c r="I76" s="20">
        <v>25</v>
      </c>
      <c r="J76" s="4">
        <f t="shared" si="16"/>
        <v>4825</v>
      </c>
      <c r="K76" s="4">
        <f t="shared" si="17"/>
        <v>5965</v>
      </c>
      <c r="L76" s="4">
        <f t="shared" si="18"/>
        <v>6275</v>
      </c>
      <c r="M76" s="4">
        <f t="shared" si="19"/>
        <v>8550</v>
      </c>
      <c r="N76" s="4">
        <f t="shared" si="20"/>
        <v>5775</v>
      </c>
      <c r="O76" s="4">
        <f t="shared" si="21"/>
        <v>6715</v>
      </c>
      <c r="P76" s="4">
        <f>IF((((Price30[Cost]*1.5)+50)/0.835)&lt;2500,
MROUND((((( Price30[Cost]*1.5)+50)/0.835)*1.05)*2,10),
MROUND((((( Price30[Cost]*1.5)+50)/0.835)*1.18)*2,10))</f>
        <v>20490</v>
      </c>
      <c r="Q76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8620</v>
      </c>
    </row>
    <row r="77" spans="1:17" x14ac:dyDescent="0.25">
      <c r="A77" s="1"/>
      <c r="B77" s="18">
        <v>126</v>
      </c>
      <c r="C77" s="19" t="s">
        <v>277</v>
      </c>
      <c r="D77" s="19" t="s">
        <v>497</v>
      </c>
      <c r="E77" s="19" t="s">
        <v>168</v>
      </c>
      <c r="F77" s="19" t="s">
        <v>81</v>
      </c>
      <c r="G77" s="20">
        <v>2000</v>
      </c>
      <c r="I77" s="20">
        <v>15</v>
      </c>
      <c r="J77" s="4">
        <f t="shared" si="16"/>
        <v>2015</v>
      </c>
      <c r="K77" s="4">
        <f t="shared" si="17"/>
        <v>2490</v>
      </c>
      <c r="L77" s="4">
        <f t="shared" si="18"/>
        <v>2620</v>
      </c>
      <c r="M77" s="4">
        <f t="shared" si="19"/>
        <v>3600</v>
      </c>
      <c r="N77" s="4">
        <f t="shared" si="20"/>
        <v>2415</v>
      </c>
      <c r="O77" s="4">
        <f t="shared" si="21"/>
        <v>2805</v>
      </c>
      <c r="P77" s="4">
        <f>IF((((Price30[Cost]*1.5)+50)/0.835)&lt;2500,
MROUND((((( Price30[Cost]*1.5)+50)/0.835)*1.05)*2,10),
MROUND((((( Price30[Cost]*1.5)+50)/0.835)*1.18)*2,10))</f>
        <v>8620</v>
      </c>
      <c r="Q77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3670</v>
      </c>
    </row>
    <row r="78" spans="1:17" x14ac:dyDescent="0.25">
      <c r="A78" s="1">
        <v>2025</v>
      </c>
      <c r="B78" s="18">
        <v>127</v>
      </c>
      <c r="C78" s="19" t="s">
        <v>287</v>
      </c>
      <c r="D78" s="19" t="s">
        <v>497</v>
      </c>
      <c r="E78" s="19" t="s">
        <v>233</v>
      </c>
      <c r="F78" s="19" t="s">
        <v>615</v>
      </c>
      <c r="G78" s="20">
        <v>1100</v>
      </c>
      <c r="I78" s="20">
        <v>15</v>
      </c>
      <c r="J78" s="4">
        <f t="shared" si="16"/>
        <v>1115</v>
      </c>
      <c r="K78" s="4">
        <f t="shared" si="17"/>
        <v>1380</v>
      </c>
      <c r="L78" s="4">
        <f t="shared" si="18"/>
        <v>1450</v>
      </c>
      <c r="M78" s="4">
        <f t="shared" si="19"/>
        <v>1775</v>
      </c>
      <c r="N78" s="4">
        <f t="shared" si="20"/>
        <v>1335</v>
      </c>
      <c r="O78" s="4">
        <f t="shared" si="21"/>
        <v>1555</v>
      </c>
      <c r="P78" s="4">
        <f>IF((((Price30[Cost]*1.5)+50)/0.835)&lt;2500,
MROUND((((( Price30[Cost]*1.5)+50)/0.835)*1.05)*2,10),
MROUND((((( Price30[Cost]*1.5)+50)/0.835)*1.18)*2,10))</f>
        <v>4280</v>
      </c>
      <c r="Q78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1850</v>
      </c>
    </row>
    <row r="79" spans="1:17" x14ac:dyDescent="0.25">
      <c r="A79" s="1">
        <v>2025</v>
      </c>
      <c r="B79" s="18">
        <v>128</v>
      </c>
      <c r="C79" s="19" t="s">
        <v>284</v>
      </c>
      <c r="D79" s="19" t="s">
        <v>497</v>
      </c>
      <c r="E79" s="19" t="s">
        <v>126</v>
      </c>
      <c r="F79" s="19" t="s">
        <v>643</v>
      </c>
      <c r="G79" s="20">
        <v>2100</v>
      </c>
      <c r="I79" s="20">
        <v>15</v>
      </c>
      <c r="J79" s="4">
        <f t="shared" si="16"/>
        <v>2115</v>
      </c>
      <c r="K79" s="4">
        <f t="shared" si="17"/>
        <v>2615</v>
      </c>
      <c r="L79" s="4">
        <f t="shared" si="18"/>
        <v>2750</v>
      </c>
      <c r="M79" s="4">
        <f t="shared" si="19"/>
        <v>3750</v>
      </c>
      <c r="N79" s="4">
        <f t="shared" si="20"/>
        <v>2530</v>
      </c>
      <c r="O79" s="4">
        <f t="shared" si="21"/>
        <v>2945</v>
      </c>
      <c r="P79" s="4">
        <f>IF((((Price30[Cost]*1.5)+50)/0.835)&lt;2500,
MROUND((((( Price30[Cost]*1.5)+50)/0.835)*1.05)*2,10),
MROUND((((( Price30[Cost]*1.5)+50)/0.835)*1.18)*2,10))</f>
        <v>9040</v>
      </c>
      <c r="Q79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3820</v>
      </c>
    </row>
    <row r="80" spans="1:17" x14ac:dyDescent="0.25">
      <c r="A80" s="1">
        <v>2026</v>
      </c>
      <c r="B80" s="18">
        <v>129</v>
      </c>
      <c r="C80" s="19" t="s">
        <v>277</v>
      </c>
      <c r="D80" s="19" t="s">
        <v>497</v>
      </c>
      <c r="E80" s="19" t="s">
        <v>126</v>
      </c>
      <c r="F80" s="19" t="s">
        <v>77</v>
      </c>
      <c r="G80" s="20">
        <v>2100</v>
      </c>
      <c r="I80" s="20">
        <v>15</v>
      </c>
      <c r="J80" s="4">
        <f t="shared" si="16"/>
        <v>2115</v>
      </c>
      <c r="K80" s="4">
        <f t="shared" si="17"/>
        <v>2615</v>
      </c>
      <c r="L80" s="4">
        <f t="shared" si="18"/>
        <v>2750</v>
      </c>
      <c r="M80" s="4">
        <f t="shared" si="19"/>
        <v>3750</v>
      </c>
      <c r="N80" s="4">
        <f t="shared" si="20"/>
        <v>2530</v>
      </c>
      <c r="O80" s="4">
        <f t="shared" si="21"/>
        <v>2945</v>
      </c>
      <c r="P80" s="4">
        <f>IF((((Price30[Cost]*1.5)+50)/0.835)&lt;2500,
MROUND((((( Price30[Cost]*1.5)+50)/0.835)*1.05)*2,10),
MROUND((((( Price30[Cost]*1.5)+50)/0.835)*1.18)*2,10))</f>
        <v>9040</v>
      </c>
      <c r="Q80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3820</v>
      </c>
    </row>
    <row r="81" spans="1:17" x14ac:dyDescent="0.25">
      <c r="A81" s="1">
        <v>2026</v>
      </c>
      <c r="B81" s="18">
        <v>130</v>
      </c>
      <c r="C81" s="19" t="s">
        <v>284</v>
      </c>
      <c r="D81" s="19" t="s">
        <v>497</v>
      </c>
      <c r="E81" s="19" t="s">
        <v>126</v>
      </c>
      <c r="F81" s="19" t="s">
        <v>639</v>
      </c>
      <c r="G81" s="20">
        <v>1800</v>
      </c>
      <c r="I81" s="20">
        <v>15</v>
      </c>
      <c r="J81" s="4">
        <f t="shared" si="16"/>
        <v>1815</v>
      </c>
      <c r="K81" s="4">
        <f t="shared" si="17"/>
        <v>2245</v>
      </c>
      <c r="L81" s="4">
        <f t="shared" si="18"/>
        <v>2360</v>
      </c>
      <c r="M81" s="4">
        <f t="shared" si="19"/>
        <v>3250</v>
      </c>
      <c r="N81" s="4">
        <f t="shared" si="20"/>
        <v>2175</v>
      </c>
      <c r="O81" s="4">
        <f t="shared" si="21"/>
        <v>2530</v>
      </c>
      <c r="P81" s="4">
        <f>IF((((Price30[Cost]*1.5)+50)/0.835)&lt;2500,
MROUND((((( Price30[Cost]*1.5)+50)/0.835)*1.05)*2,10),
MROUND((((( Price30[Cost]*1.5)+50)/0.835)*1.18)*2,10))</f>
        <v>7770</v>
      </c>
      <c r="Q81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3320</v>
      </c>
    </row>
    <row r="82" spans="1:17" x14ac:dyDescent="0.25">
      <c r="A82" s="1"/>
      <c r="B82" s="18">
        <v>131</v>
      </c>
      <c r="C82" s="19" t="s">
        <v>277</v>
      </c>
      <c r="D82" s="19" t="s">
        <v>497</v>
      </c>
      <c r="E82" s="19"/>
      <c r="F82" s="19" t="s">
        <v>50</v>
      </c>
      <c r="G82" s="20">
        <v>3000</v>
      </c>
      <c r="I82" s="20">
        <v>15</v>
      </c>
      <c r="J82" s="4">
        <f t="shared" si="16"/>
        <v>3015</v>
      </c>
      <c r="K82" s="4">
        <f t="shared" si="17"/>
        <v>3725</v>
      </c>
      <c r="L82" s="4">
        <f t="shared" si="18"/>
        <v>3920</v>
      </c>
      <c r="M82" s="4">
        <f t="shared" si="19"/>
        <v>5350</v>
      </c>
      <c r="N82" s="4">
        <f t="shared" si="20"/>
        <v>3610</v>
      </c>
      <c r="O82" s="4">
        <f t="shared" si="21"/>
        <v>4195</v>
      </c>
      <c r="P82" s="4">
        <f>IF((((Price30[Cost]*1.5)+50)/0.835)&lt;2500,
MROUND((((( Price30[Cost]*1.5)+50)/0.835)*1.05)*2,10),
MROUND((((( Price30[Cost]*1.5)+50)/0.835)*1.18)*2,10))</f>
        <v>12860</v>
      </c>
      <c r="Q82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5420</v>
      </c>
    </row>
    <row r="83" spans="1:17" x14ac:dyDescent="0.25">
      <c r="A83" s="1">
        <v>2025</v>
      </c>
      <c r="B83" s="18">
        <v>132</v>
      </c>
      <c r="C83" s="19" t="s">
        <v>284</v>
      </c>
      <c r="D83" s="19" t="s">
        <v>497</v>
      </c>
      <c r="E83" s="19" t="s">
        <v>126</v>
      </c>
      <c r="F83" s="19" t="s">
        <v>640</v>
      </c>
      <c r="G83" s="20">
        <v>1700</v>
      </c>
      <c r="I83" s="20">
        <v>15</v>
      </c>
      <c r="J83" s="4">
        <f t="shared" si="16"/>
        <v>1715</v>
      </c>
      <c r="K83" s="4">
        <f t="shared" si="17"/>
        <v>2120</v>
      </c>
      <c r="L83" s="4">
        <f t="shared" si="18"/>
        <v>2230</v>
      </c>
      <c r="M83" s="4">
        <f t="shared" si="19"/>
        <v>3050</v>
      </c>
      <c r="N83" s="4">
        <f t="shared" si="20"/>
        <v>2055</v>
      </c>
      <c r="O83" s="4">
        <f t="shared" si="21"/>
        <v>2390</v>
      </c>
      <c r="P83" s="4">
        <f>IF((((Price30[Cost]*1.5)+50)/0.835)&lt;2500,
MROUND((((( Price30[Cost]*1.5)+50)/0.835)*1.05)*2,10),
MROUND((((( Price30[Cost]*1.5)+50)/0.835)*1.18)*2,10))</f>
        <v>7350</v>
      </c>
      <c r="Q83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3120</v>
      </c>
    </row>
    <row r="84" spans="1:17" x14ac:dyDescent="0.25">
      <c r="A84" s="1">
        <v>2026</v>
      </c>
      <c r="B84" s="18">
        <v>133</v>
      </c>
      <c r="C84" s="19" t="s">
        <v>277</v>
      </c>
      <c r="D84" s="19" t="s">
        <v>497</v>
      </c>
      <c r="E84" s="19" t="s">
        <v>574</v>
      </c>
      <c r="F84" s="19" t="s">
        <v>1011</v>
      </c>
      <c r="G84" s="20">
        <v>6000</v>
      </c>
      <c r="I84" s="20">
        <v>15</v>
      </c>
      <c r="J84" s="4">
        <f t="shared" si="16"/>
        <v>6015</v>
      </c>
      <c r="K84" s="4">
        <f t="shared" si="17"/>
        <v>7430</v>
      </c>
      <c r="L84" s="4">
        <f t="shared" si="18"/>
        <v>7820</v>
      </c>
      <c r="M84" s="4">
        <f t="shared" si="19"/>
        <v>10650</v>
      </c>
      <c r="N84" s="4">
        <f t="shared" si="20"/>
        <v>7195</v>
      </c>
      <c r="O84" s="4">
        <f t="shared" si="21"/>
        <v>8370</v>
      </c>
      <c r="P84" s="4">
        <f>IF((((Price30[Cost]*1.5)+50)/0.835)&lt;2500,
MROUND((((( Price30[Cost]*1.5)+50)/0.835)*1.05)*2,10),
MROUND((((( Price30[Cost]*1.5)+50)/0.835)*1.18)*2,10))</f>
        <v>25580</v>
      </c>
      <c r="Q84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10720</v>
      </c>
    </row>
    <row r="85" spans="1:17" x14ac:dyDescent="0.25">
      <c r="A85" s="1">
        <v>2026</v>
      </c>
      <c r="B85" s="18">
        <v>134</v>
      </c>
      <c r="C85" s="19" t="s">
        <v>277</v>
      </c>
      <c r="D85" s="19" t="s">
        <v>497</v>
      </c>
      <c r="E85" s="19" t="s">
        <v>132</v>
      </c>
      <c r="F85" s="19" t="s">
        <v>82</v>
      </c>
      <c r="G85" s="20">
        <v>900</v>
      </c>
      <c r="I85" s="20">
        <v>15</v>
      </c>
      <c r="J85" s="4">
        <f t="shared" si="16"/>
        <v>915</v>
      </c>
      <c r="K85" s="4">
        <f t="shared" si="17"/>
        <v>1135</v>
      </c>
      <c r="L85" s="4">
        <f t="shared" si="18"/>
        <v>1190</v>
      </c>
      <c r="M85" s="4">
        <f t="shared" si="19"/>
        <v>1450</v>
      </c>
      <c r="N85" s="4">
        <f t="shared" si="20"/>
        <v>1095</v>
      </c>
      <c r="O85" s="4">
        <f t="shared" si="21"/>
        <v>1275</v>
      </c>
      <c r="P85" s="4">
        <f>IF((((Price30[Cost]*1.5)+50)/0.835)&lt;2500,
MROUND((((( Price30[Cost]*1.5)+50)/0.835)*1.05)*2,10),
MROUND((((( Price30[Cost]*1.5)+50)/0.835)*1.18)*2,10))</f>
        <v>3520</v>
      </c>
      <c r="Q85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1520</v>
      </c>
    </row>
    <row r="86" spans="1:17" x14ac:dyDescent="0.25">
      <c r="A86" s="1"/>
      <c r="B86" s="18">
        <v>135</v>
      </c>
      <c r="C86" s="19" t="s">
        <v>277</v>
      </c>
      <c r="D86" s="19" t="s">
        <v>497</v>
      </c>
      <c r="E86" s="19" t="s">
        <v>133</v>
      </c>
      <c r="F86" s="19" t="s">
        <v>83</v>
      </c>
      <c r="G86" s="20">
        <v>1500</v>
      </c>
      <c r="I86" s="20">
        <v>15</v>
      </c>
      <c r="J86" s="4">
        <f t="shared" si="16"/>
        <v>1515</v>
      </c>
      <c r="K86" s="4">
        <f t="shared" si="17"/>
        <v>1875</v>
      </c>
      <c r="L86" s="4">
        <f t="shared" si="18"/>
        <v>1970</v>
      </c>
      <c r="M86" s="4">
        <f t="shared" si="19"/>
        <v>2400</v>
      </c>
      <c r="N86" s="4">
        <f t="shared" si="20"/>
        <v>1815</v>
      </c>
      <c r="O86" s="4">
        <f t="shared" si="21"/>
        <v>2110</v>
      </c>
      <c r="P86" s="4">
        <f>IF((((Price30[Cost]*1.5)+50)/0.835)&lt;2500,
MROUND((((( Price30[Cost]*1.5)+50)/0.835)*1.05)*2,10),
MROUND((((( Price30[Cost]*1.5)+50)/0.835)*1.18)*2,10))</f>
        <v>6500</v>
      </c>
      <c r="Q86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2470</v>
      </c>
    </row>
    <row r="87" spans="1:17" x14ac:dyDescent="0.25">
      <c r="A87" s="1">
        <v>2025</v>
      </c>
      <c r="B87" s="18">
        <v>136</v>
      </c>
      <c r="C87" s="19" t="s">
        <v>284</v>
      </c>
      <c r="D87" s="19" t="s">
        <v>497</v>
      </c>
      <c r="E87" s="19" t="s">
        <v>571</v>
      </c>
      <c r="F87" s="19" t="s">
        <v>616</v>
      </c>
      <c r="G87" s="20">
        <v>1375</v>
      </c>
      <c r="I87" s="20">
        <v>15</v>
      </c>
      <c r="J87" s="4">
        <f t="shared" si="16"/>
        <v>1390</v>
      </c>
      <c r="K87" s="4">
        <f t="shared" si="17"/>
        <v>1720</v>
      </c>
      <c r="L87" s="4">
        <f t="shared" si="18"/>
        <v>1810</v>
      </c>
      <c r="M87" s="4">
        <f t="shared" si="19"/>
        <v>2200</v>
      </c>
      <c r="N87" s="4">
        <f t="shared" si="20"/>
        <v>1670</v>
      </c>
      <c r="O87" s="4">
        <f t="shared" si="21"/>
        <v>1940</v>
      </c>
      <c r="P87" s="4">
        <f>IF((((Price30[Cost]*1.5)+50)/0.835)&lt;2500,
MROUND((((( Price30[Cost]*1.5)+50)/0.835)*1.05)*2,10),
MROUND((((( Price30[Cost]*1.5)+50)/0.835)*1.18)*2,10))</f>
        <v>5970</v>
      </c>
      <c r="Q87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2270</v>
      </c>
    </row>
    <row r="88" spans="1:17" x14ac:dyDescent="0.25">
      <c r="A88" s="1">
        <v>2025</v>
      </c>
      <c r="B88" s="18">
        <v>137</v>
      </c>
      <c r="C88" s="19" t="s">
        <v>277</v>
      </c>
      <c r="D88" s="19" t="s">
        <v>497</v>
      </c>
      <c r="E88" s="19" t="s">
        <v>125</v>
      </c>
      <c r="F88" s="19" t="s">
        <v>120</v>
      </c>
      <c r="G88" s="20">
        <v>6500</v>
      </c>
      <c r="I88" s="20">
        <v>15</v>
      </c>
      <c r="J88" s="4">
        <f t="shared" si="16"/>
        <v>6515</v>
      </c>
      <c r="K88" s="4">
        <f t="shared" si="17"/>
        <v>8050</v>
      </c>
      <c r="L88" s="4">
        <f t="shared" si="18"/>
        <v>8470</v>
      </c>
      <c r="M88" s="4">
        <f t="shared" si="19"/>
        <v>11550</v>
      </c>
      <c r="N88" s="4">
        <f t="shared" si="20"/>
        <v>7795</v>
      </c>
      <c r="O88" s="4">
        <f t="shared" si="21"/>
        <v>9065</v>
      </c>
      <c r="P88" s="4">
        <f>IF((((Price30[Cost]*1.5)+50)/0.835)&lt;2500,
MROUND((((( Price30[Cost]*1.5)+50)/0.835)*1.05)*2,10),
MROUND((((( Price30[Cost]*1.5)+50)/0.835)*1.18)*2,10))</f>
        <v>27700</v>
      </c>
      <c r="Q88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11620</v>
      </c>
    </row>
    <row r="89" spans="1:17" x14ac:dyDescent="0.25">
      <c r="A89" s="1">
        <v>2026</v>
      </c>
      <c r="B89" s="18">
        <v>138</v>
      </c>
      <c r="C89" s="19" t="s">
        <v>277</v>
      </c>
      <c r="D89" s="19" t="s">
        <v>497</v>
      </c>
      <c r="E89" s="19" t="s">
        <v>574</v>
      </c>
      <c r="F89" s="19" t="s">
        <v>575</v>
      </c>
      <c r="G89" s="20">
        <v>9000</v>
      </c>
      <c r="I89" s="20">
        <v>15</v>
      </c>
      <c r="J89" s="4">
        <f t="shared" si="16"/>
        <v>9015</v>
      </c>
      <c r="K89" s="4">
        <f t="shared" si="17"/>
        <v>11135</v>
      </c>
      <c r="L89" s="4">
        <f t="shared" si="18"/>
        <v>11720</v>
      </c>
      <c r="M89" s="4">
        <f t="shared" si="19"/>
        <v>16000</v>
      </c>
      <c r="N89" s="4">
        <f t="shared" si="20"/>
        <v>10785</v>
      </c>
      <c r="O89" s="4">
        <f t="shared" si="21"/>
        <v>12545</v>
      </c>
      <c r="P89" s="4">
        <f>IF((((Price30[Cost]*1.5)+50)/0.835)&lt;2500,
MROUND((((( Price30[Cost]*1.5)+50)/0.835)*1.05)*2,10),
MROUND((((( Price30[Cost]*1.5)+50)/0.835)*1.18)*2,10))</f>
        <v>38300</v>
      </c>
      <c r="Q89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16070</v>
      </c>
    </row>
    <row r="90" spans="1:17" x14ac:dyDescent="0.25">
      <c r="A90" s="1"/>
      <c r="B90" s="18">
        <v>139</v>
      </c>
      <c r="C90" s="19" t="s">
        <v>277</v>
      </c>
      <c r="D90" s="19" t="s">
        <v>497</v>
      </c>
      <c r="E90" s="19" t="s">
        <v>168</v>
      </c>
      <c r="F90" s="19" t="s">
        <v>315</v>
      </c>
      <c r="G90" s="20">
        <v>1050</v>
      </c>
      <c r="I90" s="20">
        <v>4100</v>
      </c>
      <c r="J90" s="4">
        <f t="shared" si="16"/>
        <v>5150</v>
      </c>
      <c r="K90" s="4">
        <f t="shared" si="17"/>
        <v>6365</v>
      </c>
      <c r="L90" s="4">
        <f t="shared" si="18"/>
        <v>6695</v>
      </c>
      <c r="M90" s="4">
        <f t="shared" si="19"/>
        <v>9150</v>
      </c>
      <c r="N90" s="4">
        <f t="shared" si="20"/>
        <v>6160</v>
      </c>
      <c r="O90" s="4">
        <f t="shared" si="21"/>
        <v>7165</v>
      </c>
      <c r="P90" s="4">
        <f>IF((((Price30[Cost]*1.5)+50)/0.835)&lt;2500,
MROUND((((( Price30[Cost]*1.5)+50)/0.835)*1.05)*2,10),
MROUND((((( Price30[Cost]*1.5)+50)/0.835)*1.18)*2,10))</f>
        <v>4090</v>
      </c>
      <c r="Q90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9220</v>
      </c>
    </row>
    <row r="91" spans="1:17" x14ac:dyDescent="0.25">
      <c r="A91" s="1">
        <v>2025</v>
      </c>
      <c r="B91" s="18">
        <v>141</v>
      </c>
      <c r="C91" s="19" t="s">
        <v>277</v>
      </c>
      <c r="D91" s="19" t="s">
        <v>497</v>
      </c>
      <c r="E91" s="19" t="s">
        <v>125</v>
      </c>
      <c r="F91" s="19" t="s">
        <v>453</v>
      </c>
      <c r="G91" s="20">
        <v>4500</v>
      </c>
      <c r="I91" s="20">
        <v>25</v>
      </c>
      <c r="J91" s="4">
        <f t="shared" si="16"/>
        <v>4525</v>
      </c>
      <c r="K91" s="4">
        <f t="shared" si="17"/>
        <v>5595</v>
      </c>
      <c r="L91" s="4">
        <f t="shared" si="18"/>
        <v>5885</v>
      </c>
      <c r="M91" s="4">
        <f t="shared" si="19"/>
        <v>8050</v>
      </c>
      <c r="N91" s="4">
        <f t="shared" si="20"/>
        <v>5415</v>
      </c>
      <c r="O91" s="4">
        <f t="shared" si="21"/>
        <v>6300</v>
      </c>
      <c r="P91" s="4">
        <f>IF((((Price30[Cost]*1.5)+50)/0.835)&lt;2500,
MROUND((((( Price30[Cost]*1.5)+50)/0.835)*1.05)*2,10),
MROUND((((( Price30[Cost]*1.5)+50)/0.835)*1.18)*2,10))</f>
        <v>19220</v>
      </c>
      <c r="Q91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8120</v>
      </c>
    </row>
    <row r="92" spans="1:17" x14ac:dyDescent="0.25">
      <c r="A92" s="1">
        <v>2026</v>
      </c>
      <c r="B92" s="18">
        <v>144</v>
      </c>
      <c r="C92" s="19" t="s">
        <v>277</v>
      </c>
      <c r="D92" s="19" t="s">
        <v>497</v>
      </c>
      <c r="E92" s="19" t="s">
        <v>132</v>
      </c>
      <c r="F92" s="19" t="s">
        <v>327</v>
      </c>
      <c r="G92" s="20">
        <v>1450</v>
      </c>
      <c r="I92" s="20">
        <v>25</v>
      </c>
      <c r="J92" s="4">
        <f t="shared" si="16"/>
        <v>1475</v>
      </c>
      <c r="K92" s="4">
        <f t="shared" si="17"/>
        <v>1825</v>
      </c>
      <c r="L92" s="4">
        <f t="shared" si="18"/>
        <v>1920</v>
      </c>
      <c r="M92" s="4">
        <f t="shared" si="19"/>
        <v>2325</v>
      </c>
      <c r="N92" s="4">
        <f t="shared" si="20"/>
        <v>1770</v>
      </c>
      <c r="O92" s="4">
        <f t="shared" si="21"/>
        <v>2055</v>
      </c>
      <c r="P92" s="4">
        <f>IF((((Price30[Cost]*1.5)+50)/0.835)&lt;2500,
MROUND((((( Price30[Cost]*1.5)+50)/0.835)*1.05)*2,10),
MROUND((((( Price30[Cost]*1.5)+50)/0.835)*1.18)*2,10))</f>
        <v>6290</v>
      </c>
      <c r="Q92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2400</v>
      </c>
    </row>
    <row r="93" spans="1:17" x14ac:dyDescent="0.25">
      <c r="A93" s="1">
        <v>2026</v>
      </c>
      <c r="B93" s="18">
        <v>145</v>
      </c>
      <c r="C93" s="19" t="s">
        <v>277</v>
      </c>
      <c r="D93" s="19" t="s">
        <v>497</v>
      </c>
      <c r="E93" s="19" t="s">
        <v>132</v>
      </c>
      <c r="F93" s="19" t="s">
        <v>239</v>
      </c>
      <c r="G93" s="20">
        <v>13000</v>
      </c>
      <c r="I93" s="20">
        <v>25</v>
      </c>
      <c r="J93" s="4">
        <f t="shared" si="16"/>
        <v>13025</v>
      </c>
      <c r="K93" s="4">
        <f t="shared" si="17"/>
        <v>16090</v>
      </c>
      <c r="L93" s="4">
        <f t="shared" si="18"/>
        <v>16935</v>
      </c>
      <c r="M93" s="4">
        <f t="shared" si="19"/>
        <v>23100</v>
      </c>
      <c r="N93" s="4">
        <f t="shared" si="20"/>
        <v>15585</v>
      </c>
      <c r="O93" s="4">
        <f t="shared" si="21"/>
        <v>18125</v>
      </c>
      <c r="P93" s="4">
        <f>IF((((Price30[Cost]*1.5)+50)/0.835)&lt;2500,
MROUND((((( Price30[Cost]*1.5)+50)/0.835)*1.05)*2,10),
MROUND((((( Price30[Cost]*1.5)+50)/0.835)*1.18)*2,10))</f>
        <v>55260</v>
      </c>
      <c r="Q93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23170</v>
      </c>
    </row>
    <row r="94" spans="1:17" x14ac:dyDescent="0.25">
      <c r="A94" s="1">
        <v>2026</v>
      </c>
      <c r="B94" s="18">
        <v>146</v>
      </c>
      <c r="C94" s="19" t="s">
        <v>277</v>
      </c>
      <c r="D94" s="19" t="s">
        <v>497</v>
      </c>
      <c r="E94" s="19" t="s">
        <v>132</v>
      </c>
      <c r="F94" s="19" t="s">
        <v>239</v>
      </c>
      <c r="G94" s="20">
        <v>16000</v>
      </c>
      <c r="I94" s="20">
        <v>25</v>
      </c>
      <c r="J94" s="4">
        <f t="shared" si="16"/>
        <v>16025</v>
      </c>
      <c r="K94" s="4">
        <f t="shared" si="17"/>
        <v>19795</v>
      </c>
      <c r="L94" s="4">
        <f t="shared" si="18"/>
        <v>20835</v>
      </c>
      <c r="M94" s="4">
        <f t="shared" si="19"/>
        <v>28400</v>
      </c>
      <c r="N94" s="4">
        <f t="shared" si="20"/>
        <v>19170</v>
      </c>
      <c r="O94" s="4">
        <f t="shared" si="21"/>
        <v>22295</v>
      </c>
      <c r="P94" s="4">
        <f>IF((((Price30[Cost]*1.5)+50)/0.835)&lt;2500,
MROUND((((( Price30[Cost]*1.5)+50)/0.835)*1.05)*2,10),
MROUND((((( Price30[Cost]*1.5)+50)/0.835)*1.18)*2,10))</f>
        <v>67970</v>
      </c>
      <c r="Q94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28470</v>
      </c>
    </row>
    <row r="95" spans="1:17" x14ac:dyDescent="0.25">
      <c r="A95" s="1">
        <v>2025</v>
      </c>
      <c r="B95" s="18">
        <v>147</v>
      </c>
      <c r="C95" s="19" t="s">
        <v>284</v>
      </c>
      <c r="D95" s="19" t="s">
        <v>497</v>
      </c>
      <c r="E95" s="19" t="s">
        <v>132</v>
      </c>
      <c r="F95" s="19" t="s">
        <v>239</v>
      </c>
      <c r="G95" s="20">
        <v>18000</v>
      </c>
      <c r="I95" s="20">
        <v>25</v>
      </c>
      <c r="J95" s="4">
        <f t="shared" si="16"/>
        <v>18025</v>
      </c>
      <c r="K95" s="4">
        <f t="shared" si="17"/>
        <v>22265</v>
      </c>
      <c r="L95" s="4">
        <f t="shared" si="18"/>
        <v>23435</v>
      </c>
      <c r="M95" s="4">
        <f t="shared" si="19"/>
        <v>31950</v>
      </c>
      <c r="N95" s="4">
        <f t="shared" si="20"/>
        <v>21565</v>
      </c>
      <c r="O95" s="4">
        <f t="shared" si="21"/>
        <v>25080</v>
      </c>
      <c r="P95" s="4">
        <f>IF((((Price30[Cost]*1.5)+50)/0.835)&lt;2500,
MROUND((((( Price30[Cost]*1.5)+50)/0.835)*1.05)*2,10),
MROUND((((( Price30[Cost]*1.5)+50)/0.835)*1.18)*2,10))</f>
        <v>76450</v>
      </c>
      <c r="Q95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32020</v>
      </c>
    </row>
    <row r="96" spans="1:17" x14ac:dyDescent="0.25">
      <c r="A96" s="1">
        <v>2025</v>
      </c>
      <c r="B96" s="18">
        <v>148</v>
      </c>
      <c r="C96" s="19" t="s">
        <v>284</v>
      </c>
      <c r="D96" s="19" t="s">
        <v>497</v>
      </c>
      <c r="E96" s="19" t="s">
        <v>132</v>
      </c>
      <c r="F96" s="19" t="s">
        <v>239</v>
      </c>
      <c r="G96" s="20">
        <v>19000</v>
      </c>
      <c r="I96" s="20">
        <v>25</v>
      </c>
      <c r="J96" s="4">
        <f t="shared" si="16"/>
        <v>19025</v>
      </c>
      <c r="K96" s="4">
        <f t="shared" si="17"/>
        <v>23500</v>
      </c>
      <c r="L96" s="4">
        <f t="shared" si="18"/>
        <v>24735</v>
      </c>
      <c r="M96" s="4">
        <f t="shared" si="19"/>
        <v>33700</v>
      </c>
      <c r="N96" s="4">
        <f t="shared" si="20"/>
        <v>22760</v>
      </c>
      <c r="O96" s="4">
        <f t="shared" si="21"/>
        <v>26470</v>
      </c>
      <c r="P96" s="4">
        <f>IF((((Price30[Cost]*1.5)+50)/0.835)&lt;2500,
MROUND((((( Price30[Cost]*1.5)+50)/0.835)*1.05)*2,10),
MROUND((((( Price30[Cost]*1.5)+50)/0.835)*1.18)*2,10))</f>
        <v>80690</v>
      </c>
      <c r="Q96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33770</v>
      </c>
    </row>
    <row r="97" spans="1:17" x14ac:dyDescent="0.25">
      <c r="A97" s="1">
        <v>2026</v>
      </c>
      <c r="B97" s="18">
        <v>149</v>
      </c>
      <c r="C97" s="19" t="s">
        <v>284</v>
      </c>
      <c r="D97" s="19" t="s">
        <v>497</v>
      </c>
      <c r="E97" s="19" t="s">
        <v>128</v>
      </c>
      <c r="F97" s="19" t="s">
        <v>989</v>
      </c>
      <c r="G97" s="20">
        <v>3935</v>
      </c>
      <c r="I97" s="20">
        <v>25</v>
      </c>
      <c r="J97" s="4">
        <f t="shared" ref="J97:J100" si="22">IF(SUMIF(G97:I97,"&lt;&gt;")=0,"",SUM(G97:I97))</f>
        <v>3960</v>
      </c>
      <c r="K97" s="4">
        <f t="shared" ref="K97:K100" si="23">IF(ISNUMBER(L97),
   IF(CEILING(ROUND(L97*0.95,2),5)=420,
      425,
      CEILING(ROUND(L97*0.95,2),5)
   ),
   ""
)</f>
        <v>4895</v>
      </c>
      <c r="L97" s="4">
        <f t="shared" ref="L97:L100" si="24">IF(AND(ISNUMBER(J97),ISNUMBER(G97)),
   IF(CEILING(ROUND(J97*1.3,2),5)=420,
      425,
      CEILING(ROUND(J97*1.3,2),5)
   ),
   ""
)</f>
        <v>5150</v>
      </c>
      <c r="M97" s="4">
        <f t="shared" ref="M97:M100" si="25">IF(AND(ISNUMBER(J97),ISNUMBER(G97)),
   IF(
      CEILING(
         ROUND((J97*1.5) * IF(J97*1.5 &lt;= 2500, 1.05, 1.18), 2),
         IF(ROUND((J97*1.5) * IF(J97*1.5 &lt;= 2500, 1.05, 1.18), 2) &lt; 2500, 25, 50)
      )=420,
      425,
      CEILING(
         ROUND((J97*1.5) * IF(J97*1.5 &lt;= 2500, 1.05, 1.18), 2),
         IF(ROUND((J97*1.5) * IF(J97*1.5 &lt;= 2500, 1.05, 1.18), 2) &lt; 2500, 25, 50)
      )
   ),
   ""
)</f>
        <v>7050</v>
      </c>
      <c r="N97" s="4">
        <f t="shared" ref="N97:N100" si="26">IF(ISNUMBER(G97),
   IF(CEILING(ROUND(L97*0.92,2),5)=420,
      425,
      CEILING(ROUND(L97*0.92,2),5)
   ),
   ""
)</f>
        <v>4740</v>
      </c>
      <c r="O97" s="4">
        <f t="shared" ref="O97:O100" si="27">IF(ISNUMBER(L97),
   IF(CEILING(ROUND(L97*1.07,2),5)=420,
      425,
      CEILING(ROUND(L97*1.07,2),5)
   ),
   ""
)</f>
        <v>5515</v>
      </c>
      <c r="P97" s="4">
        <f>IF((((Price30[Cost]*1.5)+50)/0.835)&lt;2500,
MROUND((((( Price30[Cost]*1.5)+50)/0.835)*1.05)*2,10),
MROUND((((( Price30[Cost]*1.5)+50)/0.835)*1.18)*2,10))</f>
        <v>16820</v>
      </c>
      <c r="Q97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7120</v>
      </c>
    </row>
    <row r="98" spans="1:17" x14ac:dyDescent="0.25">
      <c r="A98" s="1">
        <v>2026</v>
      </c>
      <c r="B98" s="18">
        <v>151</v>
      </c>
      <c r="C98" s="19" t="s">
        <v>284</v>
      </c>
      <c r="D98" s="19" t="s">
        <v>497</v>
      </c>
      <c r="E98" s="19" t="s">
        <v>128</v>
      </c>
      <c r="F98" s="19" t="s">
        <v>990</v>
      </c>
      <c r="G98" s="20">
        <v>3745</v>
      </c>
      <c r="I98" s="20">
        <v>25</v>
      </c>
      <c r="J98" s="4">
        <f t="shared" si="22"/>
        <v>3770</v>
      </c>
      <c r="K98" s="4">
        <f t="shared" si="23"/>
        <v>4660</v>
      </c>
      <c r="L98" s="4">
        <f t="shared" si="24"/>
        <v>4905</v>
      </c>
      <c r="M98" s="4">
        <f t="shared" si="25"/>
        <v>6700</v>
      </c>
      <c r="N98" s="4">
        <f t="shared" si="26"/>
        <v>4515</v>
      </c>
      <c r="O98" s="4">
        <f t="shared" si="27"/>
        <v>5250</v>
      </c>
      <c r="P98" s="4">
        <f>IF((((Price30[Cost]*1.5)+50)/0.835)&lt;2500,
MROUND((((( Price30[Cost]*1.5)+50)/0.835)*1.05)*2,10),
MROUND((((( Price30[Cost]*1.5)+50)/0.835)*1.18)*2,10))</f>
        <v>16020</v>
      </c>
      <c r="Q98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6770</v>
      </c>
    </row>
    <row r="99" spans="1:17" x14ac:dyDescent="0.25">
      <c r="A99" s="1">
        <v>2026</v>
      </c>
      <c r="B99" s="18">
        <v>152</v>
      </c>
      <c r="C99" s="19" t="s">
        <v>284</v>
      </c>
      <c r="D99" s="19" t="s">
        <v>497</v>
      </c>
      <c r="E99" s="19" t="s">
        <v>128</v>
      </c>
      <c r="F99" s="19">
        <v>26082</v>
      </c>
      <c r="G99" s="20">
        <v>3640</v>
      </c>
      <c r="I99" s="20">
        <v>25</v>
      </c>
      <c r="J99" s="4">
        <f t="shared" si="22"/>
        <v>3665</v>
      </c>
      <c r="K99" s="4">
        <f t="shared" si="23"/>
        <v>4530</v>
      </c>
      <c r="L99" s="4">
        <f t="shared" si="24"/>
        <v>4765</v>
      </c>
      <c r="M99" s="4">
        <f t="shared" si="25"/>
        <v>6500</v>
      </c>
      <c r="N99" s="4">
        <f t="shared" si="26"/>
        <v>4385</v>
      </c>
      <c r="O99" s="4">
        <f t="shared" si="27"/>
        <v>5100</v>
      </c>
      <c r="P99" s="4">
        <f>IF((((Price30[Cost]*1.5)+50)/0.835)&lt;2500,
MROUND((((( Price30[Cost]*1.5)+50)/0.835)*1.05)*2,10),
MROUND((((( Price30[Cost]*1.5)+50)/0.835)*1.18)*2,10))</f>
        <v>15570</v>
      </c>
      <c r="Q99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6570</v>
      </c>
    </row>
    <row r="100" spans="1:17" x14ac:dyDescent="0.25">
      <c r="A100" s="1">
        <v>2026</v>
      </c>
      <c r="B100" s="18">
        <v>153</v>
      </c>
      <c r="C100" s="19" t="s">
        <v>284</v>
      </c>
      <c r="D100" s="19" t="s">
        <v>497</v>
      </c>
      <c r="E100" s="19" t="s">
        <v>128</v>
      </c>
      <c r="F100" s="19" t="s">
        <v>991</v>
      </c>
      <c r="G100" s="20">
        <v>3000</v>
      </c>
      <c r="I100" s="20">
        <v>25</v>
      </c>
      <c r="J100" s="4">
        <f t="shared" si="22"/>
        <v>3025</v>
      </c>
      <c r="K100" s="4">
        <f t="shared" si="23"/>
        <v>3740</v>
      </c>
      <c r="L100" s="4">
        <f t="shared" si="24"/>
        <v>3935</v>
      </c>
      <c r="M100" s="4">
        <f t="shared" si="25"/>
        <v>5400</v>
      </c>
      <c r="N100" s="4">
        <f t="shared" si="26"/>
        <v>3625</v>
      </c>
      <c r="O100" s="4">
        <f t="shared" si="27"/>
        <v>4215</v>
      </c>
      <c r="P100" s="4">
        <f>IF((((Price30[Cost]*1.5)+50)/0.835)&lt;2500,
MROUND((((( Price30[Cost]*1.5)+50)/0.835)*1.05)*2,10),
MROUND((((( Price30[Cost]*1.5)+50)/0.835)*1.18)*2,10))</f>
        <v>12860</v>
      </c>
      <c r="Q100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5470</v>
      </c>
    </row>
    <row r="101" spans="1:17" x14ac:dyDescent="0.25">
      <c r="A101" s="1">
        <v>2026</v>
      </c>
      <c r="B101" s="18">
        <v>154</v>
      </c>
      <c r="C101" s="19" t="s">
        <v>284</v>
      </c>
      <c r="D101" s="19" t="s">
        <v>497</v>
      </c>
      <c r="E101" s="19" t="s">
        <v>128</v>
      </c>
      <c r="F101" s="19">
        <v>25085</v>
      </c>
      <c r="G101" s="20">
        <v>3420</v>
      </c>
      <c r="I101" s="20">
        <v>25</v>
      </c>
      <c r="J101" s="4">
        <f>IF(SUMIF(G101:I101,"&lt;&gt;")=0,"",SUM(G101:I101))</f>
        <v>3445</v>
      </c>
      <c r="K101" s="4">
        <f>IF(ISNUMBER(L101),
   IF(CEILING(ROUND(L101*0.95,2),5)=420,
      425,
      CEILING(ROUND(L101*0.95,2),5)
   ),
   ""
)</f>
        <v>4260</v>
      </c>
      <c r="L101" s="4">
        <f>IF(AND(ISNUMBER(J101),ISNUMBER(G101)),
   IF(CEILING(ROUND(J101*1.3,2),5)=420,
      425,
      CEILING(ROUND(J101*1.3,2),5)
   ),
   ""
)</f>
        <v>4480</v>
      </c>
      <c r="M101" s="4">
        <f>IF(AND(ISNUMBER(J101),ISNUMBER(G101)),
   IF(
      CEILING(
         ROUND((J101*1.5) * IF(J101*1.5 &lt;= 2500, 1.05, 1.18), 2),
         IF(ROUND((J101*1.5) * IF(J101*1.5 &lt;= 2500, 1.05, 1.18), 2) &lt; 2500, 25, 50)
      )=420,
      425,
      CEILING(
         ROUND((J101*1.5) * IF(J101*1.5 &lt;= 2500, 1.05, 1.18), 2),
         IF(ROUND((J101*1.5) * IF(J101*1.5 &lt;= 2500, 1.05, 1.18), 2) &lt; 2500, 25, 50)
      )
   ),
   ""
)</f>
        <v>6100</v>
      </c>
      <c r="N101" s="4">
        <f>IF(ISNUMBER(G101),
   IF(CEILING(ROUND(L101*0.92,2),5)=420,
      425,
      CEILING(ROUND(L101*0.92,2),5)
   ),
   ""
)</f>
        <v>4125</v>
      </c>
      <c r="O101" s="4">
        <f>IF(ISNUMBER(L101),
   IF(CEILING(ROUND(L101*1.07,2),5)=420,
      425,
      CEILING(ROUND(L101*1.07,2),5)
   ),
   ""
)</f>
        <v>4795</v>
      </c>
      <c r="P101" s="4">
        <f>IF((((Price30[Cost]*1.5)+50)/0.835)&lt;2500,
MROUND((((( Price30[Cost]*1.5)+50)/0.835)*1.05)*2,10),
MROUND((((( Price30[Cost]*1.5)+50)/0.835)*1.18)*2,10))</f>
        <v>14640</v>
      </c>
      <c r="Q101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6170</v>
      </c>
    </row>
    <row r="102" spans="1:17" x14ac:dyDescent="0.25">
      <c r="A102" s="1">
        <v>2026</v>
      </c>
      <c r="B102" s="18">
        <v>155</v>
      </c>
      <c r="C102" s="19" t="s">
        <v>284</v>
      </c>
      <c r="D102" s="19" t="s">
        <v>497</v>
      </c>
      <c r="E102" s="19" t="s">
        <v>126</v>
      </c>
      <c r="F102" s="19" t="s">
        <v>1012</v>
      </c>
      <c r="G102" s="20">
        <v>11500</v>
      </c>
      <c r="I102" s="20">
        <v>25</v>
      </c>
      <c r="J102" s="4">
        <f>IF(SUMIF(G102:I102,"&lt;&gt;")=0,"",SUM(G102:I102))</f>
        <v>11525</v>
      </c>
      <c r="K102" s="4">
        <f>IF(ISNUMBER(L102),
   IF(CEILING(ROUND(L102*0.95,2),5)=420,
      425,
      CEILING(ROUND(L102*0.95,2),5)
   ),
   ""
)</f>
        <v>14240</v>
      </c>
      <c r="L102" s="4">
        <f>IF(AND(ISNUMBER(J102),ISNUMBER(G102)),
   IF(CEILING(ROUND(J102*1.3,2),5)=420,
      425,
      CEILING(ROUND(J102*1.3,2),5)
   ),
   ""
)</f>
        <v>14985</v>
      </c>
      <c r="M102" s="4">
        <f>IF(AND(ISNUMBER(J102),ISNUMBER(G102)),
   IF(
      CEILING(
         ROUND((J102*1.5) * IF(J102*1.5 &lt;= 2500, 1.05, 1.18), 2),
         IF(ROUND((J102*1.5) * IF(J102*1.5 &lt;= 2500, 1.05, 1.18), 2) &lt; 2500, 25, 50)
      )=420,
      425,
      CEILING(
         ROUND((J102*1.5) * IF(J102*1.5 &lt;= 2500, 1.05, 1.18), 2),
         IF(ROUND((J102*1.5) * IF(J102*1.5 &lt;= 2500, 1.05, 1.18), 2) &lt; 2500, 25, 50)
      )
   ),
   ""
)</f>
        <v>20400</v>
      </c>
      <c r="N102" s="4">
        <f>IF(ISNUMBER(G102),
   IF(CEILING(ROUND(L102*0.92,2),5)=420,
      425,
      CEILING(ROUND(L102*0.92,2),5)
   ),
   ""
)</f>
        <v>13790</v>
      </c>
      <c r="O102" s="4">
        <f>IF(ISNUMBER(L102),
   IF(CEILING(ROUND(L102*1.07,2),5)=420,
      425,
      CEILING(ROUND(L102*1.07,2),5)
   ),
   ""
)</f>
        <v>16035</v>
      </c>
      <c r="P102" s="4">
        <f>IF((((Price30[Cost]*1.5)+50)/0.835)&lt;2500,
MROUND((((( Price30[Cost]*1.5)+50)/0.835)*1.05)*2,10),
MROUND((((( Price30[Cost]*1.5)+50)/0.835)*1.18)*2,10))</f>
        <v>48900</v>
      </c>
      <c r="Q102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20470</v>
      </c>
    </row>
    <row r="103" spans="1:17" x14ac:dyDescent="0.25">
      <c r="A103" s="1">
        <v>2026</v>
      </c>
      <c r="B103" s="18">
        <v>190</v>
      </c>
      <c r="C103" s="19" t="s">
        <v>287</v>
      </c>
      <c r="D103" s="19" t="s">
        <v>167</v>
      </c>
      <c r="E103" s="19" t="s">
        <v>169</v>
      </c>
      <c r="F103" s="19" t="s">
        <v>831</v>
      </c>
      <c r="G103" s="20">
        <v>450</v>
      </c>
      <c r="I103" s="20">
        <v>50</v>
      </c>
      <c r="J103" s="4">
        <f t="shared" ref="J103:J104" si="28">IF(SUMIF(G103:I103,"&lt;&gt;")=0,"",SUM(G103:I103))</f>
        <v>500</v>
      </c>
      <c r="K103" s="4">
        <f t="shared" si="17"/>
        <v>620</v>
      </c>
      <c r="L103" s="4">
        <f t="shared" si="18"/>
        <v>650</v>
      </c>
      <c r="M103" s="4">
        <f t="shared" si="19"/>
        <v>800</v>
      </c>
      <c r="N103" s="4">
        <f t="shared" si="20"/>
        <v>600</v>
      </c>
      <c r="O103" s="4">
        <f t="shared" si="21"/>
        <v>700</v>
      </c>
      <c r="P103" s="4">
        <f>IF((((Price30[Cost]*1.5)+50)/0.835)&lt;2500,
MROUND((((( Price30[Cost]*1.5)+50)/0.835)*1.05)*2,10),
MROUND((((( Price30[Cost]*1.5)+50)/0.835)*1.18)*2,10))</f>
        <v>1820</v>
      </c>
      <c r="Q103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870</v>
      </c>
    </row>
    <row r="104" spans="1:17" x14ac:dyDescent="0.25">
      <c r="A104" s="1">
        <v>2026</v>
      </c>
      <c r="B104" s="18">
        <v>191</v>
      </c>
      <c r="C104" s="19" t="s">
        <v>287</v>
      </c>
      <c r="D104" s="19" t="s">
        <v>700</v>
      </c>
      <c r="E104" s="19" t="s">
        <v>779</v>
      </c>
      <c r="F104" s="19" t="s">
        <v>119</v>
      </c>
      <c r="G104" s="20">
        <v>725</v>
      </c>
      <c r="I104" s="20">
        <v>25</v>
      </c>
      <c r="J104" s="4">
        <f t="shared" si="28"/>
        <v>750</v>
      </c>
      <c r="K104" s="4">
        <f t="shared" si="17"/>
        <v>930</v>
      </c>
      <c r="L104" s="4">
        <f t="shared" si="18"/>
        <v>975</v>
      </c>
      <c r="M104" s="4">
        <f t="shared" si="19"/>
        <v>1200</v>
      </c>
      <c r="N104" s="4">
        <f t="shared" si="20"/>
        <v>900</v>
      </c>
      <c r="O104" s="4">
        <f t="shared" si="21"/>
        <v>1045</v>
      </c>
      <c r="P104" s="4">
        <f>IF((((Price30[Cost]*1.5)+50)/0.835)&lt;2500,
MROUND((((( Price30[Cost]*1.5)+50)/0.835)*1.05)*2,10),
MROUND((((( Price30[Cost]*1.5)+50)/0.835)*1.18)*2,10))</f>
        <v>2860</v>
      </c>
      <c r="Q104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1270</v>
      </c>
    </row>
    <row r="105" spans="1:17" x14ac:dyDescent="0.25">
      <c r="A105" s="1">
        <v>2025</v>
      </c>
      <c r="B105" s="18">
        <v>221</v>
      </c>
      <c r="C105" s="19" t="s">
        <v>277</v>
      </c>
      <c r="D105" s="19" t="s">
        <v>497</v>
      </c>
      <c r="E105" s="19" t="s">
        <v>233</v>
      </c>
      <c r="F105" s="19" t="s">
        <v>457</v>
      </c>
      <c r="G105" s="20">
        <v>315</v>
      </c>
      <c r="H105" s="20">
        <v>-30</v>
      </c>
      <c r="I105" s="20">
        <v>25</v>
      </c>
      <c r="J105" s="4">
        <f t="shared" si="16"/>
        <v>310</v>
      </c>
      <c r="K105" s="4">
        <f t="shared" si="17"/>
        <v>385</v>
      </c>
      <c r="L105" s="4">
        <f t="shared" si="18"/>
        <v>405</v>
      </c>
      <c r="M105" s="4">
        <f t="shared" si="19"/>
        <v>500</v>
      </c>
      <c r="N105" s="4">
        <f t="shared" si="20"/>
        <v>375</v>
      </c>
      <c r="O105" s="4">
        <f t="shared" si="21"/>
        <v>435</v>
      </c>
      <c r="P105" s="4">
        <f>IF((((Price30[Cost]*1.5)+50)/0.835)&lt;2500,
MROUND((((( Price30[Cost]*1.5)+50)/0.835)*1.05)*2,10),
MROUND((((( Price30[Cost]*1.5)+50)/0.835)*1.18)*2,10))</f>
        <v>1310</v>
      </c>
      <c r="Q105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570</v>
      </c>
    </row>
    <row r="106" spans="1:17" x14ac:dyDescent="0.25">
      <c r="A106" s="1">
        <v>2026</v>
      </c>
      <c r="B106" s="18">
        <v>224</v>
      </c>
      <c r="C106" s="19" t="s">
        <v>277</v>
      </c>
      <c r="D106" s="19" t="s">
        <v>497</v>
      </c>
      <c r="E106" s="19" t="s">
        <v>174</v>
      </c>
      <c r="F106" s="19" t="s">
        <v>179</v>
      </c>
      <c r="G106" s="20">
        <v>950</v>
      </c>
      <c r="I106" s="20">
        <v>25</v>
      </c>
      <c r="J106" s="4">
        <f t="shared" si="16"/>
        <v>975</v>
      </c>
      <c r="K106" s="4">
        <f t="shared" si="17"/>
        <v>1210</v>
      </c>
      <c r="L106" s="4">
        <f t="shared" si="18"/>
        <v>1270</v>
      </c>
      <c r="M106" s="4">
        <f t="shared" si="19"/>
        <v>1550</v>
      </c>
      <c r="N106" s="4">
        <f t="shared" si="20"/>
        <v>1170</v>
      </c>
      <c r="O106" s="4">
        <f t="shared" si="21"/>
        <v>1360</v>
      </c>
      <c r="P106" s="4">
        <f>IF((((Price30[Cost]*1.5)+50)/0.835)&lt;2500,
MROUND((((( Price30[Cost]*1.5)+50)/0.835)*1.05)*2,10),
MROUND((((( Price30[Cost]*1.5)+50)/0.835)*1.18)*2,10))</f>
        <v>3710</v>
      </c>
      <c r="Q106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1620</v>
      </c>
    </row>
    <row r="107" spans="1:17" x14ac:dyDescent="0.25">
      <c r="A107" s="1"/>
      <c r="B107" s="18">
        <v>2241</v>
      </c>
      <c r="C107" s="19" t="s">
        <v>277</v>
      </c>
      <c r="D107" s="19" t="s">
        <v>497</v>
      </c>
      <c r="E107" s="19" t="s">
        <v>127</v>
      </c>
      <c r="F107" s="19" t="s">
        <v>99</v>
      </c>
      <c r="G107" s="20">
        <v>1000</v>
      </c>
      <c r="I107" s="20">
        <v>25</v>
      </c>
      <c r="J107" s="4">
        <f t="shared" si="16"/>
        <v>1025</v>
      </c>
      <c r="K107" s="4">
        <f t="shared" si="17"/>
        <v>1270</v>
      </c>
      <c r="L107" s="4">
        <f t="shared" si="18"/>
        <v>1335</v>
      </c>
      <c r="M107" s="4">
        <f t="shared" si="19"/>
        <v>1625</v>
      </c>
      <c r="N107" s="4">
        <f t="shared" si="20"/>
        <v>1230</v>
      </c>
      <c r="O107" s="4">
        <f t="shared" si="21"/>
        <v>1430</v>
      </c>
      <c r="P107" s="4">
        <f>IF((((Price30[Cost]*1.5)+50)/0.835)&lt;2500,
MROUND((((( Price30[Cost]*1.5)+50)/0.835)*1.05)*2,10),
MROUND((((( Price30[Cost]*1.5)+50)/0.835)*1.18)*2,10))</f>
        <v>3900</v>
      </c>
      <c r="Q107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1700</v>
      </c>
    </row>
    <row r="108" spans="1:17" x14ac:dyDescent="0.25">
      <c r="A108" s="1">
        <v>2026</v>
      </c>
      <c r="B108" s="18">
        <v>225</v>
      </c>
      <c r="C108" s="19" t="s">
        <v>277</v>
      </c>
      <c r="D108" s="19" t="s">
        <v>497</v>
      </c>
      <c r="E108" s="19" t="s">
        <v>233</v>
      </c>
      <c r="F108" s="19" t="s">
        <v>57</v>
      </c>
      <c r="G108" s="20">
        <v>455</v>
      </c>
      <c r="H108" s="20">
        <v>-40</v>
      </c>
      <c r="I108" s="20">
        <v>25</v>
      </c>
      <c r="J108" s="4">
        <f t="shared" si="16"/>
        <v>440</v>
      </c>
      <c r="K108" s="4">
        <f t="shared" si="17"/>
        <v>550</v>
      </c>
      <c r="L108" s="4">
        <f t="shared" si="18"/>
        <v>575</v>
      </c>
      <c r="M108" s="4">
        <f t="shared" si="19"/>
        <v>700</v>
      </c>
      <c r="N108" s="4">
        <f t="shared" si="20"/>
        <v>530</v>
      </c>
      <c r="O108" s="4">
        <f t="shared" si="21"/>
        <v>620</v>
      </c>
      <c r="P108" s="4">
        <f>IF((((Price30[Cost]*1.5)+50)/0.835)&lt;2500,
MROUND((((( Price30[Cost]*1.5)+50)/0.835)*1.05)*2,10),
MROUND((((( Price30[Cost]*1.5)+50)/0.835)*1.18)*2,10))</f>
        <v>1840</v>
      </c>
      <c r="Q108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770</v>
      </c>
    </row>
    <row r="109" spans="1:17" x14ac:dyDescent="0.25">
      <c r="A109" s="1">
        <v>2026</v>
      </c>
      <c r="B109" s="18">
        <v>2251</v>
      </c>
      <c r="C109" s="19" t="s">
        <v>284</v>
      </c>
      <c r="D109" s="19" t="s">
        <v>497</v>
      </c>
      <c r="E109" s="19" t="s">
        <v>779</v>
      </c>
      <c r="F109" s="19" t="s">
        <v>800</v>
      </c>
      <c r="G109" s="20">
        <v>550</v>
      </c>
      <c r="I109" s="20">
        <v>25</v>
      </c>
      <c r="J109" s="4">
        <f>IF(SUMIF(G109:I109,"&lt;&gt;")=0,"",SUM(G109:I109))</f>
        <v>575</v>
      </c>
      <c r="K109" s="4">
        <f t="shared" si="17"/>
        <v>715</v>
      </c>
      <c r="L109" s="4">
        <f t="shared" si="18"/>
        <v>750</v>
      </c>
      <c r="M109" s="4">
        <f t="shared" si="19"/>
        <v>925</v>
      </c>
      <c r="N109" s="4">
        <f t="shared" si="20"/>
        <v>690</v>
      </c>
      <c r="O109" s="4">
        <f t="shared" si="21"/>
        <v>805</v>
      </c>
      <c r="P109" s="4">
        <f>IF((((Price30[Cost]*1.5)+50)/0.835)&lt;2500,
MROUND((((( Price30[Cost]*1.5)+50)/0.835)*1.05)*2,10),
MROUND((((( Price30[Cost]*1.5)+50)/0.835)*1.18)*2,10))</f>
        <v>2200</v>
      </c>
      <c r="Q109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1000</v>
      </c>
    </row>
    <row r="110" spans="1:17" x14ac:dyDescent="0.25">
      <c r="A110" s="1">
        <v>2026</v>
      </c>
      <c r="B110" s="18">
        <v>226</v>
      </c>
      <c r="C110" s="19" t="s">
        <v>277</v>
      </c>
      <c r="D110" s="19" t="s">
        <v>167</v>
      </c>
      <c r="E110" s="19" t="s">
        <v>186</v>
      </c>
      <c r="F110" s="19" t="s">
        <v>863</v>
      </c>
      <c r="G110" s="20">
        <v>380</v>
      </c>
      <c r="I110" s="20">
        <v>25</v>
      </c>
      <c r="J110" s="4">
        <f t="shared" si="16"/>
        <v>405</v>
      </c>
      <c r="K110" s="4">
        <f t="shared" si="17"/>
        <v>505</v>
      </c>
      <c r="L110" s="4">
        <f t="shared" si="18"/>
        <v>530</v>
      </c>
      <c r="M110" s="4">
        <f t="shared" si="19"/>
        <v>650</v>
      </c>
      <c r="N110" s="4">
        <f t="shared" si="20"/>
        <v>490</v>
      </c>
      <c r="O110" s="4">
        <f t="shared" si="21"/>
        <v>570</v>
      </c>
      <c r="P110" s="4">
        <f>IF((((Price30[Cost]*1.5)+50)/0.835)&lt;2500,
MROUND((((( Price30[Cost]*1.5)+50)/0.835)*1.05)*2,10),
MROUND((((( Price30[Cost]*1.5)+50)/0.835)*1.18)*2,10))</f>
        <v>1560</v>
      </c>
      <c r="Q110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720</v>
      </c>
    </row>
    <row r="111" spans="1:17" x14ac:dyDescent="0.25">
      <c r="A111" s="1"/>
      <c r="B111" s="18">
        <v>227</v>
      </c>
      <c r="C111" s="19" t="s">
        <v>284</v>
      </c>
      <c r="D111" s="19" t="s">
        <v>497</v>
      </c>
      <c r="E111" s="19" t="s">
        <v>233</v>
      </c>
      <c r="F111" s="19" t="s">
        <v>684</v>
      </c>
      <c r="G111" s="20">
        <v>355</v>
      </c>
      <c r="I111" s="20">
        <v>25</v>
      </c>
      <c r="J111" s="4">
        <f t="shared" si="16"/>
        <v>380</v>
      </c>
      <c r="K111" s="4">
        <f t="shared" si="17"/>
        <v>475</v>
      </c>
      <c r="L111" s="4">
        <f t="shared" si="18"/>
        <v>495</v>
      </c>
      <c r="M111" s="4">
        <f t="shared" si="19"/>
        <v>600</v>
      </c>
      <c r="N111" s="4">
        <f t="shared" si="20"/>
        <v>460</v>
      </c>
      <c r="O111" s="4">
        <f t="shared" si="21"/>
        <v>530</v>
      </c>
      <c r="P111" s="4">
        <f>IF((((Price30[Cost]*1.5)+50)/0.835)&lt;2500,
MROUND((((( Price30[Cost]*1.5)+50)/0.835)*1.05)*2,10),
MROUND((((( Price30[Cost]*1.5)+50)/0.835)*1.18)*2,10))</f>
        <v>1460</v>
      </c>
      <c r="Q111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670</v>
      </c>
    </row>
    <row r="112" spans="1:17" x14ac:dyDescent="0.25">
      <c r="A112" s="1"/>
      <c r="B112" s="18">
        <v>236</v>
      </c>
      <c r="C112" s="19" t="s">
        <v>277</v>
      </c>
      <c r="D112" s="19" t="s">
        <v>497</v>
      </c>
      <c r="E112" s="19" t="s">
        <v>227</v>
      </c>
      <c r="F112" s="19" t="s">
        <v>232</v>
      </c>
      <c r="G112" s="20">
        <v>250</v>
      </c>
      <c r="I112" s="20">
        <v>25</v>
      </c>
      <c r="J112" s="4">
        <f t="shared" si="16"/>
        <v>275</v>
      </c>
      <c r="K112" s="4">
        <f t="shared" si="17"/>
        <v>345</v>
      </c>
      <c r="L112" s="4">
        <f t="shared" si="18"/>
        <v>360</v>
      </c>
      <c r="M112" s="4">
        <f t="shared" si="19"/>
        <v>450</v>
      </c>
      <c r="N112" s="4">
        <f t="shared" si="20"/>
        <v>335</v>
      </c>
      <c r="O112" s="4">
        <f t="shared" si="21"/>
        <v>390</v>
      </c>
      <c r="P112" s="4">
        <f>IF((((Price30[Cost]*1.5)+50)/0.835)&lt;2500,
MROUND((((( Price30[Cost]*1.5)+50)/0.835)*1.05)*2,10),
MROUND((((( Price30[Cost]*1.5)+50)/0.835)*1.18)*2,10))</f>
        <v>1070</v>
      </c>
      <c r="Q112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520</v>
      </c>
    </row>
    <row r="113" spans="1:17" x14ac:dyDescent="0.25">
      <c r="A113" s="1">
        <v>2025</v>
      </c>
      <c r="B113" s="18">
        <v>239</v>
      </c>
      <c r="C113" s="19" t="s">
        <v>277</v>
      </c>
      <c r="D113" s="19" t="s">
        <v>497</v>
      </c>
      <c r="E113" s="19" t="s">
        <v>233</v>
      </c>
      <c r="F113" s="19" t="s">
        <v>234</v>
      </c>
      <c r="G113" s="20">
        <v>465</v>
      </c>
      <c r="H113" s="20">
        <v>-45</v>
      </c>
      <c r="I113" s="20">
        <v>25</v>
      </c>
      <c r="J113" s="4">
        <f t="shared" si="16"/>
        <v>445</v>
      </c>
      <c r="K113" s="4">
        <f t="shared" si="17"/>
        <v>555</v>
      </c>
      <c r="L113" s="4">
        <f t="shared" si="18"/>
        <v>580</v>
      </c>
      <c r="M113" s="4">
        <f t="shared" si="19"/>
        <v>725</v>
      </c>
      <c r="N113" s="4">
        <f t="shared" si="20"/>
        <v>535</v>
      </c>
      <c r="O113" s="4">
        <f t="shared" si="21"/>
        <v>625</v>
      </c>
      <c r="P113" s="4">
        <f>IF((((Price30[Cost]*1.5)+50)/0.835)&lt;2500,
MROUND((((( Price30[Cost]*1.5)+50)/0.835)*1.05)*2,10),
MROUND((((( Price30[Cost]*1.5)+50)/0.835)*1.18)*2,10))</f>
        <v>1880</v>
      </c>
      <c r="Q113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800</v>
      </c>
    </row>
    <row r="114" spans="1:17" x14ac:dyDescent="0.25">
      <c r="A114" s="1">
        <v>2025</v>
      </c>
      <c r="B114" s="18">
        <v>2391</v>
      </c>
      <c r="C114" s="19" t="s">
        <v>277</v>
      </c>
      <c r="D114" s="19" t="s">
        <v>497</v>
      </c>
      <c r="E114" s="19" t="s">
        <v>461</v>
      </c>
      <c r="F114" s="19" t="s">
        <v>468</v>
      </c>
      <c r="G114" s="20">
        <v>795</v>
      </c>
      <c r="H114" s="20">
        <v>-80</v>
      </c>
      <c r="I114" s="20">
        <v>25</v>
      </c>
      <c r="J114" s="4">
        <f t="shared" si="16"/>
        <v>740</v>
      </c>
      <c r="K114" s="4">
        <f t="shared" si="17"/>
        <v>920</v>
      </c>
      <c r="L114" s="4">
        <f t="shared" si="18"/>
        <v>965</v>
      </c>
      <c r="M114" s="4">
        <f t="shared" si="19"/>
        <v>1175</v>
      </c>
      <c r="N114" s="4">
        <f t="shared" si="20"/>
        <v>890</v>
      </c>
      <c r="O114" s="4">
        <f t="shared" si="21"/>
        <v>1035</v>
      </c>
      <c r="P114" s="4">
        <f>IF((((Price30[Cost]*1.5)+50)/0.835)&lt;2500,
MROUND((((( Price30[Cost]*1.5)+50)/0.835)*1.05)*2,10),
MROUND((((( Price30[Cost]*1.5)+50)/0.835)*1.18)*2,10))</f>
        <v>3120</v>
      </c>
      <c r="Q114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1250</v>
      </c>
    </row>
    <row r="115" spans="1:17" x14ac:dyDescent="0.25">
      <c r="A115" s="1">
        <v>2025</v>
      </c>
      <c r="B115" s="18">
        <v>2392</v>
      </c>
      <c r="C115" s="19" t="s">
        <v>277</v>
      </c>
      <c r="D115" s="19" t="s">
        <v>497</v>
      </c>
      <c r="E115" s="19" t="s">
        <v>461</v>
      </c>
      <c r="F115" s="19" t="s">
        <v>469</v>
      </c>
      <c r="G115" s="20">
        <v>795</v>
      </c>
      <c r="H115" s="20">
        <v>-80</v>
      </c>
      <c r="I115" s="20">
        <v>25</v>
      </c>
      <c r="J115" s="4">
        <f t="shared" si="16"/>
        <v>740</v>
      </c>
      <c r="K115" s="4">
        <f t="shared" si="17"/>
        <v>920</v>
      </c>
      <c r="L115" s="4">
        <f t="shared" si="18"/>
        <v>965</v>
      </c>
      <c r="M115" s="4">
        <f t="shared" si="19"/>
        <v>1175</v>
      </c>
      <c r="N115" s="4">
        <f t="shared" si="20"/>
        <v>890</v>
      </c>
      <c r="O115" s="4">
        <f t="shared" si="21"/>
        <v>1035</v>
      </c>
      <c r="P115" s="4">
        <f>IF((((Price30[Cost]*1.5)+50)/0.835)&lt;2500,
MROUND((((( Price30[Cost]*1.5)+50)/0.835)*1.05)*2,10),
MROUND((((( Price30[Cost]*1.5)+50)/0.835)*1.18)*2,10))</f>
        <v>3120</v>
      </c>
      <c r="Q115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1250</v>
      </c>
    </row>
    <row r="116" spans="1:17" x14ac:dyDescent="0.25">
      <c r="A116" s="1">
        <v>2025</v>
      </c>
      <c r="B116" s="18">
        <v>2393</v>
      </c>
      <c r="C116" s="19" t="s">
        <v>277</v>
      </c>
      <c r="D116" s="19" t="s">
        <v>497</v>
      </c>
      <c r="E116" s="19" t="s">
        <v>461</v>
      </c>
      <c r="F116" s="19" t="s">
        <v>463</v>
      </c>
      <c r="G116" s="20">
        <v>595</v>
      </c>
      <c r="H116" s="20">
        <v>-60</v>
      </c>
      <c r="I116" s="20">
        <v>25</v>
      </c>
      <c r="J116" s="4">
        <f t="shared" si="16"/>
        <v>560</v>
      </c>
      <c r="K116" s="4">
        <f t="shared" si="17"/>
        <v>695</v>
      </c>
      <c r="L116" s="4">
        <f t="shared" si="18"/>
        <v>730</v>
      </c>
      <c r="M116" s="4">
        <f t="shared" si="19"/>
        <v>900</v>
      </c>
      <c r="N116" s="4">
        <f t="shared" si="20"/>
        <v>675</v>
      </c>
      <c r="O116" s="4">
        <f t="shared" si="21"/>
        <v>785</v>
      </c>
      <c r="P116" s="4">
        <f>IF((((Price30[Cost]*1.5)+50)/0.835)&lt;2500,
MROUND((((( Price30[Cost]*1.5)+50)/0.835)*1.05)*2,10),
MROUND((((( Price30[Cost]*1.5)+50)/0.835)*1.18)*2,10))</f>
        <v>2370</v>
      </c>
      <c r="Q116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970</v>
      </c>
    </row>
    <row r="117" spans="1:17" x14ac:dyDescent="0.25">
      <c r="A117" s="1">
        <v>2025</v>
      </c>
      <c r="B117" s="18">
        <v>2394</v>
      </c>
      <c r="C117" s="19" t="s">
        <v>277</v>
      </c>
      <c r="D117" s="19" t="s">
        <v>497</v>
      </c>
      <c r="E117" s="19" t="s">
        <v>461</v>
      </c>
      <c r="F117" s="19" t="s">
        <v>464</v>
      </c>
      <c r="G117" s="20">
        <v>595</v>
      </c>
      <c r="H117" s="20">
        <v>-60</v>
      </c>
      <c r="I117" s="20">
        <v>25</v>
      </c>
      <c r="J117" s="4">
        <f t="shared" si="16"/>
        <v>560</v>
      </c>
      <c r="K117" s="4">
        <f t="shared" si="17"/>
        <v>695</v>
      </c>
      <c r="L117" s="4">
        <f t="shared" si="18"/>
        <v>730</v>
      </c>
      <c r="M117" s="4">
        <f t="shared" si="19"/>
        <v>900</v>
      </c>
      <c r="N117" s="4">
        <f t="shared" si="20"/>
        <v>675</v>
      </c>
      <c r="O117" s="4">
        <f t="shared" si="21"/>
        <v>785</v>
      </c>
      <c r="P117" s="4">
        <f>IF((((Price30[Cost]*1.5)+50)/0.835)&lt;2500,
MROUND((((( Price30[Cost]*1.5)+50)/0.835)*1.05)*2,10),
MROUND((((( Price30[Cost]*1.5)+50)/0.835)*1.18)*2,10))</f>
        <v>2370</v>
      </c>
      <c r="Q117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970</v>
      </c>
    </row>
    <row r="118" spans="1:17" x14ac:dyDescent="0.25">
      <c r="A118" s="1">
        <v>2025</v>
      </c>
      <c r="B118" s="18">
        <v>2395</v>
      </c>
      <c r="C118" s="19" t="s">
        <v>277</v>
      </c>
      <c r="D118" s="19" t="s">
        <v>497</v>
      </c>
      <c r="E118" s="19" t="s">
        <v>461</v>
      </c>
      <c r="F118" s="19" t="s">
        <v>465</v>
      </c>
      <c r="G118" s="20">
        <v>595</v>
      </c>
      <c r="H118" s="20">
        <v>-60</v>
      </c>
      <c r="I118" s="20">
        <v>25</v>
      </c>
      <c r="J118" s="4">
        <f t="shared" si="16"/>
        <v>560</v>
      </c>
      <c r="K118" s="4">
        <f t="shared" si="17"/>
        <v>695</v>
      </c>
      <c r="L118" s="4">
        <f t="shared" si="18"/>
        <v>730</v>
      </c>
      <c r="M118" s="4">
        <f t="shared" si="19"/>
        <v>900</v>
      </c>
      <c r="N118" s="4">
        <f t="shared" si="20"/>
        <v>675</v>
      </c>
      <c r="O118" s="4">
        <f t="shared" si="21"/>
        <v>785</v>
      </c>
      <c r="P118" s="4">
        <f>IF((((Price30[Cost]*1.5)+50)/0.835)&lt;2500,
MROUND((((( Price30[Cost]*1.5)+50)/0.835)*1.05)*2,10),
MROUND((((( Price30[Cost]*1.5)+50)/0.835)*1.18)*2,10))</f>
        <v>2370</v>
      </c>
      <c r="Q118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970</v>
      </c>
    </row>
    <row r="119" spans="1:17" x14ac:dyDescent="0.25">
      <c r="A119" s="1">
        <v>2025</v>
      </c>
      <c r="B119" s="18">
        <v>2396</v>
      </c>
      <c r="C119" s="19" t="s">
        <v>277</v>
      </c>
      <c r="D119" s="19" t="s">
        <v>497</v>
      </c>
      <c r="E119" s="19" t="s">
        <v>461</v>
      </c>
      <c r="F119" s="19" t="s">
        <v>462</v>
      </c>
      <c r="G119" s="20">
        <v>485</v>
      </c>
      <c r="H119" s="20">
        <v>-45</v>
      </c>
      <c r="I119" s="20">
        <v>25</v>
      </c>
      <c r="J119" s="4">
        <f t="shared" si="16"/>
        <v>465</v>
      </c>
      <c r="K119" s="4">
        <f t="shared" si="17"/>
        <v>575</v>
      </c>
      <c r="L119" s="4">
        <f t="shared" si="18"/>
        <v>605</v>
      </c>
      <c r="M119" s="4">
        <f t="shared" si="19"/>
        <v>750</v>
      </c>
      <c r="N119" s="4">
        <f t="shared" si="20"/>
        <v>560</v>
      </c>
      <c r="O119" s="4">
        <f t="shared" si="21"/>
        <v>650</v>
      </c>
      <c r="P119" s="4">
        <f>IF((((Price30[Cost]*1.5)+50)/0.835)&lt;2500,
MROUND((((( Price30[Cost]*1.5)+50)/0.835)*1.05)*2,10),
MROUND((((( Price30[Cost]*1.5)+50)/0.835)*1.18)*2,10))</f>
        <v>1960</v>
      </c>
      <c r="Q119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820</v>
      </c>
    </row>
    <row r="120" spans="1:17" x14ac:dyDescent="0.25">
      <c r="A120" s="1"/>
      <c r="B120" s="18">
        <v>2397</v>
      </c>
      <c r="C120" s="19" t="s">
        <v>277</v>
      </c>
      <c r="D120" s="19" t="s">
        <v>497</v>
      </c>
      <c r="E120" s="19" t="s">
        <v>461</v>
      </c>
      <c r="F120" s="19"/>
      <c r="G120" s="20">
        <v>325</v>
      </c>
      <c r="I120" s="20">
        <v>25</v>
      </c>
      <c r="J120" s="4">
        <f t="shared" si="16"/>
        <v>350</v>
      </c>
      <c r="K120" s="4">
        <f t="shared" si="17"/>
        <v>435</v>
      </c>
      <c r="L120" s="4">
        <f t="shared" si="18"/>
        <v>455</v>
      </c>
      <c r="M120" s="4">
        <f t="shared" si="19"/>
        <v>575</v>
      </c>
      <c r="N120" s="4">
        <f t="shared" si="20"/>
        <v>425</v>
      </c>
      <c r="O120" s="4">
        <f t="shared" si="21"/>
        <v>490</v>
      </c>
      <c r="P120" s="4">
        <f>IF((((Price30[Cost]*1.5)+50)/0.835)&lt;2500,
MROUND((((( Price30[Cost]*1.5)+50)/0.835)*1.05)*2,10),
MROUND((((( Price30[Cost]*1.5)+50)/0.835)*1.18)*2,10))</f>
        <v>1350</v>
      </c>
      <c r="Q120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650</v>
      </c>
    </row>
    <row r="121" spans="1:17" x14ac:dyDescent="0.25">
      <c r="A121" s="1">
        <v>2025</v>
      </c>
      <c r="B121" s="18">
        <v>2398</v>
      </c>
      <c r="C121" s="19" t="s">
        <v>277</v>
      </c>
      <c r="D121" s="19" t="s">
        <v>497</v>
      </c>
      <c r="E121" s="19" t="s">
        <v>461</v>
      </c>
      <c r="F121" s="19" t="s">
        <v>466</v>
      </c>
      <c r="G121" s="20">
        <v>595</v>
      </c>
      <c r="H121" s="20">
        <v>-60</v>
      </c>
      <c r="I121" s="20">
        <v>25</v>
      </c>
      <c r="J121" s="4">
        <f t="shared" si="16"/>
        <v>560</v>
      </c>
      <c r="K121" s="4">
        <f t="shared" si="17"/>
        <v>695</v>
      </c>
      <c r="L121" s="4">
        <f t="shared" si="18"/>
        <v>730</v>
      </c>
      <c r="M121" s="4">
        <f t="shared" si="19"/>
        <v>900</v>
      </c>
      <c r="N121" s="4">
        <f t="shared" si="20"/>
        <v>675</v>
      </c>
      <c r="O121" s="4">
        <f t="shared" si="21"/>
        <v>785</v>
      </c>
      <c r="P121" s="4">
        <f>IF((((Price30[Cost]*1.5)+50)/0.835)&lt;2500,
MROUND((((( Price30[Cost]*1.5)+50)/0.835)*1.05)*2,10),
MROUND((((( Price30[Cost]*1.5)+50)/0.835)*1.18)*2,10))</f>
        <v>2370</v>
      </c>
      <c r="Q121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970</v>
      </c>
    </row>
    <row r="122" spans="1:17" x14ac:dyDescent="0.25">
      <c r="A122" s="1">
        <v>2025</v>
      </c>
      <c r="B122" s="18">
        <v>2399</v>
      </c>
      <c r="C122" s="19" t="s">
        <v>277</v>
      </c>
      <c r="D122" s="19" t="s">
        <v>497</v>
      </c>
      <c r="E122" s="19" t="s">
        <v>461</v>
      </c>
      <c r="F122" s="19" t="s">
        <v>467</v>
      </c>
      <c r="G122" s="20">
        <v>595</v>
      </c>
      <c r="H122" s="20">
        <v>-60</v>
      </c>
      <c r="I122" s="20">
        <v>25</v>
      </c>
      <c r="J122" s="4">
        <f t="shared" si="16"/>
        <v>560</v>
      </c>
      <c r="K122" s="4">
        <f t="shared" si="17"/>
        <v>695</v>
      </c>
      <c r="L122" s="4">
        <f t="shared" si="18"/>
        <v>730</v>
      </c>
      <c r="M122" s="4">
        <f t="shared" si="19"/>
        <v>900</v>
      </c>
      <c r="N122" s="4">
        <f t="shared" si="20"/>
        <v>675</v>
      </c>
      <c r="O122" s="4">
        <f t="shared" si="21"/>
        <v>785</v>
      </c>
      <c r="P122" s="4">
        <f>IF((((Price30[Cost]*1.5)+50)/0.835)&lt;2500,
MROUND((((( Price30[Cost]*1.5)+50)/0.835)*1.05)*2,10),
MROUND((((( Price30[Cost]*1.5)+50)/0.835)*1.18)*2,10))</f>
        <v>2370</v>
      </c>
      <c r="Q122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970</v>
      </c>
    </row>
    <row r="123" spans="1:17" x14ac:dyDescent="0.25">
      <c r="A123" s="1">
        <v>2026</v>
      </c>
      <c r="B123" s="18">
        <v>250</v>
      </c>
      <c r="C123" s="19" t="s">
        <v>277</v>
      </c>
      <c r="D123" s="19" t="s">
        <v>497</v>
      </c>
      <c r="E123" s="19"/>
      <c r="F123" s="19" t="s">
        <v>44</v>
      </c>
      <c r="G123" s="20">
        <v>355</v>
      </c>
      <c r="I123" s="20">
        <v>25</v>
      </c>
      <c r="J123" s="4">
        <f t="shared" si="16"/>
        <v>380</v>
      </c>
      <c r="K123" s="4">
        <f t="shared" si="17"/>
        <v>475</v>
      </c>
      <c r="L123" s="4">
        <f t="shared" si="18"/>
        <v>495</v>
      </c>
      <c r="M123" s="4">
        <f t="shared" si="19"/>
        <v>600</v>
      </c>
      <c r="N123" s="4">
        <f t="shared" si="20"/>
        <v>460</v>
      </c>
      <c r="O123" s="4">
        <f t="shared" si="21"/>
        <v>530</v>
      </c>
      <c r="P123" s="4">
        <f>IF((((Price30[Cost]*1.5)+50)/0.835)&lt;2500,
MROUND((((( Price30[Cost]*1.5)+50)/0.835)*1.05)*2,10),
MROUND((((( Price30[Cost]*1.5)+50)/0.835)*1.18)*2,10))</f>
        <v>1460</v>
      </c>
      <c r="Q123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670</v>
      </c>
    </row>
    <row r="124" spans="1:17" x14ac:dyDescent="0.25">
      <c r="A124" s="1">
        <v>2026</v>
      </c>
      <c r="B124" s="18">
        <v>252</v>
      </c>
      <c r="C124" s="19" t="s">
        <v>277</v>
      </c>
      <c r="D124" s="19" t="s">
        <v>497</v>
      </c>
      <c r="E124" s="19" t="s">
        <v>84</v>
      </c>
      <c r="F124" s="19" t="s">
        <v>94</v>
      </c>
      <c r="G124" s="20">
        <v>475</v>
      </c>
      <c r="I124" s="20">
        <v>25</v>
      </c>
      <c r="J124" s="4">
        <f t="shared" si="16"/>
        <v>500</v>
      </c>
      <c r="K124" s="4">
        <f t="shared" si="17"/>
        <v>620</v>
      </c>
      <c r="L124" s="4">
        <f t="shared" si="18"/>
        <v>650</v>
      </c>
      <c r="M124" s="4">
        <f t="shared" si="19"/>
        <v>800</v>
      </c>
      <c r="N124" s="4">
        <f t="shared" si="20"/>
        <v>600</v>
      </c>
      <c r="O124" s="4">
        <f t="shared" si="21"/>
        <v>700</v>
      </c>
      <c r="P124" s="4">
        <f>IF((((Price30[Cost]*1.5)+50)/0.835)&lt;2500,
MROUND((((( Price30[Cost]*1.5)+50)/0.835)*1.05)*2,10),
MROUND((((( Price30[Cost]*1.5)+50)/0.835)*1.18)*2,10))</f>
        <v>1920</v>
      </c>
      <c r="Q124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870</v>
      </c>
    </row>
    <row r="125" spans="1:17" x14ac:dyDescent="0.25">
      <c r="A125" s="1">
        <v>2026</v>
      </c>
      <c r="B125" s="18">
        <v>253</v>
      </c>
      <c r="C125" s="19" t="s">
        <v>277</v>
      </c>
      <c r="D125" s="19" t="s">
        <v>497</v>
      </c>
      <c r="E125" s="19" t="s">
        <v>84</v>
      </c>
      <c r="F125" s="19" t="s">
        <v>27</v>
      </c>
      <c r="G125" s="20">
        <v>330</v>
      </c>
      <c r="I125" s="20">
        <v>25</v>
      </c>
      <c r="J125" s="4">
        <f t="shared" si="16"/>
        <v>355</v>
      </c>
      <c r="K125" s="4">
        <f t="shared" ref="K125:K192" si="29">IF(ISNUMBER(L125),
   IF(CEILING(ROUND(L125*0.95,2),5)=420,
      425,
      CEILING(ROUND(L125*0.95,2),5)
   ),
   ""
)</f>
        <v>445</v>
      </c>
      <c r="L125" s="4">
        <f t="shared" ref="L125:L192" si="30">IF(AND(ISNUMBER(J125),ISNUMBER(G125)),
   IF(CEILING(ROUND(J125*1.3,2),5)=420,
      425,
      CEILING(ROUND(J125*1.3,2),5)
   ),
   ""
)</f>
        <v>465</v>
      </c>
      <c r="M125" s="4">
        <f t="shared" ref="M125:M192" si="31">IF(AND(ISNUMBER(J125),ISNUMBER(G125)),
   IF(
      CEILING(
         ROUND((J125*1.5) * IF(J125*1.5 &lt;= 2500, 1.05, 1.18), 2),
         IF(ROUND((J125*1.5) * IF(J125*1.5 &lt;= 2500, 1.05, 1.18), 2) &lt; 2500, 25, 50)
      )=420,
      425,
      CEILING(
         ROUND((J125*1.5) * IF(J125*1.5 &lt;= 2500, 1.05, 1.18), 2),
         IF(ROUND((J125*1.5) * IF(J125*1.5 &lt;= 2500, 1.05, 1.18), 2) &lt; 2500, 25, 50)
      )
   ),
   ""
)</f>
        <v>575</v>
      </c>
      <c r="N125" s="4">
        <f t="shared" ref="N125:N192" si="32">IF(ISNUMBER(G125),
   IF(CEILING(ROUND(L125*0.92,2),5)=420,
      425,
      CEILING(ROUND(L125*0.92,2),5)
   ),
   ""
)</f>
        <v>430</v>
      </c>
      <c r="O125" s="4">
        <f t="shared" ref="O125:O192" si="33">IF(ISNUMBER(L125),
   IF(CEILING(ROUND(L125*1.07,2),5)=420,
      425,
      CEILING(ROUND(L125*1.07,2),5)
   ),
   ""
)</f>
        <v>500</v>
      </c>
      <c r="P125" s="4">
        <f>IF((((Price30[Cost]*1.5)+50)/0.835)&lt;2500,
MROUND((((( Price30[Cost]*1.5)+50)/0.835)*1.05)*2,10),
MROUND((((( Price30[Cost]*1.5)+50)/0.835)*1.18)*2,10))</f>
        <v>1370</v>
      </c>
      <c r="Q125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650</v>
      </c>
    </row>
    <row r="126" spans="1:17" x14ac:dyDescent="0.25">
      <c r="A126" s="1"/>
      <c r="B126" s="18">
        <v>254</v>
      </c>
      <c r="C126" s="19" t="s">
        <v>277</v>
      </c>
      <c r="D126" s="19" t="s">
        <v>497</v>
      </c>
      <c r="E126" s="19" t="s">
        <v>227</v>
      </c>
      <c r="F126" s="19" t="s">
        <v>231</v>
      </c>
      <c r="G126" s="20">
        <v>260</v>
      </c>
      <c r="I126" s="20">
        <v>25</v>
      </c>
      <c r="J126" s="4">
        <f t="shared" si="16"/>
        <v>285</v>
      </c>
      <c r="K126" s="4">
        <f t="shared" si="29"/>
        <v>360</v>
      </c>
      <c r="L126" s="4">
        <f t="shared" si="30"/>
        <v>375</v>
      </c>
      <c r="M126" s="4">
        <f t="shared" si="31"/>
        <v>450</v>
      </c>
      <c r="N126" s="4">
        <f t="shared" si="32"/>
        <v>345</v>
      </c>
      <c r="O126" s="4">
        <f t="shared" si="33"/>
        <v>405</v>
      </c>
      <c r="P126" s="4">
        <f>IF((((Price30[Cost]*1.5)+50)/0.835)&lt;2500,
MROUND((((( Price30[Cost]*1.5)+50)/0.835)*1.05)*2,10),
MROUND((((( Price30[Cost]*1.5)+50)/0.835)*1.18)*2,10))</f>
        <v>1110</v>
      </c>
      <c r="Q126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520</v>
      </c>
    </row>
    <row r="127" spans="1:17" x14ac:dyDescent="0.25">
      <c r="A127" s="1"/>
      <c r="B127" s="18">
        <v>255</v>
      </c>
      <c r="C127" s="19" t="s">
        <v>277</v>
      </c>
      <c r="D127" s="19" t="s">
        <v>497</v>
      </c>
      <c r="E127" s="19" t="s">
        <v>135</v>
      </c>
      <c r="F127" s="19" t="s">
        <v>185</v>
      </c>
      <c r="G127" s="20">
        <v>725</v>
      </c>
      <c r="I127" s="20">
        <v>25</v>
      </c>
      <c r="J127" s="4">
        <f t="shared" si="16"/>
        <v>750</v>
      </c>
      <c r="K127" s="4">
        <f t="shared" si="29"/>
        <v>930</v>
      </c>
      <c r="L127" s="4">
        <f t="shared" si="30"/>
        <v>975</v>
      </c>
      <c r="M127" s="4">
        <f t="shared" si="31"/>
        <v>1200</v>
      </c>
      <c r="N127" s="4">
        <f t="shared" si="32"/>
        <v>900</v>
      </c>
      <c r="O127" s="4">
        <f t="shared" si="33"/>
        <v>1045</v>
      </c>
      <c r="P127" s="4">
        <f>IF((((Price30[Cost]*1.5)+50)/0.835)&lt;2500,
MROUND((((( Price30[Cost]*1.5)+50)/0.835)*1.05)*2,10),
MROUND((((( Price30[Cost]*1.5)+50)/0.835)*1.18)*2,10))</f>
        <v>2860</v>
      </c>
      <c r="Q127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1270</v>
      </c>
    </row>
    <row r="128" spans="1:17" x14ac:dyDescent="0.25">
      <c r="A128" s="1"/>
      <c r="B128" s="18">
        <v>256</v>
      </c>
      <c r="C128" s="19" t="s">
        <v>277</v>
      </c>
      <c r="D128" s="19" t="s">
        <v>497</v>
      </c>
      <c r="E128" s="19" t="s">
        <v>233</v>
      </c>
      <c r="F128" s="19" t="s">
        <v>37</v>
      </c>
      <c r="G128" s="20">
        <v>565</v>
      </c>
      <c r="I128" s="20">
        <v>25</v>
      </c>
      <c r="J128" s="4">
        <f t="shared" ref="J128:J190" si="34">IF(SUMIF(G128:I128,"&lt;&gt;")=0,"",SUM(G128:I128))</f>
        <v>590</v>
      </c>
      <c r="K128" s="4">
        <f t="shared" si="29"/>
        <v>735</v>
      </c>
      <c r="L128" s="4">
        <f t="shared" si="30"/>
        <v>770</v>
      </c>
      <c r="M128" s="4">
        <f t="shared" si="31"/>
        <v>950</v>
      </c>
      <c r="N128" s="4">
        <f t="shared" si="32"/>
        <v>710</v>
      </c>
      <c r="O128" s="4">
        <f t="shared" si="33"/>
        <v>825</v>
      </c>
      <c r="P128" s="4">
        <f>IF((((Price30[Cost]*1.5)+50)/0.835)&lt;2500,
MROUND((((( Price30[Cost]*1.5)+50)/0.835)*1.05)*2,10),
MROUND((((( Price30[Cost]*1.5)+50)/0.835)*1.18)*2,10))</f>
        <v>2260</v>
      </c>
      <c r="Q128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1020</v>
      </c>
    </row>
    <row r="129" spans="1:17" x14ac:dyDescent="0.25">
      <c r="A129" s="1">
        <v>2026</v>
      </c>
      <c r="B129" s="18">
        <v>257</v>
      </c>
      <c r="C129" s="19" t="s">
        <v>277</v>
      </c>
      <c r="D129" s="19" t="s">
        <v>497</v>
      </c>
      <c r="E129" s="19" t="s">
        <v>233</v>
      </c>
      <c r="F129" s="19" t="s">
        <v>28</v>
      </c>
      <c r="G129" s="20">
        <v>475</v>
      </c>
      <c r="H129" s="20">
        <v>-45</v>
      </c>
      <c r="I129" s="20">
        <v>30</v>
      </c>
      <c r="J129" s="4">
        <f t="shared" si="34"/>
        <v>460</v>
      </c>
      <c r="K129" s="4">
        <f t="shared" si="29"/>
        <v>570</v>
      </c>
      <c r="L129" s="4">
        <f t="shared" si="30"/>
        <v>600</v>
      </c>
      <c r="M129" s="4">
        <f t="shared" si="31"/>
        <v>725</v>
      </c>
      <c r="N129" s="4">
        <f t="shared" si="32"/>
        <v>555</v>
      </c>
      <c r="O129" s="4">
        <f t="shared" si="33"/>
        <v>645</v>
      </c>
      <c r="P129" s="4">
        <f>IF((((Price30[Cost]*1.5)+50)/0.835)&lt;2500,
MROUND((((( Price30[Cost]*1.5)+50)/0.835)*1.05)*2,10),
MROUND((((( Price30[Cost]*1.5)+50)/0.835)*1.18)*2,10))</f>
        <v>1920</v>
      </c>
      <c r="Q129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800</v>
      </c>
    </row>
    <row r="130" spans="1:17" x14ac:dyDescent="0.25">
      <c r="A130" s="1">
        <v>2025</v>
      </c>
      <c r="B130" s="18">
        <v>2571</v>
      </c>
      <c r="C130" s="19" t="s">
        <v>277</v>
      </c>
      <c r="D130" s="19" t="s">
        <v>497</v>
      </c>
      <c r="E130" s="19" t="s">
        <v>233</v>
      </c>
      <c r="F130" s="19" t="s">
        <v>236</v>
      </c>
      <c r="G130" s="20">
        <v>455</v>
      </c>
      <c r="H130" s="20">
        <v>-45</v>
      </c>
      <c r="I130" s="20">
        <v>100</v>
      </c>
      <c r="J130" s="4">
        <f t="shared" si="34"/>
        <v>510</v>
      </c>
      <c r="K130" s="4">
        <f t="shared" si="29"/>
        <v>635</v>
      </c>
      <c r="L130" s="4">
        <f t="shared" si="30"/>
        <v>665</v>
      </c>
      <c r="M130" s="4">
        <f t="shared" si="31"/>
        <v>825</v>
      </c>
      <c r="N130" s="4">
        <f t="shared" si="32"/>
        <v>615</v>
      </c>
      <c r="O130" s="4">
        <f t="shared" si="33"/>
        <v>715</v>
      </c>
      <c r="P130" s="4">
        <f>IF((((Price30[Cost]*1.5)+50)/0.835)&lt;2500,
MROUND((((( Price30[Cost]*1.5)+50)/0.835)*1.05)*2,10),
MROUND((((( Price30[Cost]*1.5)+50)/0.835)*1.18)*2,10))</f>
        <v>1840</v>
      </c>
      <c r="Q130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900</v>
      </c>
    </row>
    <row r="131" spans="1:17" x14ac:dyDescent="0.25">
      <c r="A131" s="1">
        <v>2025</v>
      </c>
      <c r="B131" s="18">
        <v>2572</v>
      </c>
      <c r="C131" s="19" t="s">
        <v>277</v>
      </c>
      <c r="D131" s="19" t="s">
        <v>497</v>
      </c>
      <c r="E131" s="19" t="s">
        <v>461</v>
      </c>
      <c r="F131" s="19" t="s">
        <v>470</v>
      </c>
      <c r="G131" s="20">
        <v>485</v>
      </c>
      <c r="H131" s="20">
        <v>-45</v>
      </c>
      <c r="I131" s="20">
        <v>25</v>
      </c>
      <c r="J131" s="4">
        <f t="shared" si="34"/>
        <v>465</v>
      </c>
      <c r="K131" s="4">
        <f t="shared" si="29"/>
        <v>575</v>
      </c>
      <c r="L131" s="4">
        <f t="shared" si="30"/>
        <v>605</v>
      </c>
      <c r="M131" s="4">
        <f t="shared" si="31"/>
        <v>750</v>
      </c>
      <c r="N131" s="4">
        <f t="shared" si="32"/>
        <v>560</v>
      </c>
      <c r="O131" s="4">
        <f t="shared" si="33"/>
        <v>650</v>
      </c>
      <c r="P131" s="4">
        <f>IF((((Price30[Cost]*1.5)+50)/0.835)&lt;2500,
MROUND((((( Price30[Cost]*1.5)+50)/0.835)*1.05)*2,10),
MROUND((((( Price30[Cost]*1.5)+50)/0.835)*1.18)*2,10))</f>
        <v>1960</v>
      </c>
      <c r="Q131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820</v>
      </c>
    </row>
    <row r="132" spans="1:17" x14ac:dyDescent="0.25">
      <c r="A132" s="1">
        <v>2025</v>
      </c>
      <c r="B132" s="18">
        <v>2573</v>
      </c>
      <c r="C132" s="19" t="s">
        <v>277</v>
      </c>
      <c r="D132" s="19" t="s">
        <v>497</v>
      </c>
      <c r="E132" s="19" t="s">
        <v>461</v>
      </c>
      <c r="F132" s="19" t="s">
        <v>471</v>
      </c>
      <c r="G132" s="20">
        <v>485</v>
      </c>
      <c r="H132" s="20">
        <v>-45</v>
      </c>
      <c r="I132" s="20">
        <v>25</v>
      </c>
      <c r="J132" s="4">
        <f t="shared" si="34"/>
        <v>465</v>
      </c>
      <c r="K132" s="4">
        <f t="shared" si="29"/>
        <v>575</v>
      </c>
      <c r="L132" s="4">
        <f t="shared" si="30"/>
        <v>605</v>
      </c>
      <c r="M132" s="4">
        <f t="shared" si="31"/>
        <v>750</v>
      </c>
      <c r="N132" s="4">
        <f t="shared" si="32"/>
        <v>560</v>
      </c>
      <c r="O132" s="4">
        <f t="shared" si="33"/>
        <v>650</v>
      </c>
      <c r="P132" s="4">
        <f>IF((((Price30[Cost]*1.5)+50)/0.835)&lt;2500,
MROUND((((( Price30[Cost]*1.5)+50)/0.835)*1.05)*2,10),
MROUND((((( Price30[Cost]*1.5)+50)/0.835)*1.18)*2,10))</f>
        <v>1960</v>
      </c>
      <c r="Q132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820</v>
      </c>
    </row>
    <row r="133" spans="1:17" x14ac:dyDescent="0.25">
      <c r="A133" s="1">
        <v>2025</v>
      </c>
      <c r="B133" s="18">
        <v>2574</v>
      </c>
      <c r="C133" s="19" t="s">
        <v>277</v>
      </c>
      <c r="D133" s="19" t="s">
        <v>497</v>
      </c>
      <c r="E133" s="19" t="s">
        <v>461</v>
      </c>
      <c r="F133" s="19" t="s">
        <v>472</v>
      </c>
      <c r="G133" s="20">
        <v>430</v>
      </c>
      <c r="H133" s="20">
        <v>-40</v>
      </c>
      <c r="I133" s="20">
        <v>25</v>
      </c>
      <c r="J133" s="4">
        <f t="shared" si="34"/>
        <v>415</v>
      </c>
      <c r="K133" s="4">
        <f t="shared" si="29"/>
        <v>515</v>
      </c>
      <c r="L133" s="4">
        <f t="shared" si="30"/>
        <v>540</v>
      </c>
      <c r="M133" s="4">
        <f t="shared" si="31"/>
        <v>675</v>
      </c>
      <c r="N133" s="4">
        <f t="shared" si="32"/>
        <v>500</v>
      </c>
      <c r="O133" s="4">
        <f t="shared" si="33"/>
        <v>580</v>
      </c>
      <c r="P133" s="4">
        <f>IF((((Price30[Cost]*1.5)+50)/0.835)&lt;2500,
MROUND((((( Price30[Cost]*1.5)+50)/0.835)*1.05)*2,10),
MROUND((((( Price30[Cost]*1.5)+50)/0.835)*1.18)*2,10))</f>
        <v>1750</v>
      </c>
      <c r="Q133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750</v>
      </c>
    </row>
    <row r="134" spans="1:17" x14ac:dyDescent="0.25">
      <c r="A134" s="1">
        <v>2026</v>
      </c>
      <c r="B134" s="18">
        <v>2575</v>
      </c>
      <c r="C134" s="19" t="s">
        <v>277</v>
      </c>
      <c r="D134" s="19" t="s">
        <v>497</v>
      </c>
      <c r="E134" s="19" t="s">
        <v>233</v>
      </c>
      <c r="F134" s="19" t="s">
        <v>878</v>
      </c>
      <c r="G134" s="20">
        <v>650</v>
      </c>
      <c r="H134" s="20">
        <v>-65</v>
      </c>
      <c r="I134" s="20">
        <v>30</v>
      </c>
      <c r="J134" s="4">
        <f t="shared" si="34"/>
        <v>615</v>
      </c>
      <c r="K134" s="4">
        <f t="shared" si="29"/>
        <v>760</v>
      </c>
      <c r="L134" s="4">
        <f t="shared" si="30"/>
        <v>800</v>
      </c>
      <c r="M134" s="4">
        <f t="shared" si="31"/>
        <v>975</v>
      </c>
      <c r="N134" s="4">
        <f t="shared" si="32"/>
        <v>740</v>
      </c>
      <c r="O134" s="4">
        <f t="shared" si="33"/>
        <v>860</v>
      </c>
      <c r="P134" s="4">
        <f>IF((((Price30[Cost]*1.5)+50)/0.835)&lt;2500,
MROUND((((( Price30[Cost]*1.5)+50)/0.835)*1.05)*2,10),
MROUND((((( Price30[Cost]*1.5)+50)/0.835)*1.18)*2,10))</f>
        <v>2580</v>
      </c>
      <c r="Q134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1050</v>
      </c>
    </row>
    <row r="135" spans="1:17" x14ac:dyDescent="0.25">
      <c r="A135" s="1">
        <v>2025</v>
      </c>
      <c r="B135" s="18">
        <v>2576</v>
      </c>
      <c r="C135" s="19" t="s">
        <v>277</v>
      </c>
      <c r="D135" s="19" t="s">
        <v>497</v>
      </c>
      <c r="E135" s="19" t="s">
        <v>461</v>
      </c>
      <c r="F135" s="19" t="s">
        <v>473</v>
      </c>
      <c r="G135" s="20">
        <v>425</v>
      </c>
      <c r="H135" s="20">
        <v>-40</v>
      </c>
      <c r="I135" s="20">
        <v>25</v>
      </c>
      <c r="J135" s="4">
        <f t="shared" si="34"/>
        <v>410</v>
      </c>
      <c r="K135" s="4">
        <f t="shared" si="29"/>
        <v>510</v>
      </c>
      <c r="L135" s="4">
        <f t="shared" si="30"/>
        <v>535</v>
      </c>
      <c r="M135" s="4">
        <f t="shared" si="31"/>
        <v>650</v>
      </c>
      <c r="N135" s="4">
        <f t="shared" si="32"/>
        <v>495</v>
      </c>
      <c r="O135" s="4">
        <f t="shared" si="33"/>
        <v>575</v>
      </c>
      <c r="P135" s="4">
        <f>IF((((Price30[Cost]*1.5)+50)/0.835)&lt;2500,
MROUND((((( Price30[Cost]*1.5)+50)/0.835)*1.05)*2,10),
MROUND((((( Price30[Cost]*1.5)+50)/0.835)*1.18)*2,10))</f>
        <v>1730</v>
      </c>
      <c r="Q135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720</v>
      </c>
    </row>
    <row r="136" spans="1:17" x14ac:dyDescent="0.25">
      <c r="A136" s="1">
        <v>2025</v>
      </c>
      <c r="B136" s="18">
        <v>2577</v>
      </c>
      <c r="C136" s="19" t="s">
        <v>277</v>
      </c>
      <c r="D136" s="19" t="s">
        <v>497</v>
      </c>
      <c r="E136" s="19" t="s">
        <v>461</v>
      </c>
      <c r="F136" s="19" t="s">
        <v>474</v>
      </c>
      <c r="G136" s="20">
        <v>760</v>
      </c>
      <c r="H136" s="20">
        <v>-75</v>
      </c>
      <c r="I136" s="20">
        <v>25</v>
      </c>
      <c r="J136" s="4">
        <f t="shared" si="34"/>
        <v>710</v>
      </c>
      <c r="K136" s="4">
        <f t="shared" si="29"/>
        <v>880</v>
      </c>
      <c r="L136" s="4">
        <f t="shared" si="30"/>
        <v>925</v>
      </c>
      <c r="M136" s="4">
        <f t="shared" si="31"/>
        <v>1125</v>
      </c>
      <c r="N136" s="4">
        <f t="shared" si="32"/>
        <v>855</v>
      </c>
      <c r="O136" s="4">
        <f t="shared" si="33"/>
        <v>990</v>
      </c>
      <c r="P136" s="4">
        <f>IF((((Price30[Cost]*1.5)+50)/0.835)&lt;2500,
MROUND((((( Price30[Cost]*1.5)+50)/0.835)*1.05)*2,10),
MROUND((((( Price30[Cost]*1.5)+50)/0.835)*1.18)*2,10))</f>
        <v>2990</v>
      </c>
      <c r="Q136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1200</v>
      </c>
    </row>
    <row r="137" spans="1:17" x14ac:dyDescent="0.25">
      <c r="A137" s="1">
        <v>2025</v>
      </c>
      <c r="B137" s="18">
        <v>2578</v>
      </c>
      <c r="C137" s="19" t="s">
        <v>277</v>
      </c>
      <c r="D137" s="19" t="s">
        <v>497</v>
      </c>
      <c r="E137" s="19" t="s">
        <v>461</v>
      </c>
      <c r="F137" s="19" t="s">
        <v>475</v>
      </c>
      <c r="G137" s="20">
        <v>940</v>
      </c>
      <c r="H137" s="20">
        <v>-95</v>
      </c>
      <c r="I137" s="20">
        <v>25</v>
      </c>
      <c r="J137" s="4">
        <f t="shared" si="34"/>
        <v>870</v>
      </c>
      <c r="K137" s="4">
        <f t="shared" si="29"/>
        <v>1080</v>
      </c>
      <c r="L137" s="4">
        <f t="shared" si="30"/>
        <v>1135</v>
      </c>
      <c r="M137" s="4">
        <f t="shared" si="31"/>
        <v>1375</v>
      </c>
      <c r="N137" s="4">
        <f t="shared" si="32"/>
        <v>1045</v>
      </c>
      <c r="O137" s="4">
        <f t="shared" si="33"/>
        <v>1215</v>
      </c>
      <c r="P137" s="4">
        <f>IF((((Price30[Cost]*1.5)+50)/0.835)&lt;2500,
MROUND((((( Price30[Cost]*1.5)+50)/0.835)*1.05)*2,10),
MROUND((((( Price30[Cost]*1.5)+50)/0.835)*1.18)*2,10))</f>
        <v>3670</v>
      </c>
      <c r="Q137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1450</v>
      </c>
    </row>
    <row r="138" spans="1:17" x14ac:dyDescent="0.25">
      <c r="A138" s="1">
        <v>2025</v>
      </c>
      <c r="B138" s="18">
        <v>2579</v>
      </c>
      <c r="C138" s="19" t="s">
        <v>277</v>
      </c>
      <c r="D138" s="19" t="s">
        <v>497</v>
      </c>
      <c r="E138" s="19" t="s">
        <v>461</v>
      </c>
      <c r="F138" s="19" t="s">
        <v>476</v>
      </c>
      <c r="G138" s="20">
        <v>940</v>
      </c>
      <c r="H138" s="20">
        <v>-95</v>
      </c>
      <c r="I138" s="20">
        <v>25</v>
      </c>
      <c r="J138" s="4">
        <f t="shared" si="34"/>
        <v>870</v>
      </c>
      <c r="K138" s="4">
        <f t="shared" si="29"/>
        <v>1080</v>
      </c>
      <c r="L138" s="4">
        <f t="shared" si="30"/>
        <v>1135</v>
      </c>
      <c r="M138" s="4">
        <f t="shared" si="31"/>
        <v>1375</v>
      </c>
      <c r="N138" s="4">
        <f t="shared" si="32"/>
        <v>1045</v>
      </c>
      <c r="O138" s="4">
        <f t="shared" si="33"/>
        <v>1215</v>
      </c>
      <c r="P138" s="4">
        <f>IF((((Price30[Cost]*1.5)+50)/0.835)&lt;2500,
MROUND((((( Price30[Cost]*1.5)+50)/0.835)*1.05)*2,10),
MROUND((((( Price30[Cost]*1.5)+50)/0.835)*1.18)*2,10))</f>
        <v>3670</v>
      </c>
      <c r="Q138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1450</v>
      </c>
    </row>
    <row r="139" spans="1:17" x14ac:dyDescent="0.25">
      <c r="A139" s="1"/>
      <c r="B139" s="18">
        <v>258</v>
      </c>
      <c r="C139" s="19" t="s">
        <v>277</v>
      </c>
      <c r="D139" s="19" t="s">
        <v>497</v>
      </c>
      <c r="E139" s="19" t="s">
        <v>80</v>
      </c>
      <c r="F139" s="19" t="s">
        <v>66</v>
      </c>
      <c r="G139" s="20">
        <v>485</v>
      </c>
      <c r="I139" s="20">
        <v>25</v>
      </c>
      <c r="J139" s="4">
        <f t="shared" si="34"/>
        <v>510</v>
      </c>
      <c r="K139" s="4">
        <f t="shared" si="29"/>
        <v>635</v>
      </c>
      <c r="L139" s="4">
        <f t="shared" si="30"/>
        <v>665</v>
      </c>
      <c r="M139" s="4">
        <f t="shared" si="31"/>
        <v>825</v>
      </c>
      <c r="N139" s="4">
        <f t="shared" si="32"/>
        <v>615</v>
      </c>
      <c r="O139" s="4">
        <f t="shared" si="33"/>
        <v>715</v>
      </c>
      <c r="P139" s="4">
        <f>IF((((Price30[Cost]*1.5)+50)/0.835)&lt;2500,
MROUND((((( Price30[Cost]*1.5)+50)/0.835)*1.05)*2,10),
MROUND((((( Price30[Cost]*1.5)+50)/0.835)*1.18)*2,10))</f>
        <v>1960</v>
      </c>
      <c r="Q139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900</v>
      </c>
    </row>
    <row r="140" spans="1:17" x14ac:dyDescent="0.25">
      <c r="A140" s="1">
        <v>2026</v>
      </c>
      <c r="B140" s="18">
        <v>259</v>
      </c>
      <c r="C140" s="19" t="s">
        <v>277</v>
      </c>
      <c r="D140" s="19" t="s">
        <v>497</v>
      </c>
      <c r="E140" s="19" t="s">
        <v>80</v>
      </c>
      <c r="F140" s="19" t="s">
        <v>95</v>
      </c>
      <c r="G140" s="20">
        <v>575</v>
      </c>
      <c r="I140" s="20">
        <v>25</v>
      </c>
      <c r="J140" s="4">
        <f t="shared" si="34"/>
        <v>600</v>
      </c>
      <c r="K140" s="4">
        <f t="shared" si="29"/>
        <v>745</v>
      </c>
      <c r="L140" s="4">
        <f t="shared" si="30"/>
        <v>780</v>
      </c>
      <c r="M140" s="4">
        <f t="shared" si="31"/>
        <v>950</v>
      </c>
      <c r="N140" s="4">
        <f t="shared" si="32"/>
        <v>720</v>
      </c>
      <c r="O140" s="4">
        <f t="shared" si="33"/>
        <v>835</v>
      </c>
      <c r="P140" s="4">
        <f>IF((((Price30[Cost]*1.5)+50)/0.835)&lt;2500,
MROUND((((( Price30[Cost]*1.5)+50)/0.835)*1.05)*2,10),
MROUND((((( Price30[Cost]*1.5)+50)/0.835)*1.18)*2,10))</f>
        <v>2290</v>
      </c>
      <c r="Q140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1020</v>
      </c>
    </row>
    <row r="141" spans="1:17" x14ac:dyDescent="0.25">
      <c r="A141" s="1">
        <v>2026</v>
      </c>
      <c r="B141" s="18">
        <v>260</v>
      </c>
      <c r="C141" s="19" t="s">
        <v>277</v>
      </c>
      <c r="D141" s="19" t="s">
        <v>497</v>
      </c>
      <c r="E141" s="19" t="s">
        <v>80</v>
      </c>
      <c r="F141" s="19" t="s">
        <v>961</v>
      </c>
      <c r="G141" s="20">
        <v>450</v>
      </c>
      <c r="I141" s="20">
        <v>25</v>
      </c>
      <c r="J141" s="4">
        <f t="shared" si="34"/>
        <v>475</v>
      </c>
      <c r="K141" s="4">
        <f t="shared" si="29"/>
        <v>590</v>
      </c>
      <c r="L141" s="4">
        <f t="shared" si="30"/>
        <v>620</v>
      </c>
      <c r="M141" s="4">
        <f t="shared" si="31"/>
        <v>750</v>
      </c>
      <c r="N141" s="4">
        <f t="shared" si="32"/>
        <v>575</v>
      </c>
      <c r="O141" s="4">
        <f t="shared" si="33"/>
        <v>665</v>
      </c>
      <c r="P141" s="4">
        <f>IF((((Price30[Cost]*1.5)+50)/0.835)&lt;2500,
MROUND((((( Price30[Cost]*1.5)+50)/0.835)*1.05)*2,10),
MROUND((((( Price30[Cost]*1.5)+50)/0.835)*1.18)*2,10))</f>
        <v>1820</v>
      </c>
      <c r="Q141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820</v>
      </c>
    </row>
    <row r="142" spans="1:17" x14ac:dyDescent="0.25">
      <c r="A142" s="1">
        <v>2026</v>
      </c>
      <c r="B142" s="18">
        <v>261</v>
      </c>
      <c r="C142" s="19" t="s">
        <v>277</v>
      </c>
      <c r="D142" s="19" t="s">
        <v>497</v>
      </c>
      <c r="E142" s="19" t="s">
        <v>84</v>
      </c>
      <c r="F142" s="19" t="s">
        <v>122</v>
      </c>
      <c r="G142" s="20">
        <v>560</v>
      </c>
      <c r="I142" s="20">
        <v>25</v>
      </c>
      <c r="J142" s="4">
        <f t="shared" si="34"/>
        <v>585</v>
      </c>
      <c r="K142" s="4">
        <f t="shared" si="29"/>
        <v>730</v>
      </c>
      <c r="L142" s="4">
        <f t="shared" si="30"/>
        <v>765</v>
      </c>
      <c r="M142" s="4">
        <f t="shared" si="31"/>
        <v>925</v>
      </c>
      <c r="N142" s="4">
        <f t="shared" si="32"/>
        <v>705</v>
      </c>
      <c r="O142" s="4">
        <f t="shared" si="33"/>
        <v>820</v>
      </c>
      <c r="P142" s="4">
        <f>IF((((Price30[Cost]*1.5)+50)/0.835)&lt;2500,
MROUND((((( Price30[Cost]*1.5)+50)/0.835)*1.05)*2,10),
MROUND((((( Price30[Cost]*1.5)+50)/0.835)*1.18)*2,10))</f>
        <v>2240</v>
      </c>
      <c r="Q142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1000</v>
      </c>
    </row>
    <row r="143" spans="1:17" x14ac:dyDescent="0.25">
      <c r="A143" s="1">
        <v>2025</v>
      </c>
      <c r="B143" s="18">
        <v>262</v>
      </c>
      <c r="C143" s="19" t="s">
        <v>277</v>
      </c>
      <c r="D143" s="19" t="s">
        <v>497</v>
      </c>
      <c r="E143" s="19" t="s">
        <v>233</v>
      </c>
      <c r="F143" s="19" t="s">
        <v>458</v>
      </c>
      <c r="G143" s="20">
        <v>595</v>
      </c>
      <c r="H143" s="20">
        <v>-60</v>
      </c>
      <c r="I143" s="20">
        <v>25</v>
      </c>
      <c r="J143" s="4">
        <f t="shared" si="34"/>
        <v>560</v>
      </c>
      <c r="K143" s="4">
        <f t="shared" si="29"/>
        <v>695</v>
      </c>
      <c r="L143" s="4">
        <f t="shared" si="30"/>
        <v>730</v>
      </c>
      <c r="M143" s="4">
        <f t="shared" si="31"/>
        <v>900</v>
      </c>
      <c r="N143" s="4">
        <f t="shared" si="32"/>
        <v>675</v>
      </c>
      <c r="O143" s="4">
        <f t="shared" si="33"/>
        <v>785</v>
      </c>
      <c r="P143" s="4">
        <f>IF((((Price30[Cost]*1.5)+50)/0.835)&lt;2500,
MROUND((((( Price30[Cost]*1.5)+50)/0.835)*1.05)*2,10),
MROUND((((( Price30[Cost]*1.5)+50)/0.835)*1.18)*2,10))</f>
        <v>2370</v>
      </c>
      <c r="Q143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970</v>
      </c>
    </row>
    <row r="144" spans="1:17" x14ac:dyDescent="0.25">
      <c r="A144" s="1"/>
      <c r="B144" s="18">
        <v>2621</v>
      </c>
      <c r="C144" s="19" t="s">
        <v>277</v>
      </c>
      <c r="D144" s="19" t="s">
        <v>497</v>
      </c>
      <c r="E144" s="19" t="s">
        <v>135</v>
      </c>
      <c r="F144" s="19" t="s">
        <v>180</v>
      </c>
      <c r="G144" s="20">
        <v>595</v>
      </c>
      <c r="I144" s="20">
        <v>25</v>
      </c>
      <c r="J144" s="4">
        <f t="shared" si="34"/>
        <v>620</v>
      </c>
      <c r="K144" s="4">
        <f t="shared" si="29"/>
        <v>770</v>
      </c>
      <c r="L144" s="4">
        <f t="shared" si="30"/>
        <v>810</v>
      </c>
      <c r="M144" s="4">
        <f t="shared" si="31"/>
        <v>1000</v>
      </c>
      <c r="N144" s="4">
        <f t="shared" si="32"/>
        <v>750</v>
      </c>
      <c r="O144" s="4">
        <f t="shared" si="33"/>
        <v>870</v>
      </c>
      <c r="P144" s="4">
        <f>IF((((Price30[Cost]*1.5)+50)/0.835)&lt;2500,
MROUND((((( Price30[Cost]*1.5)+50)/0.835)*1.05)*2,10),
MROUND((((( Price30[Cost]*1.5)+50)/0.835)*1.18)*2,10))</f>
        <v>2370</v>
      </c>
      <c r="Q144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1070</v>
      </c>
    </row>
    <row r="145" spans="1:17" x14ac:dyDescent="0.25">
      <c r="A145" s="1">
        <v>2025</v>
      </c>
      <c r="B145" s="18">
        <v>2622</v>
      </c>
      <c r="C145" s="19" t="s">
        <v>277</v>
      </c>
      <c r="D145" s="19" t="s">
        <v>497</v>
      </c>
      <c r="E145" s="19" t="s">
        <v>461</v>
      </c>
      <c r="F145" s="19" t="s">
        <v>477</v>
      </c>
      <c r="G145" s="20">
        <v>940</v>
      </c>
      <c r="H145" s="20">
        <v>-95</v>
      </c>
      <c r="I145" s="20">
        <v>25</v>
      </c>
      <c r="J145" s="4">
        <f t="shared" si="34"/>
        <v>870</v>
      </c>
      <c r="K145" s="4">
        <f t="shared" si="29"/>
        <v>1080</v>
      </c>
      <c r="L145" s="4">
        <f t="shared" si="30"/>
        <v>1135</v>
      </c>
      <c r="M145" s="4">
        <f t="shared" si="31"/>
        <v>1375</v>
      </c>
      <c r="N145" s="4">
        <f t="shared" si="32"/>
        <v>1045</v>
      </c>
      <c r="O145" s="4">
        <f t="shared" si="33"/>
        <v>1215</v>
      </c>
      <c r="P145" s="4">
        <f>IF((((Price30[Cost]*1.5)+50)/0.835)&lt;2500,
MROUND((((( Price30[Cost]*1.5)+50)/0.835)*1.05)*2,10),
MROUND((((( Price30[Cost]*1.5)+50)/0.835)*1.18)*2,10))</f>
        <v>3670</v>
      </c>
      <c r="Q145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1450</v>
      </c>
    </row>
    <row r="146" spans="1:17" x14ac:dyDescent="0.25">
      <c r="A146" s="1"/>
      <c r="B146" s="18">
        <v>2623</v>
      </c>
      <c r="C146" s="19" t="s">
        <v>277</v>
      </c>
      <c r="D146" s="19" t="s">
        <v>497</v>
      </c>
      <c r="E146" s="19"/>
      <c r="F146" s="19" t="s">
        <v>91</v>
      </c>
      <c r="G146" s="20">
        <v>925</v>
      </c>
      <c r="I146" s="20">
        <v>25</v>
      </c>
      <c r="J146" s="4">
        <f t="shared" si="34"/>
        <v>950</v>
      </c>
      <c r="K146" s="4">
        <f t="shared" si="29"/>
        <v>1175</v>
      </c>
      <c r="L146" s="4">
        <f t="shared" si="30"/>
        <v>1235</v>
      </c>
      <c r="M146" s="4">
        <f t="shared" si="31"/>
        <v>1500</v>
      </c>
      <c r="N146" s="4">
        <f t="shared" si="32"/>
        <v>1140</v>
      </c>
      <c r="O146" s="4">
        <f t="shared" si="33"/>
        <v>1325</v>
      </c>
      <c r="P146" s="4">
        <f>IF((((Price30[Cost]*1.5)+50)/0.835)&lt;2500,
MROUND((((( Price30[Cost]*1.5)+50)/0.835)*1.05)*2,10),
MROUND((((( Price30[Cost]*1.5)+50)/0.835)*1.18)*2,10))</f>
        <v>3620</v>
      </c>
      <c r="Q146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1570</v>
      </c>
    </row>
    <row r="147" spans="1:17" x14ac:dyDescent="0.25">
      <c r="A147" s="1"/>
      <c r="B147" s="18">
        <v>2624</v>
      </c>
      <c r="C147" s="19" t="s">
        <v>277</v>
      </c>
      <c r="D147" s="19" t="s">
        <v>497</v>
      </c>
      <c r="E147" s="19"/>
      <c r="F147" s="19" t="s">
        <v>92</v>
      </c>
      <c r="G147" s="20">
        <v>925</v>
      </c>
      <c r="I147" s="20">
        <v>25</v>
      </c>
      <c r="J147" s="4">
        <f t="shared" si="34"/>
        <v>950</v>
      </c>
      <c r="K147" s="4">
        <f t="shared" si="29"/>
        <v>1175</v>
      </c>
      <c r="L147" s="4">
        <f t="shared" si="30"/>
        <v>1235</v>
      </c>
      <c r="M147" s="4">
        <f t="shared" si="31"/>
        <v>1500</v>
      </c>
      <c r="N147" s="4">
        <f t="shared" si="32"/>
        <v>1140</v>
      </c>
      <c r="O147" s="4">
        <f t="shared" si="33"/>
        <v>1325</v>
      </c>
      <c r="P147" s="4">
        <f>IF((((Price30[Cost]*1.5)+50)/0.835)&lt;2500,
MROUND((((( Price30[Cost]*1.5)+50)/0.835)*1.05)*2,10),
MROUND((((( Price30[Cost]*1.5)+50)/0.835)*1.18)*2,10))</f>
        <v>3620</v>
      </c>
      <c r="Q147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1570</v>
      </c>
    </row>
    <row r="148" spans="1:17" x14ac:dyDescent="0.25">
      <c r="A148" s="1"/>
      <c r="B148" s="18">
        <v>2625</v>
      </c>
      <c r="C148" s="19" t="s">
        <v>277</v>
      </c>
      <c r="D148" s="19" t="s">
        <v>497</v>
      </c>
      <c r="E148" s="19"/>
      <c r="F148" s="19" t="s">
        <v>93</v>
      </c>
      <c r="G148" s="20">
        <v>825</v>
      </c>
      <c r="I148" s="20">
        <v>25</v>
      </c>
      <c r="J148" s="4">
        <f t="shared" si="34"/>
        <v>850</v>
      </c>
      <c r="K148" s="4">
        <f t="shared" si="29"/>
        <v>1050</v>
      </c>
      <c r="L148" s="4">
        <f t="shared" si="30"/>
        <v>1105</v>
      </c>
      <c r="M148" s="4">
        <f t="shared" si="31"/>
        <v>1350</v>
      </c>
      <c r="N148" s="4">
        <f t="shared" si="32"/>
        <v>1020</v>
      </c>
      <c r="O148" s="4">
        <f t="shared" si="33"/>
        <v>1185</v>
      </c>
      <c r="P148" s="4">
        <f>IF((((Price30[Cost]*1.5)+50)/0.835)&lt;2500,
MROUND((((( Price30[Cost]*1.5)+50)/0.835)*1.05)*2,10),
MROUND((((( Price30[Cost]*1.5)+50)/0.835)*1.18)*2,10))</f>
        <v>3240</v>
      </c>
      <c r="Q148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1420</v>
      </c>
    </row>
    <row r="149" spans="1:17" x14ac:dyDescent="0.25">
      <c r="A149" s="1"/>
      <c r="B149" s="18">
        <v>2626</v>
      </c>
      <c r="C149" s="19" t="s">
        <v>277</v>
      </c>
      <c r="D149" s="19" t="s">
        <v>497</v>
      </c>
      <c r="E149" s="19" t="s">
        <v>135</v>
      </c>
      <c r="F149" s="19" t="s">
        <v>182</v>
      </c>
      <c r="G149" s="20">
        <v>445</v>
      </c>
      <c r="I149" s="20">
        <v>25</v>
      </c>
      <c r="J149" s="4">
        <f t="shared" si="34"/>
        <v>470</v>
      </c>
      <c r="K149" s="4">
        <f t="shared" si="29"/>
        <v>585</v>
      </c>
      <c r="L149" s="4">
        <f t="shared" si="30"/>
        <v>615</v>
      </c>
      <c r="M149" s="4">
        <f t="shared" si="31"/>
        <v>750</v>
      </c>
      <c r="N149" s="4">
        <f t="shared" si="32"/>
        <v>570</v>
      </c>
      <c r="O149" s="4">
        <f t="shared" si="33"/>
        <v>660</v>
      </c>
      <c r="P149" s="4">
        <f>IF((((Price30[Cost]*1.5)+50)/0.835)&lt;2500,
MROUND((((( Price30[Cost]*1.5)+50)/0.835)*1.05)*2,10),
MROUND((((( Price30[Cost]*1.5)+50)/0.835)*1.18)*2,10))</f>
        <v>1800</v>
      </c>
      <c r="Q149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820</v>
      </c>
    </row>
    <row r="150" spans="1:17" x14ac:dyDescent="0.25">
      <c r="A150" s="1"/>
      <c r="B150" s="18">
        <v>263</v>
      </c>
      <c r="C150" s="19" t="s">
        <v>277</v>
      </c>
      <c r="D150" s="19" t="s">
        <v>497</v>
      </c>
      <c r="E150" s="19" t="s">
        <v>135</v>
      </c>
      <c r="F150" s="19" t="s">
        <v>183</v>
      </c>
      <c r="G150" s="20">
        <v>635</v>
      </c>
      <c r="I150" s="20">
        <v>25</v>
      </c>
      <c r="J150" s="4">
        <f t="shared" si="34"/>
        <v>660</v>
      </c>
      <c r="K150" s="4">
        <f t="shared" si="29"/>
        <v>820</v>
      </c>
      <c r="L150" s="4">
        <f t="shared" si="30"/>
        <v>860</v>
      </c>
      <c r="M150" s="4">
        <f t="shared" si="31"/>
        <v>1050</v>
      </c>
      <c r="N150" s="4">
        <f t="shared" si="32"/>
        <v>795</v>
      </c>
      <c r="O150" s="4">
        <f t="shared" si="33"/>
        <v>925</v>
      </c>
      <c r="P150" s="4">
        <f>IF((((Price30[Cost]*1.5)+50)/0.835)&lt;2500,
MROUND((((( Price30[Cost]*1.5)+50)/0.835)*1.05)*2,10),
MROUND((((( Price30[Cost]*1.5)+50)/0.835)*1.18)*2,10))</f>
        <v>2520</v>
      </c>
      <c r="Q150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1120</v>
      </c>
    </row>
    <row r="151" spans="1:17" x14ac:dyDescent="0.25">
      <c r="A151" s="1">
        <v>2026</v>
      </c>
      <c r="B151" s="18">
        <v>264</v>
      </c>
      <c r="C151" s="19" t="s">
        <v>277</v>
      </c>
      <c r="D151" s="19" t="s">
        <v>497</v>
      </c>
      <c r="E151" s="19" t="s">
        <v>84</v>
      </c>
      <c r="F151" s="19" t="s">
        <v>962</v>
      </c>
      <c r="G151" s="20">
        <v>475</v>
      </c>
      <c r="I151" s="20">
        <v>25</v>
      </c>
      <c r="J151" s="4">
        <f t="shared" si="34"/>
        <v>500</v>
      </c>
      <c r="K151" s="4">
        <f t="shared" si="29"/>
        <v>620</v>
      </c>
      <c r="L151" s="4">
        <f t="shared" si="30"/>
        <v>650</v>
      </c>
      <c r="M151" s="4">
        <f t="shared" si="31"/>
        <v>800</v>
      </c>
      <c r="N151" s="4">
        <f t="shared" si="32"/>
        <v>600</v>
      </c>
      <c r="O151" s="4">
        <f t="shared" si="33"/>
        <v>700</v>
      </c>
      <c r="P151" s="4">
        <f>IF((((Price30[Cost]*1.5)+50)/0.835)&lt;2500,
MROUND((((( Price30[Cost]*1.5)+50)/0.835)*1.05)*2,10),
MROUND((((( Price30[Cost]*1.5)+50)/0.835)*1.18)*2,10))</f>
        <v>1920</v>
      </c>
      <c r="Q151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870</v>
      </c>
    </row>
    <row r="152" spans="1:17" x14ac:dyDescent="0.25">
      <c r="A152" s="1"/>
      <c r="B152" s="18">
        <v>266</v>
      </c>
      <c r="C152" s="19" t="s">
        <v>277</v>
      </c>
      <c r="D152" s="19" t="s">
        <v>497</v>
      </c>
      <c r="E152" s="19" t="s">
        <v>135</v>
      </c>
      <c r="F152" s="19" t="s">
        <v>181</v>
      </c>
      <c r="G152" s="20">
        <v>595</v>
      </c>
      <c r="I152" s="20">
        <v>25</v>
      </c>
      <c r="J152" s="4">
        <f t="shared" si="34"/>
        <v>620</v>
      </c>
      <c r="K152" s="4">
        <f t="shared" si="29"/>
        <v>770</v>
      </c>
      <c r="L152" s="4">
        <f t="shared" si="30"/>
        <v>810</v>
      </c>
      <c r="M152" s="4">
        <f t="shared" si="31"/>
        <v>1000</v>
      </c>
      <c r="N152" s="4">
        <f t="shared" si="32"/>
        <v>750</v>
      </c>
      <c r="O152" s="4">
        <f t="shared" si="33"/>
        <v>870</v>
      </c>
      <c r="P152" s="4">
        <f>IF((((Price30[Cost]*1.5)+50)/0.835)&lt;2500,
MROUND((((( Price30[Cost]*1.5)+50)/0.835)*1.05)*2,10),
MROUND((((( Price30[Cost]*1.5)+50)/0.835)*1.18)*2,10))</f>
        <v>2370</v>
      </c>
      <c r="Q152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1070</v>
      </c>
    </row>
    <row r="153" spans="1:17" x14ac:dyDescent="0.25">
      <c r="A153" s="1"/>
      <c r="B153" s="18">
        <v>267</v>
      </c>
      <c r="C153" s="19" t="s">
        <v>277</v>
      </c>
      <c r="D153" s="19" t="s">
        <v>497</v>
      </c>
      <c r="E153" s="19" t="s">
        <v>135</v>
      </c>
      <c r="F153" s="19" t="s">
        <v>184</v>
      </c>
      <c r="G153" s="20">
        <v>550</v>
      </c>
      <c r="I153" s="20">
        <v>25</v>
      </c>
      <c r="J153" s="4">
        <f t="shared" si="34"/>
        <v>575</v>
      </c>
      <c r="K153" s="4">
        <f t="shared" si="29"/>
        <v>715</v>
      </c>
      <c r="L153" s="4">
        <f t="shared" si="30"/>
        <v>750</v>
      </c>
      <c r="M153" s="4">
        <f t="shared" si="31"/>
        <v>925</v>
      </c>
      <c r="N153" s="4">
        <f t="shared" si="32"/>
        <v>690</v>
      </c>
      <c r="O153" s="4">
        <f t="shared" si="33"/>
        <v>805</v>
      </c>
      <c r="P153" s="4">
        <f>IF((((Price30[Cost]*1.5)+50)/0.835)&lt;2500,
MROUND((((( Price30[Cost]*1.5)+50)/0.835)*1.05)*2,10),
MROUND((((( Price30[Cost]*1.5)+50)/0.835)*1.18)*2,10))</f>
        <v>2200</v>
      </c>
      <c r="Q153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1000</v>
      </c>
    </row>
    <row r="154" spans="1:17" x14ac:dyDescent="0.25">
      <c r="A154" s="1">
        <v>2026</v>
      </c>
      <c r="B154" s="18">
        <v>5234</v>
      </c>
      <c r="C154" s="19" t="s">
        <v>171</v>
      </c>
      <c r="D154" s="19" t="s">
        <v>494</v>
      </c>
      <c r="E154" s="19" t="s">
        <v>673</v>
      </c>
      <c r="F154" s="19" t="s">
        <v>686</v>
      </c>
      <c r="G154" s="20">
        <v>535</v>
      </c>
      <c r="I154" s="20">
        <v>12</v>
      </c>
      <c r="J154" s="4">
        <f>IF(SUMIF(G154:I154,"&lt;&gt;")=0,"",SUM(G154:I154))</f>
        <v>547</v>
      </c>
      <c r="K154" s="4">
        <f>IF(ISNUMBER(L154),
   IF(CEILING(ROUND(L154*0.95,2),5)=420,
      425,
      CEILING(ROUND(L154*0.95,2),5)
   ),
   ""
)</f>
        <v>680</v>
      </c>
      <c r="L154" s="4">
        <f>IF(AND(ISNUMBER(J154),ISNUMBER(G154)),
   IF(CEILING(ROUND(J154*1.3,2),5)=420,
      425,
      CEILING(ROUND(J154*1.3,2),5)
   ),
   ""
)</f>
        <v>715</v>
      </c>
      <c r="M154" s="4">
        <f>IF(AND(ISNUMBER(J154),ISNUMBER(G154)),
   IF(
      CEILING(
         ROUND((J154*1.5) * IF(J154*1.5 &lt;= 2500, 1.05, 1.18), 2),
         IF(ROUND((J154*1.5) * IF(J154*1.5 &lt;= 2500, 1.05, 1.18), 2) &lt; 2500, 25, 50)
      )=420,
      425,
      CEILING(
         ROUND((J154*1.5) * IF(J154*1.5 &lt;= 2500, 1.05, 1.18), 2),
         IF(ROUND((J154*1.5) * IF(J154*1.5 &lt;= 2500, 1.05, 1.18), 2) &lt; 2500, 25, 50)
      )
   ),
   ""
)</f>
        <v>875</v>
      </c>
      <c r="N154" s="4">
        <f>IF(ISNUMBER(G154),
   IF(CEILING(ROUND(L154*0.92,2),5)=420,
      425,
      CEILING(ROUND(L154*0.92,2),5)
   ),
   ""
)</f>
        <v>660</v>
      </c>
      <c r="O154" s="4">
        <f>IF(ISNUMBER(L154),
   IF(CEILING(ROUND(L154*1.07,2),5)=420,
      425,
      CEILING(ROUND(L154*1.07,2),5)
   ),
   ""
)</f>
        <v>770</v>
      </c>
      <c r="P154" s="4">
        <f>IF((((Price30[Cost]*1.5)+50)/0.835)&lt;2500,
MROUND((((( Price30[Cost]*1.5)+50)/0.835)*1.05)*2,10),
MROUND((((( Price30[Cost]*1.5)+50)/0.835)*1.18)*2,10))</f>
        <v>2140</v>
      </c>
      <c r="Q154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950</v>
      </c>
    </row>
    <row r="155" spans="1:17" x14ac:dyDescent="0.25">
      <c r="A155" s="1"/>
      <c r="B155" s="18">
        <v>5783</v>
      </c>
      <c r="C155" s="19" t="s">
        <v>171</v>
      </c>
      <c r="D155" s="19" t="s">
        <v>497</v>
      </c>
      <c r="E155" s="19" t="s">
        <v>197</v>
      </c>
      <c r="F155" s="19" t="s">
        <v>198</v>
      </c>
      <c r="G155" s="20">
        <v>475</v>
      </c>
      <c r="I155" s="20">
        <v>15</v>
      </c>
      <c r="J155" s="4">
        <f t="shared" si="34"/>
        <v>490</v>
      </c>
      <c r="K155" s="4">
        <f t="shared" si="29"/>
        <v>610</v>
      </c>
      <c r="L155" s="4">
        <f t="shared" si="30"/>
        <v>640</v>
      </c>
      <c r="M155" s="4">
        <f t="shared" si="31"/>
        <v>775</v>
      </c>
      <c r="N155" s="4">
        <f t="shared" si="32"/>
        <v>590</v>
      </c>
      <c r="O155" s="4">
        <f t="shared" si="33"/>
        <v>685</v>
      </c>
      <c r="P155" s="4">
        <f>IF((((Price30[Cost]*1.5)+50)/0.835)&lt;2500,
MROUND((((( Price30[Cost]*1.5)+50)/0.835)*1.05)*2,10),
MROUND((((( Price30[Cost]*1.5)+50)/0.835)*1.18)*2,10))</f>
        <v>1920</v>
      </c>
      <c r="Q155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850</v>
      </c>
    </row>
    <row r="156" spans="1:17" x14ac:dyDescent="0.25">
      <c r="A156" s="1"/>
      <c r="B156" s="18">
        <v>5784</v>
      </c>
      <c r="C156" s="19" t="s">
        <v>171</v>
      </c>
      <c r="D156" s="19" t="s">
        <v>497</v>
      </c>
      <c r="E156" s="19" t="s">
        <v>197</v>
      </c>
      <c r="F156" s="19" t="s">
        <v>199</v>
      </c>
      <c r="G156" s="20">
        <v>510</v>
      </c>
      <c r="I156" s="20">
        <v>15</v>
      </c>
      <c r="J156" s="4">
        <f t="shared" si="34"/>
        <v>525</v>
      </c>
      <c r="K156" s="4">
        <f t="shared" si="29"/>
        <v>655</v>
      </c>
      <c r="L156" s="4">
        <f t="shared" si="30"/>
        <v>685</v>
      </c>
      <c r="M156" s="4">
        <f t="shared" si="31"/>
        <v>850</v>
      </c>
      <c r="N156" s="4">
        <f t="shared" si="32"/>
        <v>635</v>
      </c>
      <c r="O156" s="4">
        <f t="shared" si="33"/>
        <v>735</v>
      </c>
      <c r="P156" s="4">
        <f>IF((((Price30[Cost]*1.5)+50)/0.835)&lt;2500,
MROUND((((( Price30[Cost]*1.5)+50)/0.835)*1.05)*2,10),
MROUND((((( Price30[Cost]*1.5)+50)/0.835)*1.18)*2,10))</f>
        <v>2050</v>
      </c>
      <c r="Q156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920</v>
      </c>
    </row>
    <row r="157" spans="1:17" x14ac:dyDescent="0.25">
      <c r="A157" s="1"/>
      <c r="B157" s="18">
        <v>5785</v>
      </c>
      <c r="C157" s="19" t="s">
        <v>171</v>
      </c>
      <c r="D157" s="19" t="s">
        <v>497</v>
      </c>
      <c r="E157" s="19" t="s">
        <v>197</v>
      </c>
      <c r="F157" s="19" t="s">
        <v>200</v>
      </c>
      <c r="G157" s="20">
        <v>575</v>
      </c>
      <c r="I157" s="20">
        <v>15</v>
      </c>
      <c r="J157" s="4">
        <f t="shared" si="34"/>
        <v>590</v>
      </c>
      <c r="K157" s="4">
        <f t="shared" si="29"/>
        <v>735</v>
      </c>
      <c r="L157" s="4">
        <f t="shared" si="30"/>
        <v>770</v>
      </c>
      <c r="M157" s="4">
        <f t="shared" si="31"/>
        <v>950</v>
      </c>
      <c r="N157" s="4">
        <f t="shared" si="32"/>
        <v>710</v>
      </c>
      <c r="O157" s="4">
        <f t="shared" si="33"/>
        <v>825</v>
      </c>
      <c r="P157" s="4">
        <f>IF((((Price30[Cost]*1.5)+50)/0.835)&lt;2500,
MROUND((((( Price30[Cost]*1.5)+50)/0.835)*1.05)*2,10),
MROUND((((( Price30[Cost]*1.5)+50)/0.835)*1.18)*2,10))</f>
        <v>2290</v>
      </c>
      <c r="Q157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1020</v>
      </c>
    </row>
    <row r="158" spans="1:17" x14ac:dyDescent="0.25">
      <c r="A158" s="1"/>
      <c r="B158" s="18">
        <v>5786</v>
      </c>
      <c r="C158" s="19" t="s">
        <v>171</v>
      </c>
      <c r="D158" s="19" t="s">
        <v>497</v>
      </c>
      <c r="E158" s="19" t="s">
        <v>197</v>
      </c>
      <c r="F158" s="19" t="s">
        <v>201</v>
      </c>
      <c r="G158" s="20">
        <v>750</v>
      </c>
      <c r="I158" s="20">
        <v>15</v>
      </c>
      <c r="J158" s="4">
        <f t="shared" si="34"/>
        <v>765</v>
      </c>
      <c r="K158" s="4">
        <f t="shared" si="29"/>
        <v>950</v>
      </c>
      <c r="L158" s="4">
        <f t="shared" si="30"/>
        <v>995</v>
      </c>
      <c r="M158" s="4">
        <f t="shared" si="31"/>
        <v>1225</v>
      </c>
      <c r="N158" s="4">
        <f t="shared" si="32"/>
        <v>920</v>
      </c>
      <c r="O158" s="4">
        <f t="shared" si="33"/>
        <v>1065</v>
      </c>
      <c r="P158" s="4">
        <f>IF((((Price30[Cost]*1.5)+50)/0.835)&lt;2500,
MROUND((((( Price30[Cost]*1.5)+50)/0.835)*1.05)*2,10),
MROUND((((( Price30[Cost]*1.5)+50)/0.835)*1.18)*2,10))</f>
        <v>2960</v>
      </c>
      <c r="Q158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1300</v>
      </c>
    </row>
    <row r="159" spans="1:17" x14ac:dyDescent="0.25">
      <c r="A159" s="1"/>
      <c r="B159" s="18">
        <v>5788</v>
      </c>
      <c r="C159" s="19" t="s">
        <v>171</v>
      </c>
      <c r="D159" s="19" t="s">
        <v>497</v>
      </c>
      <c r="E159" s="19" t="s">
        <v>197</v>
      </c>
      <c r="F159" s="19" t="s">
        <v>202</v>
      </c>
      <c r="G159" s="20">
        <v>510</v>
      </c>
      <c r="I159" s="20">
        <v>15</v>
      </c>
      <c r="J159" s="4">
        <f t="shared" si="34"/>
        <v>525</v>
      </c>
      <c r="K159" s="4">
        <f t="shared" si="29"/>
        <v>655</v>
      </c>
      <c r="L159" s="4">
        <f t="shared" si="30"/>
        <v>685</v>
      </c>
      <c r="M159" s="4">
        <f t="shared" si="31"/>
        <v>850</v>
      </c>
      <c r="N159" s="4">
        <f t="shared" si="32"/>
        <v>635</v>
      </c>
      <c r="O159" s="4">
        <f t="shared" si="33"/>
        <v>735</v>
      </c>
      <c r="P159" s="4">
        <f>IF((((Price30[Cost]*1.5)+50)/0.835)&lt;2500,
MROUND((((( Price30[Cost]*1.5)+50)/0.835)*1.05)*2,10),
MROUND((((( Price30[Cost]*1.5)+50)/0.835)*1.18)*2,10))</f>
        <v>2050</v>
      </c>
      <c r="Q159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920</v>
      </c>
    </row>
    <row r="160" spans="1:17" x14ac:dyDescent="0.25">
      <c r="A160" s="1"/>
      <c r="B160" s="18">
        <v>5789</v>
      </c>
      <c r="C160" s="19" t="s">
        <v>171</v>
      </c>
      <c r="D160" s="19" t="s">
        <v>497</v>
      </c>
      <c r="E160" s="19" t="s">
        <v>197</v>
      </c>
      <c r="F160" s="19" t="s">
        <v>203</v>
      </c>
      <c r="G160" s="20">
        <v>900</v>
      </c>
      <c r="I160" s="20">
        <v>15</v>
      </c>
      <c r="J160" s="4">
        <f t="shared" si="34"/>
        <v>915</v>
      </c>
      <c r="K160" s="4">
        <f t="shared" si="29"/>
        <v>1135</v>
      </c>
      <c r="L160" s="4">
        <f t="shared" si="30"/>
        <v>1190</v>
      </c>
      <c r="M160" s="4">
        <f t="shared" si="31"/>
        <v>1450</v>
      </c>
      <c r="N160" s="4">
        <f t="shared" si="32"/>
        <v>1095</v>
      </c>
      <c r="O160" s="4">
        <f t="shared" si="33"/>
        <v>1275</v>
      </c>
      <c r="P160" s="4">
        <f>IF((((Price30[Cost]*1.5)+50)/0.835)&lt;2500,
MROUND((((( Price30[Cost]*1.5)+50)/0.835)*1.05)*2,10),
MROUND((((( Price30[Cost]*1.5)+50)/0.835)*1.18)*2,10))</f>
        <v>3520</v>
      </c>
      <c r="Q160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1520</v>
      </c>
    </row>
    <row r="161" spans="1:17" x14ac:dyDescent="0.25">
      <c r="A161" s="1">
        <v>2025</v>
      </c>
      <c r="B161" s="18">
        <v>761</v>
      </c>
      <c r="C161" s="19" t="s">
        <v>287</v>
      </c>
      <c r="D161" s="19" t="s">
        <v>499</v>
      </c>
      <c r="E161" s="19" t="s">
        <v>483</v>
      </c>
      <c r="F161" s="19" t="s">
        <v>484</v>
      </c>
      <c r="G161" s="20">
        <v>192</v>
      </c>
      <c r="I161" s="20">
        <v>15</v>
      </c>
      <c r="J161" s="4">
        <f t="shared" si="34"/>
        <v>207</v>
      </c>
      <c r="K161" s="4">
        <f t="shared" si="29"/>
        <v>260</v>
      </c>
      <c r="L161" s="4">
        <f t="shared" si="30"/>
        <v>270</v>
      </c>
      <c r="M161" s="4">
        <f t="shared" si="31"/>
        <v>350</v>
      </c>
      <c r="N161" s="4">
        <f t="shared" si="32"/>
        <v>250</v>
      </c>
      <c r="O161" s="4">
        <f t="shared" si="33"/>
        <v>290</v>
      </c>
      <c r="P161" s="4">
        <f>IF((((Price30[Cost]*1.5)+50)/0.835)&lt;2500,
MROUND((((( Price30[Cost]*1.5)+50)/0.835)*1.05)*2,10),
MROUND((((( Price30[Cost]*1.5)+50)/0.835)*1.18)*2,10))</f>
        <v>850</v>
      </c>
      <c r="Q161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420</v>
      </c>
    </row>
    <row r="162" spans="1:17" x14ac:dyDescent="0.25">
      <c r="A162" s="1">
        <v>2025</v>
      </c>
      <c r="B162" s="18">
        <v>762</v>
      </c>
      <c r="C162" s="19" t="s">
        <v>287</v>
      </c>
      <c r="D162" s="19" t="s">
        <v>499</v>
      </c>
      <c r="E162" s="19" t="s">
        <v>483</v>
      </c>
      <c r="F162" s="19" t="s">
        <v>485</v>
      </c>
      <c r="G162" s="20">
        <v>190</v>
      </c>
      <c r="I162" s="20">
        <v>15</v>
      </c>
      <c r="J162" s="4">
        <f t="shared" si="34"/>
        <v>205</v>
      </c>
      <c r="K162" s="4">
        <f t="shared" si="29"/>
        <v>260</v>
      </c>
      <c r="L162" s="4">
        <f t="shared" si="30"/>
        <v>270</v>
      </c>
      <c r="M162" s="4">
        <f t="shared" si="31"/>
        <v>325</v>
      </c>
      <c r="N162" s="4">
        <f t="shared" si="32"/>
        <v>250</v>
      </c>
      <c r="O162" s="4">
        <f t="shared" si="33"/>
        <v>290</v>
      </c>
      <c r="P162" s="4">
        <f>IF((((Price30[Cost]*1.5)+50)/0.835)&lt;2500,
MROUND((((( Price30[Cost]*1.5)+50)/0.835)*1.05)*2,10),
MROUND((((( Price30[Cost]*1.5)+50)/0.835)*1.18)*2,10))</f>
        <v>840</v>
      </c>
      <c r="Q162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400</v>
      </c>
    </row>
    <row r="163" spans="1:17" x14ac:dyDescent="0.25">
      <c r="A163" s="1">
        <v>2026</v>
      </c>
      <c r="B163" s="18">
        <v>801</v>
      </c>
      <c r="C163" s="19" t="s">
        <v>277</v>
      </c>
      <c r="D163" s="19" t="s">
        <v>497</v>
      </c>
      <c r="E163" s="19" t="s">
        <v>290</v>
      </c>
      <c r="F163" s="19" t="s">
        <v>975</v>
      </c>
      <c r="G163" s="20">
        <v>1350</v>
      </c>
      <c r="I163" s="20">
        <v>25</v>
      </c>
      <c r="J163" s="4">
        <f t="shared" si="34"/>
        <v>1375</v>
      </c>
      <c r="K163" s="4">
        <f t="shared" si="29"/>
        <v>1705</v>
      </c>
      <c r="L163" s="4">
        <f t="shared" si="30"/>
        <v>1790</v>
      </c>
      <c r="M163" s="4">
        <f t="shared" si="31"/>
        <v>2175</v>
      </c>
      <c r="N163" s="4">
        <f t="shared" si="32"/>
        <v>1650</v>
      </c>
      <c r="O163" s="4">
        <f t="shared" si="33"/>
        <v>1920</v>
      </c>
      <c r="P163" s="4">
        <f>IF((((Price30[Cost]*1.5)+50)/0.835)&lt;2500,
MROUND((((( Price30[Cost]*1.5)+50)/0.835)*1.05)*2,10),
MROUND((((( Price30[Cost]*1.5)+50)/0.835)*1.18)*2,10))</f>
        <v>5220</v>
      </c>
      <c r="Q163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2250</v>
      </c>
    </row>
    <row r="164" spans="1:17" x14ac:dyDescent="0.25">
      <c r="A164" s="1">
        <v>2026</v>
      </c>
      <c r="B164" s="18">
        <v>8011</v>
      </c>
      <c r="C164" s="19" t="s">
        <v>277</v>
      </c>
      <c r="D164" s="19" t="s">
        <v>497</v>
      </c>
      <c r="E164" s="19" t="s">
        <v>290</v>
      </c>
      <c r="F164" s="19" t="s">
        <v>985</v>
      </c>
      <c r="G164" s="20">
        <v>1665</v>
      </c>
      <c r="I164" s="20">
        <v>25</v>
      </c>
      <c r="J164" s="4">
        <f t="shared" ref="J164" si="35">IF(SUMIF(G164:I164,"&lt;&gt;")=0,"",SUM(G164:I164))</f>
        <v>1690</v>
      </c>
      <c r="K164" s="4">
        <f t="shared" ref="K164" si="36">IF(ISNUMBER(L164),
   IF(CEILING(ROUND(L164*0.95,2),5)=420,
      425,
      CEILING(ROUND(L164*0.95,2),5)
   ),
   ""
)</f>
        <v>2090</v>
      </c>
      <c r="L164" s="4">
        <f t="shared" ref="L164" si="37">IF(AND(ISNUMBER(J164),ISNUMBER(G164)),
   IF(CEILING(ROUND(J164*1.3,2),5)=420,
      425,
      CEILING(ROUND(J164*1.3,2),5)
   ),
   ""
)</f>
        <v>2200</v>
      </c>
      <c r="M164" s="4">
        <f t="shared" ref="M164" si="38">IF(AND(ISNUMBER(J164),ISNUMBER(G164)),
   IF(
      CEILING(
         ROUND((J164*1.5) * IF(J164*1.5 &lt;= 2500, 1.05, 1.18), 2),
         IF(ROUND((J164*1.5) * IF(J164*1.5 &lt;= 2500, 1.05, 1.18), 2) &lt; 2500, 25, 50)
      )=420,
      425,
      CEILING(
         ROUND((J164*1.5) * IF(J164*1.5 &lt;= 2500, 1.05, 1.18), 2),
         IF(ROUND((J164*1.5) * IF(J164*1.5 &lt;= 2500, 1.05, 1.18), 2) &lt; 2500, 25, 50)
      )
   ),
   ""
)</f>
        <v>3000</v>
      </c>
      <c r="N164" s="4">
        <f t="shared" ref="N164" si="39">IF(ISNUMBER(G164),
   IF(CEILING(ROUND(L164*0.92,2),5)=420,
      425,
      CEILING(ROUND(L164*0.92,2),5)
   ),
   ""
)</f>
        <v>2025</v>
      </c>
      <c r="O164" s="4">
        <f t="shared" ref="O164" si="40">IF(ISNUMBER(L164),
   IF(CEILING(ROUND(L164*1.07,2),5)=420,
      425,
      CEILING(ROUND(L164*1.07,2),5)
   ),
   ""
)</f>
        <v>2355</v>
      </c>
      <c r="P164" s="4">
        <f>IF((((Price30[Cost]*1.5)+50)/0.835)&lt;2500,
MROUND((((( Price30[Cost]*1.5)+50)/0.835)*1.05)*2,10),
MROUND((((( Price30[Cost]*1.5)+50)/0.835)*1.18)*2,10))</f>
        <v>7200</v>
      </c>
      <c r="Q164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3070</v>
      </c>
    </row>
    <row r="165" spans="1:17" x14ac:dyDescent="0.25">
      <c r="A165" s="1">
        <v>2026</v>
      </c>
      <c r="B165" s="18">
        <v>802</v>
      </c>
      <c r="C165" s="19" t="s">
        <v>277</v>
      </c>
      <c r="D165" s="19" t="s">
        <v>497</v>
      </c>
      <c r="E165" s="19" t="s">
        <v>290</v>
      </c>
      <c r="F165" s="19" t="s">
        <v>977</v>
      </c>
      <c r="G165" s="20">
        <v>2210</v>
      </c>
      <c r="I165" s="20">
        <v>25</v>
      </c>
      <c r="J165" s="4">
        <f t="shared" si="34"/>
        <v>2235</v>
      </c>
      <c r="K165" s="4">
        <f t="shared" si="29"/>
        <v>2765</v>
      </c>
      <c r="L165" s="4">
        <f t="shared" si="30"/>
        <v>2910</v>
      </c>
      <c r="M165" s="4">
        <f t="shared" si="31"/>
        <v>4000</v>
      </c>
      <c r="N165" s="4">
        <f t="shared" si="32"/>
        <v>2680</v>
      </c>
      <c r="O165" s="4">
        <f t="shared" si="33"/>
        <v>3115</v>
      </c>
      <c r="P165" s="4">
        <f>IF((((Price30[Cost]*1.5)+50)/0.835)&lt;2500,
MROUND((((( Price30[Cost]*1.5)+50)/0.835)*1.05)*2,10),
MROUND((((( Price30[Cost]*1.5)+50)/0.835)*1.18)*2,10))</f>
        <v>9510</v>
      </c>
      <c r="Q165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4070</v>
      </c>
    </row>
    <row r="166" spans="1:17" x14ac:dyDescent="0.25">
      <c r="A166" s="1">
        <v>2026</v>
      </c>
      <c r="B166" s="18">
        <v>803</v>
      </c>
      <c r="C166" s="19" t="s">
        <v>277</v>
      </c>
      <c r="D166" s="19" t="s">
        <v>497</v>
      </c>
      <c r="E166" s="19" t="s">
        <v>527</v>
      </c>
      <c r="F166" s="19" t="s">
        <v>932</v>
      </c>
      <c r="G166" s="20">
        <v>1600</v>
      </c>
      <c r="I166" s="20">
        <v>25</v>
      </c>
      <c r="J166" s="4">
        <f t="shared" si="34"/>
        <v>1625</v>
      </c>
      <c r="K166" s="4">
        <f t="shared" si="29"/>
        <v>2010</v>
      </c>
      <c r="L166" s="4">
        <f t="shared" si="30"/>
        <v>2115</v>
      </c>
      <c r="M166" s="4">
        <f t="shared" si="31"/>
        <v>2600</v>
      </c>
      <c r="N166" s="4">
        <f t="shared" si="32"/>
        <v>1950</v>
      </c>
      <c r="O166" s="4">
        <f t="shared" si="33"/>
        <v>2265</v>
      </c>
      <c r="P166" s="4">
        <f>IF((((Price30[Cost]*1.5)+50)/0.835)&lt;2500,
MROUND((((( Price30[Cost]*1.5)+50)/0.835)*1.05)*2,10),
MROUND((((( Price30[Cost]*1.5)+50)/0.835)*1.18)*2,10))</f>
        <v>6920</v>
      </c>
      <c r="Q166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2670</v>
      </c>
    </row>
    <row r="167" spans="1:17" x14ac:dyDescent="0.25">
      <c r="A167" s="1">
        <v>2025</v>
      </c>
      <c r="B167" s="18">
        <v>8031</v>
      </c>
      <c r="C167" s="19" t="s">
        <v>277</v>
      </c>
      <c r="D167" s="19" t="s">
        <v>497</v>
      </c>
      <c r="E167" s="19" t="s">
        <v>328</v>
      </c>
      <c r="F167" s="19">
        <v>945</v>
      </c>
      <c r="G167" s="20">
        <v>4450</v>
      </c>
      <c r="I167" s="20">
        <v>25</v>
      </c>
      <c r="J167" s="4">
        <f t="shared" si="34"/>
        <v>4475</v>
      </c>
      <c r="K167" s="4">
        <f t="shared" si="29"/>
        <v>5530</v>
      </c>
      <c r="L167" s="4">
        <f t="shared" si="30"/>
        <v>5820</v>
      </c>
      <c r="M167" s="4">
        <f t="shared" si="31"/>
        <v>7950</v>
      </c>
      <c r="N167" s="4">
        <f t="shared" si="32"/>
        <v>5355</v>
      </c>
      <c r="O167" s="4">
        <f t="shared" si="33"/>
        <v>6230</v>
      </c>
      <c r="P167" s="4">
        <f>IF((((Price30[Cost]*1.5)+50)/0.835)&lt;2500,
MROUND((((( Price30[Cost]*1.5)+50)/0.835)*1.05)*2,10),
MROUND((((( Price30[Cost]*1.5)+50)/0.835)*1.18)*2,10))</f>
        <v>19010</v>
      </c>
      <c r="Q167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8020</v>
      </c>
    </row>
    <row r="168" spans="1:17" x14ac:dyDescent="0.25">
      <c r="A168" s="1">
        <v>2025</v>
      </c>
      <c r="B168" s="18">
        <v>8032</v>
      </c>
      <c r="C168" s="19" t="s">
        <v>277</v>
      </c>
      <c r="D168" s="19" t="s">
        <v>497</v>
      </c>
      <c r="E168" s="19" t="s">
        <v>328</v>
      </c>
      <c r="F168" s="19">
        <v>555</v>
      </c>
      <c r="G168" s="20">
        <v>1950</v>
      </c>
      <c r="I168" s="20">
        <v>25</v>
      </c>
      <c r="J168" s="4">
        <f t="shared" si="34"/>
        <v>1975</v>
      </c>
      <c r="K168" s="4">
        <f t="shared" si="29"/>
        <v>2445</v>
      </c>
      <c r="L168" s="4">
        <f t="shared" si="30"/>
        <v>2570</v>
      </c>
      <c r="M168" s="4">
        <f t="shared" si="31"/>
        <v>3500</v>
      </c>
      <c r="N168" s="4">
        <f t="shared" si="32"/>
        <v>2365</v>
      </c>
      <c r="O168" s="4">
        <f t="shared" si="33"/>
        <v>2750</v>
      </c>
      <c r="P168" s="4">
        <f>IF((((Price30[Cost]*1.5)+50)/0.835)&lt;2500,
MROUND((((( Price30[Cost]*1.5)+50)/0.835)*1.05)*2,10),
MROUND((((( Price30[Cost]*1.5)+50)/0.835)*1.18)*2,10))</f>
        <v>8410</v>
      </c>
      <c r="Q168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3570</v>
      </c>
    </row>
    <row r="169" spans="1:17" x14ac:dyDescent="0.25">
      <c r="A169" s="1">
        <v>2025</v>
      </c>
      <c r="B169" s="18">
        <v>8033</v>
      </c>
      <c r="C169" s="19" t="s">
        <v>277</v>
      </c>
      <c r="D169" s="19" t="s">
        <v>497</v>
      </c>
      <c r="E169" s="19" t="s">
        <v>328</v>
      </c>
      <c r="F169" s="19" t="s">
        <v>682</v>
      </c>
      <c r="G169" s="20">
        <v>4900</v>
      </c>
      <c r="I169" s="20">
        <v>25</v>
      </c>
      <c r="J169" s="4">
        <f t="shared" si="34"/>
        <v>4925</v>
      </c>
      <c r="K169" s="4">
        <f t="shared" si="29"/>
        <v>6085</v>
      </c>
      <c r="L169" s="4">
        <f t="shared" si="30"/>
        <v>6405</v>
      </c>
      <c r="M169" s="4">
        <f t="shared" si="31"/>
        <v>8750</v>
      </c>
      <c r="N169" s="4">
        <f t="shared" si="32"/>
        <v>5895</v>
      </c>
      <c r="O169" s="4">
        <f t="shared" si="33"/>
        <v>6855</v>
      </c>
      <c r="P169" s="4">
        <f>IF((((Price30[Cost]*1.5)+50)/0.835)&lt;2500,
MROUND((((( Price30[Cost]*1.5)+50)/0.835)*1.05)*2,10),
MROUND((((( Price30[Cost]*1.5)+50)/0.835)*1.18)*2,10))</f>
        <v>20910</v>
      </c>
      <c r="Q169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8820</v>
      </c>
    </row>
    <row r="170" spans="1:17" x14ac:dyDescent="0.25">
      <c r="A170" s="1">
        <v>2025</v>
      </c>
      <c r="B170" s="18">
        <v>8034</v>
      </c>
      <c r="C170" s="19" t="s">
        <v>277</v>
      </c>
      <c r="D170" s="19" t="s">
        <v>497</v>
      </c>
      <c r="E170" s="19" t="s">
        <v>328</v>
      </c>
      <c r="F170" s="19">
        <v>1590</v>
      </c>
      <c r="G170" s="20">
        <v>1375</v>
      </c>
      <c r="I170" s="20">
        <v>25</v>
      </c>
      <c r="J170" s="4">
        <f t="shared" si="34"/>
        <v>1400</v>
      </c>
      <c r="K170" s="4">
        <f t="shared" si="29"/>
        <v>1730</v>
      </c>
      <c r="L170" s="4">
        <f t="shared" si="30"/>
        <v>1820</v>
      </c>
      <c r="M170" s="4">
        <f t="shared" si="31"/>
        <v>2225</v>
      </c>
      <c r="N170" s="4">
        <f t="shared" si="32"/>
        <v>1675</v>
      </c>
      <c r="O170" s="4">
        <f t="shared" si="33"/>
        <v>1950</v>
      </c>
      <c r="P170" s="4">
        <f>IF((((Price30[Cost]*1.5)+50)/0.835)&lt;2500,
MROUND((((( Price30[Cost]*1.5)+50)/0.835)*1.05)*2,10),
MROUND((((( Price30[Cost]*1.5)+50)/0.835)*1.18)*2,10))</f>
        <v>5970</v>
      </c>
      <c r="Q170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2300</v>
      </c>
    </row>
    <row r="171" spans="1:17" x14ac:dyDescent="0.25">
      <c r="A171" s="1">
        <v>2025</v>
      </c>
      <c r="B171" s="18">
        <v>8035</v>
      </c>
      <c r="C171" s="19" t="s">
        <v>277</v>
      </c>
      <c r="D171" s="19" t="s">
        <v>497</v>
      </c>
      <c r="E171" s="19" t="s">
        <v>328</v>
      </c>
      <c r="F171" s="19">
        <v>942</v>
      </c>
      <c r="G171" s="20">
        <v>2925</v>
      </c>
      <c r="I171" s="20">
        <v>25</v>
      </c>
      <c r="J171" s="4">
        <f t="shared" si="34"/>
        <v>2950</v>
      </c>
      <c r="K171" s="4">
        <f t="shared" si="29"/>
        <v>3645</v>
      </c>
      <c r="L171" s="4">
        <f t="shared" si="30"/>
        <v>3835</v>
      </c>
      <c r="M171" s="4">
        <f t="shared" si="31"/>
        <v>5250</v>
      </c>
      <c r="N171" s="4">
        <f t="shared" si="32"/>
        <v>3530</v>
      </c>
      <c r="O171" s="4">
        <f t="shared" si="33"/>
        <v>4105</v>
      </c>
      <c r="P171" s="4">
        <f>IF((((Price30[Cost]*1.5)+50)/0.835)&lt;2500,
MROUND((((( Price30[Cost]*1.5)+50)/0.835)*1.05)*2,10),
MROUND((((( Price30[Cost]*1.5)+50)/0.835)*1.18)*2,10))</f>
        <v>12540</v>
      </c>
      <c r="Q171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5320</v>
      </c>
    </row>
    <row r="172" spans="1:17" x14ac:dyDescent="0.25">
      <c r="A172" s="1">
        <v>2025</v>
      </c>
      <c r="B172" s="18">
        <v>8036</v>
      </c>
      <c r="C172" s="19" t="s">
        <v>277</v>
      </c>
      <c r="D172" s="19" t="s">
        <v>497</v>
      </c>
      <c r="E172" s="19" t="s">
        <v>328</v>
      </c>
      <c r="F172" s="19">
        <v>516</v>
      </c>
      <c r="G172" s="20">
        <v>2350</v>
      </c>
      <c r="I172" s="20">
        <v>25</v>
      </c>
      <c r="J172" s="4">
        <f t="shared" si="34"/>
        <v>2375</v>
      </c>
      <c r="K172" s="4">
        <f t="shared" si="29"/>
        <v>2940</v>
      </c>
      <c r="L172" s="4">
        <f t="shared" si="30"/>
        <v>3090</v>
      </c>
      <c r="M172" s="4">
        <f t="shared" si="31"/>
        <v>4250</v>
      </c>
      <c r="N172" s="4">
        <f t="shared" si="32"/>
        <v>2845</v>
      </c>
      <c r="O172" s="4">
        <f t="shared" si="33"/>
        <v>3310</v>
      </c>
      <c r="P172" s="4">
        <f>IF((((Price30[Cost]*1.5)+50)/0.835)&lt;2500,
MROUND((((( Price30[Cost]*1.5)+50)/0.835)*1.05)*2,10),
MROUND((((( Price30[Cost]*1.5)+50)/0.835)*1.18)*2,10))</f>
        <v>10100</v>
      </c>
      <c r="Q172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4320</v>
      </c>
    </row>
    <row r="173" spans="1:17" x14ac:dyDescent="0.25">
      <c r="A173" s="1">
        <v>2025</v>
      </c>
      <c r="B173" s="18">
        <v>8037</v>
      </c>
      <c r="C173" s="19" t="s">
        <v>277</v>
      </c>
      <c r="D173" s="19" t="s">
        <v>497</v>
      </c>
      <c r="E173" s="19" t="s">
        <v>328</v>
      </c>
      <c r="F173" s="19">
        <v>570</v>
      </c>
      <c r="G173" s="20">
        <v>1350</v>
      </c>
      <c r="I173" s="20">
        <v>25</v>
      </c>
      <c r="J173" s="4">
        <f t="shared" si="34"/>
        <v>1375</v>
      </c>
      <c r="K173" s="4">
        <f t="shared" si="29"/>
        <v>1705</v>
      </c>
      <c r="L173" s="4">
        <f t="shared" si="30"/>
        <v>1790</v>
      </c>
      <c r="M173" s="4">
        <f t="shared" si="31"/>
        <v>2175</v>
      </c>
      <c r="N173" s="4">
        <f t="shared" si="32"/>
        <v>1650</v>
      </c>
      <c r="O173" s="4">
        <f t="shared" si="33"/>
        <v>1920</v>
      </c>
      <c r="P173" s="4">
        <f>IF((((Price30[Cost]*1.5)+50)/0.835)&lt;2500,
MROUND((((( Price30[Cost]*1.5)+50)/0.835)*1.05)*2,10),
MROUND((((( Price30[Cost]*1.5)+50)/0.835)*1.18)*2,10))</f>
        <v>5220</v>
      </c>
      <c r="Q173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2250</v>
      </c>
    </row>
    <row r="174" spans="1:17" x14ac:dyDescent="0.25">
      <c r="A174" s="1">
        <v>2026</v>
      </c>
      <c r="B174" s="18">
        <v>804</v>
      </c>
      <c r="C174" s="19" t="s">
        <v>277</v>
      </c>
      <c r="D174" s="19" t="s">
        <v>497</v>
      </c>
      <c r="E174" s="19" t="s">
        <v>290</v>
      </c>
      <c r="F174" s="19" t="s">
        <v>978</v>
      </c>
      <c r="G174" s="20">
        <v>2300</v>
      </c>
      <c r="I174" s="20">
        <v>25</v>
      </c>
      <c r="J174" s="4">
        <f t="shared" si="34"/>
        <v>2325</v>
      </c>
      <c r="K174" s="4">
        <f t="shared" si="29"/>
        <v>2875</v>
      </c>
      <c r="L174" s="4">
        <f t="shared" si="30"/>
        <v>3025</v>
      </c>
      <c r="M174" s="4">
        <f t="shared" si="31"/>
        <v>4150</v>
      </c>
      <c r="N174" s="4">
        <f t="shared" si="32"/>
        <v>2785</v>
      </c>
      <c r="O174" s="4">
        <f t="shared" si="33"/>
        <v>3240</v>
      </c>
      <c r="P174" s="4">
        <f>IF((((Price30[Cost]*1.5)+50)/0.835)&lt;2500,
MROUND((((( Price30[Cost]*1.5)+50)/0.835)*1.05)*2,10),
MROUND((((( Price30[Cost]*1.5)+50)/0.835)*1.18)*2,10))</f>
        <v>9890</v>
      </c>
      <c r="Q174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4220</v>
      </c>
    </row>
    <row r="175" spans="1:17" x14ac:dyDescent="0.25">
      <c r="A175" s="1">
        <v>2025</v>
      </c>
      <c r="B175" s="18">
        <v>805</v>
      </c>
      <c r="C175" s="19" t="s">
        <v>277</v>
      </c>
      <c r="D175" s="19" t="s">
        <v>497</v>
      </c>
      <c r="E175" s="19" t="s">
        <v>80</v>
      </c>
      <c r="F175" s="19" t="s">
        <v>68</v>
      </c>
      <c r="G175" s="20">
        <v>1375</v>
      </c>
      <c r="I175" s="20">
        <v>25</v>
      </c>
      <c r="J175" s="4">
        <f t="shared" si="34"/>
        <v>1400</v>
      </c>
      <c r="K175" s="4">
        <f t="shared" si="29"/>
        <v>1730</v>
      </c>
      <c r="L175" s="4">
        <f t="shared" si="30"/>
        <v>1820</v>
      </c>
      <c r="M175" s="4">
        <f t="shared" si="31"/>
        <v>2225</v>
      </c>
      <c r="N175" s="4">
        <f t="shared" si="32"/>
        <v>1675</v>
      </c>
      <c r="O175" s="4">
        <f t="shared" si="33"/>
        <v>1950</v>
      </c>
      <c r="P175" s="4">
        <f>IF((((Price30[Cost]*1.5)+50)/0.835)&lt;2500,
MROUND((((( Price30[Cost]*1.5)+50)/0.835)*1.05)*2,10),
MROUND((((( Price30[Cost]*1.5)+50)/0.835)*1.18)*2,10))</f>
        <v>5970</v>
      </c>
      <c r="Q175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2300</v>
      </c>
    </row>
    <row r="176" spans="1:17" x14ac:dyDescent="0.25">
      <c r="A176" s="1">
        <v>2025</v>
      </c>
      <c r="B176" s="18">
        <v>806</v>
      </c>
      <c r="C176" s="19" t="s">
        <v>277</v>
      </c>
      <c r="D176" s="19" t="s">
        <v>497</v>
      </c>
      <c r="E176" s="19" t="s">
        <v>328</v>
      </c>
      <c r="F176" s="19" t="s">
        <v>329</v>
      </c>
      <c r="G176" s="20">
        <v>3525</v>
      </c>
      <c r="I176" s="20">
        <v>25</v>
      </c>
      <c r="J176" s="4">
        <f t="shared" si="34"/>
        <v>3550</v>
      </c>
      <c r="K176" s="4">
        <f t="shared" si="29"/>
        <v>4385</v>
      </c>
      <c r="L176" s="4">
        <f t="shared" si="30"/>
        <v>4615</v>
      </c>
      <c r="M176" s="4">
        <f t="shared" si="31"/>
        <v>6300</v>
      </c>
      <c r="N176" s="4">
        <f t="shared" si="32"/>
        <v>4250</v>
      </c>
      <c r="O176" s="4">
        <f t="shared" si="33"/>
        <v>4940</v>
      </c>
      <c r="P176" s="4">
        <f>IF((((Price30[Cost]*1.5)+50)/0.835)&lt;2500,
MROUND((((( Price30[Cost]*1.5)+50)/0.835)*1.05)*2,10),
MROUND((((( Price30[Cost]*1.5)+50)/0.835)*1.18)*2,10))</f>
        <v>15090</v>
      </c>
      <c r="Q176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6370</v>
      </c>
    </row>
    <row r="177" spans="1:17" x14ac:dyDescent="0.25">
      <c r="A177" s="1">
        <v>2025</v>
      </c>
      <c r="B177" s="18">
        <v>8061</v>
      </c>
      <c r="C177" s="19" t="s">
        <v>277</v>
      </c>
      <c r="D177" s="19" t="s">
        <v>497</v>
      </c>
      <c r="E177" s="19" t="s">
        <v>328</v>
      </c>
      <c r="F177" s="19" t="s">
        <v>691</v>
      </c>
      <c r="G177" s="20">
        <v>1950</v>
      </c>
      <c r="I177" s="20">
        <v>25</v>
      </c>
      <c r="J177" s="4">
        <f t="shared" si="34"/>
        <v>1975</v>
      </c>
      <c r="K177" s="4">
        <f t="shared" si="29"/>
        <v>2445</v>
      </c>
      <c r="L177" s="4">
        <f t="shared" si="30"/>
        <v>2570</v>
      </c>
      <c r="M177" s="4">
        <f t="shared" si="31"/>
        <v>3500</v>
      </c>
      <c r="N177" s="4">
        <f t="shared" si="32"/>
        <v>2365</v>
      </c>
      <c r="O177" s="4">
        <f t="shared" si="33"/>
        <v>2750</v>
      </c>
      <c r="P177" s="4">
        <f>IF((((Price30[Cost]*1.5)+50)/0.835)&lt;2500,
MROUND((((( Price30[Cost]*1.5)+50)/0.835)*1.05)*2,10),
MROUND((((( Price30[Cost]*1.5)+50)/0.835)*1.18)*2,10))</f>
        <v>8410</v>
      </c>
      <c r="Q177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3570</v>
      </c>
    </row>
    <row r="178" spans="1:17" x14ac:dyDescent="0.25">
      <c r="A178" s="1">
        <v>2025</v>
      </c>
      <c r="B178" s="18">
        <v>8062</v>
      </c>
      <c r="C178" s="19" t="s">
        <v>277</v>
      </c>
      <c r="D178" s="19" t="s">
        <v>497</v>
      </c>
      <c r="E178" s="19" t="s">
        <v>328</v>
      </c>
      <c r="F178" s="19" t="s">
        <v>623</v>
      </c>
      <c r="G178" s="20">
        <v>1325</v>
      </c>
      <c r="I178" s="20">
        <v>25</v>
      </c>
      <c r="J178" s="4">
        <f t="shared" si="34"/>
        <v>1350</v>
      </c>
      <c r="K178" s="4">
        <f t="shared" si="29"/>
        <v>1670</v>
      </c>
      <c r="L178" s="4">
        <f t="shared" si="30"/>
        <v>1755</v>
      </c>
      <c r="M178" s="4">
        <f t="shared" si="31"/>
        <v>2150</v>
      </c>
      <c r="N178" s="4">
        <f t="shared" si="32"/>
        <v>1615</v>
      </c>
      <c r="O178" s="4">
        <f t="shared" si="33"/>
        <v>1880</v>
      </c>
      <c r="P178" s="4">
        <f>IF((((Price30[Cost]*1.5)+50)/0.835)&lt;2500,
MROUND((((( Price30[Cost]*1.5)+50)/0.835)*1.05)*2,10),
MROUND((((( Price30[Cost]*1.5)+50)/0.835)*1.18)*2,10))</f>
        <v>5120</v>
      </c>
      <c r="Q178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2220</v>
      </c>
    </row>
    <row r="179" spans="1:17" x14ac:dyDescent="0.25">
      <c r="A179" s="1">
        <v>2025</v>
      </c>
      <c r="B179" s="18">
        <v>8063</v>
      </c>
      <c r="C179" s="19" t="s">
        <v>277</v>
      </c>
      <c r="D179" s="19" t="s">
        <v>497</v>
      </c>
      <c r="E179" s="19" t="s">
        <v>328</v>
      </c>
      <c r="F179" s="19" t="s">
        <v>624</v>
      </c>
      <c r="G179" s="20">
        <v>1925</v>
      </c>
      <c r="I179" s="20">
        <v>25</v>
      </c>
      <c r="J179" s="4">
        <f t="shared" si="34"/>
        <v>1950</v>
      </c>
      <c r="K179" s="4">
        <f t="shared" si="29"/>
        <v>2410</v>
      </c>
      <c r="L179" s="4">
        <f t="shared" si="30"/>
        <v>2535</v>
      </c>
      <c r="M179" s="4">
        <f t="shared" si="31"/>
        <v>3500</v>
      </c>
      <c r="N179" s="4">
        <f t="shared" si="32"/>
        <v>2335</v>
      </c>
      <c r="O179" s="4">
        <f t="shared" si="33"/>
        <v>2715</v>
      </c>
      <c r="P179" s="4">
        <f>IF((((Price30[Cost]*1.5)+50)/0.835)&lt;2500,
MROUND((((( Price30[Cost]*1.5)+50)/0.835)*1.05)*2,10),
MROUND((((( Price30[Cost]*1.5)+50)/0.835)*1.18)*2,10))</f>
        <v>8300</v>
      </c>
      <c r="Q179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3570</v>
      </c>
    </row>
    <row r="180" spans="1:17" x14ac:dyDescent="0.25">
      <c r="A180" s="1">
        <v>2025</v>
      </c>
      <c r="B180" s="18">
        <v>8064</v>
      </c>
      <c r="C180" s="19" t="s">
        <v>277</v>
      </c>
      <c r="D180" s="19" t="s">
        <v>497</v>
      </c>
      <c r="E180" s="19" t="s">
        <v>328</v>
      </c>
      <c r="F180" s="19" t="s">
        <v>625</v>
      </c>
      <c r="G180" s="20">
        <v>1950</v>
      </c>
      <c r="I180" s="20">
        <v>25</v>
      </c>
      <c r="J180" s="4">
        <f t="shared" si="34"/>
        <v>1975</v>
      </c>
      <c r="K180" s="4">
        <f t="shared" si="29"/>
        <v>2445</v>
      </c>
      <c r="L180" s="4">
        <f t="shared" si="30"/>
        <v>2570</v>
      </c>
      <c r="M180" s="4">
        <f t="shared" si="31"/>
        <v>3500</v>
      </c>
      <c r="N180" s="4">
        <f t="shared" si="32"/>
        <v>2365</v>
      </c>
      <c r="O180" s="4">
        <f t="shared" si="33"/>
        <v>2750</v>
      </c>
      <c r="P180" s="4">
        <f>IF((((Price30[Cost]*1.5)+50)/0.835)&lt;2500,
MROUND((((( Price30[Cost]*1.5)+50)/0.835)*1.05)*2,10),
MROUND((((( Price30[Cost]*1.5)+50)/0.835)*1.18)*2,10))</f>
        <v>8410</v>
      </c>
      <c r="Q180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3570</v>
      </c>
    </row>
    <row r="181" spans="1:17" x14ac:dyDescent="0.25">
      <c r="A181" s="1">
        <v>2025</v>
      </c>
      <c r="B181" s="18">
        <v>8065</v>
      </c>
      <c r="C181" s="19" t="s">
        <v>277</v>
      </c>
      <c r="D181" s="19" t="s">
        <v>497</v>
      </c>
      <c r="E181" s="19" t="s">
        <v>328</v>
      </c>
      <c r="F181" s="19" t="s">
        <v>626</v>
      </c>
      <c r="G181" s="20">
        <v>1075</v>
      </c>
      <c r="I181" s="20">
        <v>25</v>
      </c>
      <c r="J181" s="4">
        <f t="shared" si="34"/>
        <v>1100</v>
      </c>
      <c r="K181" s="4">
        <f t="shared" si="29"/>
        <v>1360</v>
      </c>
      <c r="L181" s="4">
        <f t="shared" si="30"/>
        <v>1430</v>
      </c>
      <c r="M181" s="4">
        <f t="shared" si="31"/>
        <v>1750</v>
      </c>
      <c r="N181" s="4">
        <f t="shared" si="32"/>
        <v>1320</v>
      </c>
      <c r="O181" s="4">
        <f t="shared" si="33"/>
        <v>1535</v>
      </c>
      <c r="P181" s="4">
        <f>IF((((Price30[Cost]*1.5)+50)/0.835)&lt;2500,
MROUND((((( Price30[Cost]*1.5)+50)/0.835)*1.05)*2,10),
MROUND((((( Price30[Cost]*1.5)+50)/0.835)*1.18)*2,10))</f>
        <v>4180</v>
      </c>
      <c r="Q181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1820</v>
      </c>
    </row>
    <row r="182" spans="1:17" x14ac:dyDescent="0.25">
      <c r="A182" s="1">
        <v>2025</v>
      </c>
      <c r="B182" s="18">
        <v>8066</v>
      </c>
      <c r="C182" s="19" t="s">
        <v>277</v>
      </c>
      <c r="D182" s="19" t="s">
        <v>497</v>
      </c>
      <c r="E182" s="19" t="s">
        <v>328</v>
      </c>
      <c r="F182" s="19" t="s">
        <v>627</v>
      </c>
      <c r="G182" s="20">
        <v>1325</v>
      </c>
      <c r="I182" s="20">
        <v>25</v>
      </c>
      <c r="J182" s="4">
        <f t="shared" si="34"/>
        <v>1350</v>
      </c>
      <c r="K182" s="4">
        <f t="shared" si="29"/>
        <v>1670</v>
      </c>
      <c r="L182" s="4">
        <f t="shared" si="30"/>
        <v>1755</v>
      </c>
      <c r="M182" s="4">
        <f t="shared" si="31"/>
        <v>2150</v>
      </c>
      <c r="N182" s="4">
        <f t="shared" si="32"/>
        <v>1615</v>
      </c>
      <c r="O182" s="4">
        <f t="shared" si="33"/>
        <v>1880</v>
      </c>
      <c r="P182" s="4">
        <f>IF((((Price30[Cost]*1.5)+50)/0.835)&lt;2500,
MROUND((((( Price30[Cost]*1.5)+50)/0.835)*1.05)*2,10),
MROUND((((( Price30[Cost]*1.5)+50)/0.835)*1.18)*2,10))</f>
        <v>5120</v>
      </c>
      <c r="Q182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2220</v>
      </c>
    </row>
    <row r="183" spans="1:17" x14ac:dyDescent="0.25">
      <c r="A183" s="1">
        <v>2025</v>
      </c>
      <c r="B183" s="18">
        <v>8067</v>
      </c>
      <c r="C183" s="19" t="s">
        <v>277</v>
      </c>
      <c r="D183" s="19" t="s">
        <v>497</v>
      </c>
      <c r="E183" s="19" t="s">
        <v>328</v>
      </c>
      <c r="F183" s="19" t="s">
        <v>628</v>
      </c>
      <c r="G183" s="20">
        <v>1425</v>
      </c>
      <c r="I183" s="20">
        <v>25</v>
      </c>
      <c r="J183" s="4">
        <f t="shared" si="34"/>
        <v>1450</v>
      </c>
      <c r="K183" s="4">
        <f t="shared" si="29"/>
        <v>1795</v>
      </c>
      <c r="L183" s="4">
        <f t="shared" si="30"/>
        <v>1885</v>
      </c>
      <c r="M183" s="4">
        <f t="shared" si="31"/>
        <v>2300</v>
      </c>
      <c r="N183" s="4">
        <f t="shared" si="32"/>
        <v>1735</v>
      </c>
      <c r="O183" s="4">
        <f t="shared" si="33"/>
        <v>2020</v>
      </c>
      <c r="P183" s="4">
        <f>IF((((Price30[Cost]*1.5)+50)/0.835)&lt;2500,
MROUND((((( Price30[Cost]*1.5)+50)/0.835)*1.05)*2,10),
MROUND((((( Price30[Cost]*1.5)+50)/0.835)*1.18)*2,10))</f>
        <v>6180</v>
      </c>
      <c r="Q183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2370</v>
      </c>
    </row>
    <row r="184" spans="1:17" x14ac:dyDescent="0.25">
      <c r="A184" s="1">
        <v>2025</v>
      </c>
      <c r="B184" s="18">
        <v>8068</v>
      </c>
      <c r="C184" s="19" t="s">
        <v>277</v>
      </c>
      <c r="D184" s="19" t="s">
        <v>497</v>
      </c>
      <c r="E184" s="19" t="s">
        <v>328</v>
      </c>
      <c r="F184" s="19" t="s">
        <v>629</v>
      </c>
      <c r="G184" s="20">
        <v>2200</v>
      </c>
      <c r="I184" s="20">
        <v>25</v>
      </c>
      <c r="J184" s="4">
        <f t="shared" si="34"/>
        <v>2225</v>
      </c>
      <c r="K184" s="4">
        <f t="shared" si="29"/>
        <v>2755</v>
      </c>
      <c r="L184" s="4">
        <f t="shared" si="30"/>
        <v>2895</v>
      </c>
      <c r="M184" s="4">
        <f t="shared" si="31"/>
        <v>3950</v>
      </c>
      <c r="N184" s="4">
        <f t="shared" si="32"/>
        <v>2665</v>
      </c>
      <c r="O184" s="4">
        <f t="shared" si="33"/>
        <v>3100</v>
      </c>
      <c r="P184" s="4">
        <f>IF((((Price30[Cost]*1.5)+50)/0.835)&lt;2500,
MROUND((((( Price30[Cost]*1.5)+50)/0.835)*1.05)*2,10),
MROUND((((( Price30[Cost]*1.5)+50)/0.835)*1.18)*2,10))</f>
        <v>9470</v>
      </c>
      <c r="Q184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4020</v>
      </c>
    </row>
    <row r="185" spans="1:17" x14ac:dyDescent="0.25">
      <c r="A185" s="1">
        <v>2025</v>
      </c>
      <c r="B185" s="18">
        <v>8069</v>
      </c>
      <c r="C185" s="19" t="s">
        <v>277</v>
      </c>
      <c r="D185" s="19" t="s">
        <v>497</v>
      </c>
      <c r="E185" s="19" t="s">
        <v>328</v>
      </c>
      <c r="F185" s="19" t="s">
        <v>692</v>
      </c>
      <c r="G185" s="20">
        <v>2000</v>
      </c>
      <c r="I185" s="20">
        <v>25</v>
      </c>
      <c r="J185" s="4">
        <f t="shared" si="34"/>
        <v>2025</v>
      </c>
      <c r="K185" s="4">
        <f t="shared" si="29"/>
        <v>2505</v>
      </c>
      <c r="L185" s="4">
        <f t="shared" si="30"/>
        <v>2635</v>
      </c>
      <c r="M185" s="4">
        <f t="shared" si="31"/>
        <v>3600</v>
      </c>
      <c r="N185" s="4">
        <f t="shared" si="32"/>
        <v>2425</v>
      </c>
      <c r="O185" s="4">
        <f t="shared" si="33"/>
        <v>2820</v>
      </c>
      <c r="P185" s="4">
        <f>IF((((Price30[Cost]*1.5)+50)/0.835)&lt;2500,
MROUND((((( Price30[Cost]*1.5)+50)/0.835)*1.05)*2,10),
MROUND((((( Price30[Cost]*1.5)+50)/0.835)*1.18)*2,10))</f>
        <v>8620</v>
      </c>
      <c r="Q185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3670</v>
      </c>
    </row>
    <row r="186" spans="1:17" x14ac:dyDescent="0.25">
      <c r="A186" s="1">
        <v>2026</v>
      </c>
      <c r="B186" s="18">
        <v>807</v>
      </c>
      <c r="C186" s="19" t="s">
        <v>277</v>
      </c>
      <c r="D186" s="19" t="s">
        <v>497</v>
      </c>
      <c r="E186" s="19" t="s">
        <v>290</v>
      </c>
      <c r="F186" s="19" t="s">
        <v>974</v>
      </c>
      <c r="G186" s="20">
        <v>1040</v>
      </c>
      <c r="I186" s="20">
        <v>25</v>
      </c>
      <c r="J186" s="4">
        <f t="shared" si="34"/>
        <v>1065</v>
      </c>
      <c r="K186" s="4">
        <f t="shared" si="29"/>
        <v>1320</v>
      </c>
      <c r="L186" s="4">
        <f t="shared" si="30"/>
        <v>1385</v>
      </c>
      <c r="M186" s="4">
        <f t="shared" si="31"/>
        <v>1700</v>
      </c>
      <c r="N186" s="4">
        <f t="shared" si="32"/>
        <v>1275</v>
      </c>
      <c r="O186" s="4">
        <f t="shared" si="33"/>
        <v>1485</v>
      </c>
      <c r="P186" s="4">
        <f>IF((((Price30[Cost]*1.5)+50)/0.835)&lt;2500,
MROUND((((( Price30[Cost]*1.5)+50)/0.835)*1.05)*2,10),
MROUND((((( Price30[Cost]*1.5)+50)/0.835)*1.18)*2,10))</f>
        <v>4050</v>
      </c>
      <c r="Q186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1770</v>
      </c>
    </row>
    <row r="187" spans="1:17" x14ac:dyDescent="0.25">
      <c r="A187" s="1"/>
      <c r="B187" s="18">
        <v>808</v>
      </c>
      <c r="C187" s="19" t="s">
        <v>277</v>
      </c>
      <c r="D187" s="19" t="s">
        <v>497</v>
      </c>
      <c r="E187" s="19" t="s">
        <v>345</v>
      </c>
      <c r="F187" s="19" t="s">
        <v>347</v>
      </c>
      <c r="G187" s="20">
        <v>1250</v>
      </c>
      <c r="I187" s="20">
        <v>25</v>
      </c>
      <c r="J187" s="4">
        <f t="shared" si="34"/>
        <v>1275</v>
      </c>
      <c r="K187" s="4">
        <f t="shared" si="29"/>
        <v>1580</v>
      </c>
      <c r="L187" s="4">
        <f t="shared" si="30"/>
        <v>1660</v>
      </c>
      <c r="M187" s="4">
        <f t="shared" si="31"/>
        <v>2025</v>
      </c>
      <c r="N187" s="4">
        <f t="shared" si="32"/>
        <v>1530</v>
      </c>
      <c r="O187" s="4">
        <f t="shared" si="33"/>
        <v>1780</v>
      </c>
      <c r="P187" s="4">
        <f>IF((((Price30[Cost]*1.5)+50)/0.835)&lt;2500,
MROUND((((( Price30[Cost]*1.5)+50)/0.835)*1.05)*2,10),
MROUND((((( Price30[Cost]*1.5)+50)/0.835)*1.18)*2,10))</f>
        <v>4840</v>
      </c>
      <c r="Q187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2100</v>
      </c>
    </row>
    <row r="188" spans="1:17" x14ac:dyDescent="0.25">
      <c r="A188" s="1">
        <v>2026</v>
      </c>
      <c r="B188" s="18">
        <v>8081</v>
      </c>
      <c r="C188" s="19" t="s">
        <v>277</v>
      </c>
      <c r="D188" s="19" t="s">
        <v>497</v>
      </c>
      <c r="E188" s="19" t="s">
        <v>345</v>
      </c>
      <c r="F188" s="19" t="s">
        <v>998</v>
      </c>
      <c r="G188" s="20">
        <v>575</v>
      </c>
      <c r="I188" s="20">
        <v>25</v>
      </c>
      <c r="J188" s="4">
        <f>IF(SUMIF(G188:I188,"&lt;&gt;")=0,"",SUM(G188:I188))</f>
        <v>600</v>
      </c>
      <c r="K188" s="4">
        <f>IF(ISNUMBER(L188),
   IF(CEILING(ROUND(L188*0.95,2),5)=420,
      425,
      CEILING(ROUND(L188*0.95,2),5)
   ),
   ""
)</f>
        <v>745</v>
      </c>
      <c r="L188" s="4">
        <f>IF(AND(ISNUMBER(J188),ISNUMBER(G188)),
   IF(CEILING(ROUND(J188*1.3,2),5)=420,
      425,
      CEILING(ROUND(J188*1.3,2),5)
   ),
   ""
)</f>
        <v>780</v>
      </c>
      <c r="M188" s="4">
        <f>IF(AND(ISNUMBER(J188),ISNUMBER(G188)),
   IF(
      CEILING(
         ROUND((J188*1.5) * IF(J188*1.5 &lt;= 2500, 1.05, 1.18), 2),
         IF(ROUND((J188*1.5) * IF(J188*1.5 &lt;= 2500, 1.05, 1.18), 2) &lt; 2500, 25, 50)
      )=420,
      425,
      CEILING(
         ROUND((J188*1.5) * IF(J188*1.5 &lt;= 2500, 1.05, 1.18), 2),
         IF(ROUND((J188*1.5) * IF(J188*1.5 &lt;= 2500, 1.05, 1.18), 2) &lt; 2500, 25, 50)
      )
   ),
   ""
)</f>
        <v>950</v>
      </c>
      <c r="N188" s="4">
        <f>IF(ISNUMBER(G188),
   IF(CEILING(ROUND(L188*0.92,2),5)=420,
      425,
      CEILING(ROUND(L188*0.92,2),5)
   ),
   ""
)</f>
        <v>720</v>
      </c>
      <c r="O188" s="4">
        <f>IF(ISNUMBER(L188),
   IF(CEILING(ROUND(L188*1.07,2),5)=420,
      425,
      CEILING(ROUND(L188*1.07,2),5)
   ),
   ""
)</f>
        <v>835</v>
      </c>
      <c r="P188" s="4">
        <f>IF((((Price30[Cost]*1.5)+50)/0.835)&lt;2500,
MROUND((((( Price30[Cost]*1.5)+50)/0.835)*1.05)*2,10),
MROUND((((( Price30[Cost]*1.5)+50)/0.835)*1.18)*2,10))</f>
        <v>2290</v>
      </c>
      <c r="Q188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1020</v>
      </c>
    </row>
    <row r="189" spans="1:17" x14ac:dyDescent="0.25">
      <c r="A189" s="1">
        <v>2026</v>
      </c>
      <c r="B189" s="18">
        <v>809</v>
      </c>
      <c r="C189" s="19" t="s">
        <v>277</v>
      </c>
      <c r="D189" s="19" t="s">
        <v>497</v>
      </c>
      <c r="E189" s="19" t="s">
        <v>290</v>
      </c>
      <c r="F189" s="19" t="s">
        <v>979</v>
      </c>
      <c r="G189" s="20">
        <v>2000</v>
      </c>
      <c r="I189" s="20">
        <v>25</v>
      </c>
      <c r="J189" s="4">
        <f t="shared" si="34"/>
        <v>2025</v>
      </c>
      <c r="K189" s="4">
        <f t="shared" si="29"/>
        <v>2505</v>
      </c>
      <c r="L189" s="4">
        <f t="shared" si="30"/>
        <v>2635</v>
      </c>
      <c r="M189" s="4">
        <f t="shared" si="31"/>
        <v>3600</v>
      </c>
      <c r="N189" s="4">
        <f t="shared" si="32"/>
        <v>2425</v>
      </c>
      <c r="O189" s="4">
        <f t="shared" si="33"/>
        <v>2820</v>
      </c>
      <c r="P189" s="4">
        <f>IF((((Price30[Cost]*1.5)+50)/0.835)&lt;2500,
MROUND((((( Price30[Cost]*1.5)+50)/0.835)*1.05)*2,10),
MROUND((((( Price30[Cost]*1.5)+50)/0.835)*1.18)*2,10))</f>
        <v>8620</v>
      </c>
      <c r="Q189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3670</v>
      </c>
    </row>
    <row r="190" spans="1:17" x14ac:dyDescent="0.25">
      <c r="A190" s="1"/>
      <c r="B190" s="18">
        <v>810</v>
      </c>
      <c r="C190" s="19" t="s">
        <v>277</v>
      </c>
      <c r="D190" s="19" t="s">
        <v>497</v>
      </c>
      <c r="E190" s="19"/>
      <c r="F190" s="19" t="s">
        <v>70</v>
      </c>
      <c r="G190" s="20">
        <v>2100</v>
      </c>
      <c r="I190" s="20">
        <v>25</v>
      </c>
      <c r="J190" s="4">
        <f t="shared" si="34"/>
        <v>2125</v>
      </c>
      <c r="K190" s="4">
        <f t="shared" si="29"/>
        <v>2630</v>
      </c>
      <c r="L190" s="4">
        <f t="shared" si="30"/>
        <v>2765</v>
      </c>
      <c r="M190" s="4">
        <f t="shared" si="31"/>
        <v>3800</v>
      </c>
      <c r="N190" s="4">
        <f t="shared" si="32"/>
        <v>2545</v>
      </c>
      <c r="O190" s="4">
        <f t="shared" si="33"/>
        <v>2960</v>
      </c>
      <c r="P190" s="4">
        <f>IF((((Price30[Cost]*1.5)+50)/0.835)&lt;2500,
MROUND((((( Price30[Cost]*1.5)+50)/0.835)*1.05)*2,10),
MROUND((((( Price30[Cost]*1.5)+50)/0.835)*1.18)*2,10))</f>
        <v>9040</v>
      </c>
      <c r="Q190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3870</v>
      </c>
    </row>
    <row r="191" spans="1:17" x14ac:dyDescent="0.25">
      <c r="A191" s="1">
        <v>2026</v>
      </c>
      <c r="B191" s="18">
        <v>811</v>
      </c>
      <c r="C191" s="19" t="s">
        <v>277</v>
      </c>
      <c r="D191" s="19" t="s">
        <v>497</v>
      </c>
      <c r="E191" s="19" t="s">
        <v>136</v>
      </c>
      <c r="F191" s="19" t="s">
        <v>936</v>
      </c>
      <c r="G191" s="20">
        <v>1200</v>
      </c>
      <c r="I191" s="20">
        <v>25</v>
      </c>
      <c r="J191" s="4">
        <f>IF(SUMIF(G191:I191,"&lt;&gt;")=0,"",SUM(G191:I191))</f>
        <v>1225</v>
      </c>
      <c r="K191" s="4">
        <f>IF(ISNUMBER(L191),
   IF(CEILING(ROUND(L191*0.95,2),5)=420,
      425,
      CEILING(ROUND(L191*0.95,2),5)
   ),
   ""
)</f>
        <v>1520</v>
      </c>
      <c r="L191" s="4">
        <f>IF(AND(ISNUMBER(J191),ISNUMBER(G191)),
   IF(CEILING(ROUND(J191*1.3,2),5)=420,
      425,
      CEILING(ROUND(J191*1.3,2),5)
   ),
   ""
)</f>
        <v>1595</v>
      </c>
      <c r="M191" s="4">
        <f>IF(AND(ISNUMBER(J191),ISNUMBER(G191)),
   IF(
      CEILING(
         ROUND((J191*1.5) * IF(J191*1.5 &lt;= 2500, 1.05, 1.18), 2),
         IF(ROUND((J191*1.5) * IF(J191*1.5 &lt;= 2500, 1.05, 1.18), 2) &lt; 2500, 25, 50)
      )=420,
      425,
      CEILING(
         ROUND((J191*1.5) * IF(J191*1.5 &lt;= 2500, 1.05, 1.18), 2),
         IF(ROUND((J191*1.5) * IF(J191*1.5 &lt;= 2500, 1.05, 1.18), 2) &lt; 2500, 25, 50)
      )
   ),
   ""
)</f>
        <v>1950</v>
      </c>
      <c r="N191" s="4">
        <f>IF(ISNUMBER(G191),
   IF(CEILING(ROUND(L191*0.92,2),5)=420,
      425,
      CEILING(ROUND(L191*0.92,2),5)
   ),
   ""
)</f>
        <v>1470</v>
      </c>
      <c r="O191" s="4">
        <f>IF(ISNUMBER(L191),
   IF(CEILING(ROUND(L191*1.07,2),5)=420,
      425,
      CEILING(ROUND(L191*1.07,2),5)
   ),
   ""
)</f>
        <v>1710</v>
      </c>
      <c r="P191" s="4">
        <f>IF((((Price30[Cost]*1.5)+50)/0.835)&lt;2500,
MROUND((((( Price30[Cost]*1.5)+50)/0.835)*1.05)*2,10),
MROUND((((( Price30[Cost]*1.5)+50)/0.835)*1.18)*2,10))</f>
        <v>4650</v>
      </c>
      <c r="Q191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2020</v>
      </c>
    </row>
    <row r="192" spans="1:17" x14ac:dyDescent="0.25">
      <c r="A192" s="1">
        <v>2026</v>
      </c>
      <c r="B192" s="18">
        <v>812</v>
      </c>
      <c r="C192" s="19" t="s">
        <v>277</v>
      </c>
      <c r="D192" s="19" t="s">
        <v>497</v>
      </c>
      <c r="E192" s="19"/>
      <c r="F192" s="19" t="s">
        <v>73</v>
      </c>
      <c r="G192" s="20">
        <v>810</v>
      </c>
      <c r="I192" s="20">
        <v>25</v>
      </c>
      <c r="J192" s="4">
        <f t="shared" ref="J192:J268" si="41">IF(SUMIF(G192:I192,"&lt;&gt;")=0,"",SUM(G192:I192))</f>
        <v>835</v>
      </c>
      <c r="K192" s="4">
        <f t="shared" si="29"/>
        <v>1040</v>
      </c>
      <c r="L192" s="4">
        <f t="shared" si="30"/>
        <v>1090</v>
      </c>
      <c r="M192" s="4">
        <f t="shared" si="31"/>
        <v>1325</v>
      </c>
      <c r="N192" s="4">
        <f t="shared" si="32"/>
        <v>1005</v>
      </c>
      <c r="O192" s="4">
        <f t="shared" si="33"/>
        <v>1170</v>
      </c>
      <c r="P192" s="4">
        <f>IF((((Price30[Cost]*1.5)+50)/0.835)&lt;2500,
MROUND((((( Price30[Cost]*1.5)+50)/0.835)*1.05)*2,10),
MROUND((((( Price30[Cost]*1.5)+50)/0.835)*1.18)*2,10))</f>
        <v>3180</v>
      </c>
      <c r="Q192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1400</v>
      </c>
    </row>
    <row r="193" spans="1:17" x14ac:dyDescent="0.25">
      <c r="A193" s="1">
        <v>2026</v>
      </c>
      <c r="B193" s="18">
        <v>8121</v>
      </c>
      <c r="C193" s="19" t="s">
        <v>277</v>
      </c>
      <c r="D193" s="19" t="s">
        <v>497</v>
      </c>
      <c r="E193" s="19" t="s">
        <v>174</v>
      </c>
      <c r="F193" s="19" t="s">
        <v>74</v>
      </c>
      <c r="G193" s="20">
        <v>940</v>
      </c>
      <c r="I193" s="20">
        <v>25</v>
      </c>
      <c r="J193" s="4">
        <f t="shared" si="41"/>
        <v>965</v>
      </c>
      <c r="K193" s="4">
        <f t="shared" ref="K193:K266" si="42">IF(ISNUMBER(L193),
   IF(CEILING(ROUND(L193*0.95,2),5)=420,
      425,
      CEILING(ROUND(L193*0.95,2),5)
   ),
   ""
)</f>
        <v>1195</v>
      </c>
      <c r="L193" s="4">
        <f t="shared" ref="L193:L266" si="43">IF(AND(ISNUMBER(J193),ISNUMBER(G193)),
   IF(CEILING(ROUND(J193*1.3,2),5)=420,
      425,
      CEILING(ROUND(J193*1.3,2),5)
   ),
   ""
)</f>
        <v>1255</v>
      </c>
      <c r="M193" s="4">
        <f t="shared" ref="M193:M266" si="44">IF(AND(ISNUMBER(J193),ISNUMBER(G193)),
   IF(
      CEILING(
         ROUND((J193*1.5) * IF(J193*1.5 &lt;= 2500, 1.05, 1.18), 2),
         IF(ROUND((J193*1.5) * IF(J193*1.5 &lt;= 2500, 1.05, 1.18), 2) &lt; 2500, 25, 50)
      )=420,
      425,
      CEILING(
         ROUND((J193*1.5) * IF(J193*1.5 &lt;= 2500, 1.05, 1.18), 2),
         IF(ROUND((J193*1.5) * IF(J193*1.5 &lt;= 2500, 1.05, 1.18), 2) &lt; 2500, 25, 50)
      )
   ),
   ""
)</f>
        <v>1525</v>
      </c>
      <c r="N193" s="4">
        <f t="shared" ref="N193:N266" si="45">IF(ISNUMBER(G193),
   IF(CEILING(ROUND(L193*0.92,2),5)=420,
      425,
      CEILING(ROUND(L193*0.92,2),5)
   ),
   ""
)</f>
        <v>1155</v>
      </c>
      <c r="O193" s="4">
        <f t="shared" ref="O193:O266" si="46">IF(ISNUMBER(L193),
   IF(CEILING(ROUND(L193*1.07,2),5)=420,
      425,
      CEILING(ROUND(L193*1.07,2),5)
   ),
   ""
)</f>
        <v>1345</v>
      </c>
      <c r="P193" s="4">
        <f>IF((((Price30[Cost]*1.5)+50)/0.835)&lt;2500,
MROUND((((( Price30[Cost]*1.5)+50)/0.835)*1.05)*2,10),
MROUND((((( Price30[Cost]*1.5)+50)/0.835)*1.18)*2,10))</f>
        <v>3670</v>
      </c>
      <c r="Q193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1600</v>
      </c>
    </row>
    <row r="194" spans="1:17" x14ac:dyDescent="0.25">
      <c r="A194" s="1">
        <v>2026</v>
      </c>
      <c r="B194" s="18">
        <v>8122</v>
      </c>
      <c r="C194" s="19" t="s">
        <v>277</v>
      </c>
      <c r="D194" s="19" t="s">
        <v>497</v>
      </c>
      <c r="E194" s="19" t="s">
        <v>174</v>
      </c>
      <c r="F194" s="19" t="s">
        <v>808</v>
      </c>
      <c r="G194" s="20">
        <v>1350</v>
      </c>
      <c r="I194" s="20">
        <v>25</v>
      </c>
      <c r="J194" s="4">
        <f t="shared" ref="J194:J195" si="47">IF(SUMIF(G194:I194,"&lt;&gt;")=0,"",SUM(G194:I194))</f>
        <v>1375</v>
      </c>
      <c r="K194" s="4">
        <f t="shared" si="42"/>
        <v>1705</v>
      </c>
      <c r="L194" s="4">
        <f t="shared" si="43"/>
        <v>1790</v>
      </c>
      <c r="M194" s="4">
        <f t="shared" si="44"/>
        <v>2175</v>
      </c>
      <c r="N194" s="4">
        <f t="shared" si="45"/>
        <v>1650</v>
      </c>
      <c r="O194" s="4">
        <f t="shared" si="46"/>
        <v>1920</v>
      </c>
      <c r="P194" s="4">
        <f>IF((((Price30[Cost]*1.5)+50)/0.835)&lt;2500,
MROUND((((( Price30[Cost]*1.5)+50)/0.835)*1.05)*2,10),
MROUND((((( Price30[Cost]*1.5)+50)/0.835)*1.18)*2,10))</f>
        <v>5220</v>
      </c>
      <c r="Q194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2250</v>
      </c>
    </row>
    <row r="195" spans="1:17" x14ac:dyDescent="0.25">
      <c r="A195" s="1"/>
      <c r="B195" s="18">
        <v>8123</v>
      </c>
      <c r="C195" s="19" t="s">
        <v>277</v>
      </c>
      <c r="D195" s="19" t="s">
        <v>497</v>
      </c>
      <c r="E195" s="19" t="s">
        <v>174</v>
      </c>
      <c r="F195" s="19" t="s">
        <v>771</v>
      </c>
      <c r="G195" s="20">
        <v>625</v>
      </c>
      <c r="I195" s="20">
        <v>25</v>
      </c>
      <c r="J195" s="4">
        <f t="shared" si="47"/>
        <v>650</v>
      </c>
      <c r="K195" s="4">
        <f t="shared" si="42"/>
        <v>805</v>
      </c>
      <c r="L195" s="4">
        <f t="shared" si="43"/>
        <v>845</v>
      </c>
      <c r="M195" s="4">
        <f t="shared" si="44"/>
        <v>1025</v>
      </c>
      <c r="N195" s="4">
        <f t="shared" si="45"/>
        <v>780</v>
      </c>
      <c r="O195" s="4">
        <f t="shared" si="46"/>
        <v>905</v>
      </c>
      <c r="P195" s="4">
        <f>IF((((Price30[Cost]*1.5)+50)/0.835)&lt;2500,
MROUND((((( Price30[Cost]*1.5)+50)/0.835)*1.05)*2,10),
MROUND((((( Price30[Cost]*1.5)+50)/0.835)*1.18)*2,10))</f>
        <v>2480</v>
      </c>
      <c r="Q195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1100</v>
      </c>
    </row>
    <row r="196" spans="1:17" x14ac:dyDescent="0.25">
      <c r="A196" s="1">
        <v>2026</v>
      </c>
      <c r="B196" s="18">
        <v>813</v>
      </c>
      <c r="C196" s="19" t="s">
        <v>277</v>
      </c>
      <c r="D196" s="19" t="s">
        <v>497</v>
      </c>
      <c r="E196" s="19" t="s">
        <v>290</v>
      </c>
      <c r="F196" s="19" t="s">
        <v>982</v>
      </c>
      <c r="G196" s="20">
        <v>2875</v>
      </c>
      <c r="I196" s="20">
        <v>25</v>
      </c>
      <c r="J196" s="4">
        <f>IF(SUMIF(G196:I196,"&lt;&gt;")=0,"",SUM(G196:I196))</f>
        <v>2900</v>
      </c>
      <c r="K196" s="4">
        <f>IF(ISNUMBER(L196),
   IF(CEILING(ROUND(L196*0.95,2),5)=420,
      425,
      CEILING(ROUND(L196*0.95,2),5)
   ),
   ""
)</f>
        <v>3585</v>
      </c>
      <c r="L196" s="4">
        <f>IF(AND(ISNUMBER(J196),ISNUMBER(G196)),
   IF(CEILING(ROUND(J196*1.3,2),5)=420,
      425,
      CEILING(ROUND(J196*1.3,2),5)
   ),
   ""
)</f>
        <v>3770</v>
      </c>
      <c r="M196" s="4">
        <f>IF(AND(ISNUMBER(J196),ISNUMBER(G196)),
   IF(
      CEILING(
         ROUND((J196*1.5) * IF(J196*1.5 &lt;= 2500, 1.05, 1.18), 2),
         IF(ROUND((J196*1.5) * IF(J196*1.5 &lt;= 2500, 1.05, 1.18), 2) &lt; 2500, 25, 50)
      )=420,
      425,
      CEILING(
         ROUND((J196*1.5) * IF(J196*1.5 &lt;= 2500, 1.05, 1.18), 2),
         IF(ROUND((J196*1.5) * IF(J196*1.5 &lt;= 2500, 1.05, 1.18), 2) &lt; 2500, 25, 50)
      )
   ),
   ""
)</f>
        <v>5150</v>
      </c>
      <c r="N196" s="4">
        <f>IF(ISNUMBER(G196),
   IF(CEILING(ROUND(L196*0.92,2),5)=420,
      425,
      CEILING(ROUND(L196*0.92,2),5)
   ),
   ""
)</f>
        <v>3470</v>
      </c>
      <c r="O196" s="4">
        <f>IF(ISNUMBER(L196),
   IF(CEILING(ROUND(L196*1.07,2),5)=420,
      425,
      CEILING(ROUND(L196*1.07,2),5)
   ),
   ""
)</f>
        <v>4035</v>
      </c>
      <c r="P196" s="4">
        <f>IF((((Price30[Cost]*1.5)+50)/0.835)&lt;2500,
MROUND((((( Price30[Cost]*1.5)+50)/0.835)*1.05)*2,10),
MROUND((((( Price30[Cost]*1.5)+50)/0.835)*1.18)*2,10))</f>
        <v>12330</v>
      </c>
      <c r="Q196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5220</v>
      </c>
    </row>
    <row r="197" spans="1:17" x14ac:dyDescent="0.25">
      <c r="A197" s="1">
        <v>2026</v>
      </c>
      <c r="B197" s="18">
        <v>814</v>
      </c>
      <c r="C197" s="19" t="s">
        <v>277</v>
      </c>
      <c r="D197" s="19" t="s">
        <v>497</v>
      </c>
      <c r="E197" s="19" t="s">
        <v>290</v>
      </c>
      <c r="F197" s="19" t="s">
        <v>980</v>
      </c>
      <c r="G197" s="20">
        <v>1275</v>
      </c>
      <c r="I197" s="20">
        <v>25</v>
      </c>
      <c r="J197" s="4">
        <f t="shared" si="41"/>
        <v>1300</v>
      </c>
      <c r="K197" s="4">
        <f t="shared" si="42"/>
        <v>1610</v>
      </c>
      <c r="L197" s="4">
        <f t="shared" si="43"/>
        <v>1690</v>
      </c>
      <c r="M197" s="4">
        <f t="shared" si="44"/>
        <v>2050</v>
      </c>
      <c r="N197" s="4">
        <f t="shared" si="45"/>
        <v>1555</v>
      </c>
      <c r="O197" s="4">
        <f t="shared" si="46"/>
        <v>1810</v>
      </c>
      <c r="P197" s="4">
        <f>IF((((Price30[Cost]*1.5)+50)/0.835)&lt;2500,
MROUND((((( Price30[Cost]*1.5)+50)/0.835)*1.05)*2,10),
MROUND((((( Price30[Cost]*1.5)+50)/0.835)*1.18)*2,10))</f>
        <v>4940</v>
      </c>
      <c r="Q197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2120</v>
      </c>
    </row>
    <row r="198" spans="1:17" x14ac:dyDescent="0.25">
      <c r="A198" s="1">
        <v>2026</v>
      </c>
      <c r="B198" s="18">
        <v>815</v>
      </c>
      <c r="C198" s="19" t="s">
        <v>277</v>
      </c>
      <c r="D198" s="19" t="s">
        <v>497</v>
      </c>
      <c r="E198" s="19" t="s">
        <v>174</v>
      </c>
      <c r="F198" s="19" t="s">
        <v>177</v>
      </c>
      <c r="G198" s="20">
        <v>1150</v>
      </c>
      <c r="I198" s="20">
        <v>25</v>
      </c>
      <c r="J198" s="4">
        <f t="shared" si="41"/>
        <v>1175</v>
      </c>
      <c r="K198" s="4">
        <f t="shared" si="42"/>
        <v>1455</v>
      </c>
      <c r="L198" s="4">
        <f t="shared" si="43"/>
        <v>1530</v>
      </c>
      <c r="M198" s="4">
        <f t="shared" si="44"/>
        <v>1875</v>
      </c>
      <c r="N198" s="4">
        <f t="shared" si="45"/>
        <v>1410</v>
      </c>
      <c r="O198" s="4">
        <f t="shared" si="46"/>
        <v>1640</v>
      </c>
      <c r="P198" s="4">
        <f>IF((((Price30[Cost]*1.5)+50)/0.835)&lt;2500,
MROUND((((( Price30[Cost]*1.5)+50)/0.835)*1.05)*2,10),
MROUND((((( Price30[Cost]*1.5)+50)/0.835)*1.18)*2,10))</f>
        <v>4460</v>
      </c>
      <c r="Q198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1950</v>
      </c>
    </row>
    <row r="199" spans="1:17" ht="16.5" customHeight="1" x14ac:dyDescent="0.25">
      <c r="A199" s="1">
        <v>2025</v>
      </c>
      <c r="B199" s="18">
        <v>816</v>
      </c>
      <c r="C199" s="19" t="s">
        <v>284</v>
      </c>
      <c r="D199" s="19" t="s">
        <v>497</v>
      </c>
      <c r="E199" s="19" t="s">
        <v>527</v>
      </c>
      <c r="F199" s="19" t="s">
        <v>528</v>
      </c>
      <c r="G199" s="20">
        <v>850</v>
      </c>
      <c r="I199" s="20">
        <v>25</v>
      </c>
      <c r="J199" s="4">
        <f t="shared" si="41"/>
        <v>875</v>
      </c>
      <c r="K199" s="4">
        <f t="shared" si="42"/>
        <v>1085</v>
      </c>
      <c r="L199" s="4">
        <f t="shared" si="43"/>
        <v>1140</v>
      </c>
      <c r="M199" s="4">
        <f t="shared" si="44"/>
        <v>1400</v>
      </c>
      <c r="N199" s="4">
        <f t="shared" si="45"/>
        <v>1050</v>
      </c>
      <c r="O199" s="4">
        <f t="shared" si="46"/>
        <v>1220</v>
      </c>
      <c r="P199" s="4">
        <f>IF((((Price30[Cost]*1.5)+50)/0.835)&lt;2500,
MROUND((((( Price30[Cost]*1.5)+50)/0.835)*1.05)*2,10),
MROUND((((( Price30[Cost]*1.5)+50)/0.835)*1.18)*2,10))</f>
        <v>3330</v>
      </c>
      <c r="Q199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1470</v>
      </c>
    </row>
    <row r="200" spans="1:17" x14ac:dyDescent="0.25">
      <c r="A200" s="1"/>
      <c r="B200" s="18">
        <v>817</v>
      </c>
      <c r="C200" s="19" t="s">
        <v>277</v>
      </c>
      <c r="D200" s="19" t="s">
        <v>497</v>
      </c>
      <c r="E200" s="19" t="s">
        <v>345</v>
      </c>
      <c r="F200" s="19" t="s">
        <v>346</v>
      </c>
      <c r="G200" s="20">
        <v>1650</v>
      </c>
      <c r="I200" s="20">
        <v>25</v>
      </c>
      <c r="J200" s="4">
        <f t="shared" si="41"/>
        <v>1675</v>
      </c>
      <c r="K200" s="4">
        <f t="shared" si="42"/>
        <v>2075</v>
      </c>
      <c r="L200" s="4">
        <f t="shared" si="43"/>
        <v>2180</v>
      </c>
      <c r="M200" s="4">
        <f t="shared" si="44"/>
        <v>3000</v>
      </c>
      <c r="N200" s="4">
        <f t="shared" si="45"/>
        <v>2010</v>
      </c>
      <c r="O200" s="4">
        <f t="shared" si="46"/>
        <v>2335</v>
      </c>
      <c r="P200" s="4">
        <f>IF((((Price30[Cost]*1.5)+50)/0.835)&lt;2500,
MROUND((((( Price30[Cost]*1.5)+50)/0.835)*1.05)*2,10),
MROUND((((( Price30[Cost]*1.5)+50)/0.835)*1.18)*2,10))</f>
        <v>7140</v>
      </c>
      <c r="Q200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3070</v>
      </c>
    </row>
    <row r="201" spans="1:17" x14ac:dyDescent="0.25">
      <c r="A201" s="1">
        <v>2025</v>
      </c>
      <c r="B201" s="18">
        <v>818</v>
      </c>
      <c r="C201" s="19" t="s">
        <v>277</v>
      </c>
      <c r="D201" s="19" t="s">
        <v>497</v>
      </c>
      <c r="E201" s="19" t="s">
        <v>527</v>
      </c>
      <c r="F201" s="19" t="s">
        <v>530</v>
      </c>
      <c r="G201" s="20">
        <v>850</v>
      </c>
      <c r="I201" s="20">
        <v>25</v>
      </c>
      <c r="J201" s="4">
        <f t="shared" si="41"/>
        <v>875</v>
      </c>
      <c r="K201" s="4">
        <f t="shared" si="42"/>
        <v>1085</v>
      </c>
      <c r="L201" s="4">
        <f t="shared" si="43"/>
        <v>1140</v>
      </c>
      <c r="M201" s="4">
        <f t="shared" si="44"/>
        <v>1400</v>
      </c>
      <c r="N201" s="4">
        <f t="shared" si="45"/>
        <v>1050</v>
      </c>
      <c r="O201" s="4">
        <f t="shared" si="46"/>
        <v>1220</v>
      </c>
      <c r="P201" s="4">
        <f>IF((((Price30[Cost]*1.5)+50)/0.835)&lt;2500,
MROUND((((( Price30[Cost]*1.5)+50)/0.835)*1.05)*2,10),
MROUND((((( Price30[Cost]*1.5)+50)/0.835)*1.18)*2,10))</f>
        <v>3330</v>
      </c>
      <c r="Q201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1470</v>
      </c>
    </row>
    <row r="202" spans="1:17" x14ac:dyDescent="0.25">
      <c r="A202" s="1">
        <v>2025</v>
      </c>
      <c r="B202" s="18">
        <v>819</v>
      </c>
      <c r="C202" s="19" t="s">
        <v>277</v>
      </c>
      <c r="D202" s="19" t="s">
        <v>497</v>
      </c>
      <c r="E202" s="19" t="s">
        <v>527</v>
      </c>
      <c r="F202" s="19" t="s">
        <v>531</v>
      </c>
      <c r="G202" s="20">
        <v>790</v>
      </c>
      <c r="I202" s="20">
        <v>25</v>
      </c>
      <c r="J202" s="4">
        <f t="shared" si="41"/>
        <v>815</v>
      </c>
      <c r="K202" s="4">
        <f t="shared" si="42"/>
        <v>1010</v>
      </c>
      <c r="L202" s="4">
        <f t="shared" si="43"/>
        <v>1060</v>
      </c>
      <c r="M202" s="4">
        <f t="shared" si="44"/>
        <v>1300</v>
      </c>
      <c r="N202" s="4">
        <f t="shared" si="45"/>
        <v>980</v>
      </c>
      <c r="O202" s="4">
        <f t="shared" si="46"/>
        <v>1135</v>
      </c>
      <c r="P202" s="4">
        <f>IF((((Price30[Cost]*1.5)+50)/0.835)&lt;2500,
MROUND((((( Price30[Cost]*1.5)+50)/0.835)*1.05)*2,10),
MROUND((((( Price30[Cost]*1.5)+50)/0.835)*1.18)*2,10))</f>
        <v>3110</v>
      </c>
      <c r="Q202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1370</v>
      </c>
    </row>
    <row r="203" spans="1:17" x14ac:dyDescent="0.25">
      <c r="A203" s="1">
        <v>2025</v>
      </c>
      <c r="B203" s="18">
        <v>820</v>
      </c>
      <c r="C203" s="19" t="s">
        <v>277</v>
      </c>
      <c r="D203" s="19" t="s">
        <v>497</v>
      </c>
      <c r="E203" s="19" t="s">
        <v>527</v>
      </c>
      <c r="F203" s="19" t="s">
        <v>532</v>
      </c>
      <c r="G203" s="20">
        <v>790</v>
      </c>
      <c r="I203" s="20">
        <v>25</v>
      </c>
      <c r="J203" s="4">
        <f t="shared" si="41"/>
        <v>815</v>
      </c>
      <c r="K203" s="4">
        <f t="shared" si="42"/>
        <v>1010</v>
      </c>
      <c r="L203" s="4">
        <f t="shared" si="43"/>
        <v>1060</v>
      </c>
      <c r="M203" s="4">
        <f t="shared" si="44"/>
        <v>1300</v>
      </c>
      <c r="N203" s="4">
        <f t="shared" si="45"/>
        <v>980</v>
      </c>
      <c r="O203" s="4">
        <f t="shared" si="46"/>
        <v>1135</v>
      </c>
      <c r="P203" s="4">
        <f>IF((((Price30[Cost]*1.5)+50)/0.835)&lt;2500,
MROUND((((( Price30[Cost]*1.5)+50)/0.835)*1.05)*2,10),
MROUND((((( Price30[Cost]*1.5)+50)/0.835)*1.18)*2,10))</f>
        <v>3110</v>
      </c>
      <c r="Q203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1370</v>
      </c>
    </row>
    <row r="204" spans="1:17" x14ac:dyDescent="0.25">
      <c r="A204" s="1">
        <v>2025</v>
      </c>
      <c r="B204" s="18">
        <v>821</v>
      </c>
      <c r="C204" s="19" t="s">
        <v>277</v>
      </c>
      <c r="D204" s="19" t="s">
        <v>497</v>
      </c>
      <c r="E204" s="19" t="s">
        <v>527</v>
      </c>
      <c r="F204" s="19" t="s">
        <v>533</v>
      </c>
      <c r="G204" s="20">
        <v>750</v>
      </c>
      <c r="I204" s="20">
        <v>25</v>
      </c>
      <c r="J204" s="4">
        <f t="shared" si="41"/>
        <v>775</v>
      </c>
      <c r="K204" s="4">
        <f t="shared" si="42"/>
        <v>960</v>
      </c>
      <c r="L204" s="4">
        <f t="shared" si="43"/>
        <v>1010</v>
      </c>
      <c r="M204" s="4">
        <f t="shared" si="44"/>
        <v>1225</v>
      </c>
      <c r="N204" s="4">
        <f t="shared" si="45"/>
        <v>930</v>
      </c>
      <c r="O204" s="4">
        <f t="shared" si="46"/>
        <v>1085</v>
      </c>
      <c r="P204" s="4">
        <f>IF((((Price30[Cost]*1.5)+50)/0.835)&lt;2500,
MROUND((((( Price30[Cost]*1.5)+50)/0.835)*1.05)*2,10),
MROUND((((( Price30[Cost]*1.5)+50)/0.835)*1.18)*2,10))</f>
        <v>2960</v>
      </c>
      <c r="Q204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1300</v>
      </c>
    </row>
    <row r="205" spans="1:17" x14ac:dyDescent="0.25">
      <c r="A205" s="1">
        <v>2025</v>
      </c>
      <c r="B205" s="18">
        <v>822</v>
      </c>
      <c r="C205" s="19" t="s">
        <v>277</v>
      </c>
      <c r="D205" s="19" t="s">
        <v>497</v>
      </c>
      <c r="E205" s="19" t="s">
        <v>527</v>
      </c>
      <c r="F205" s="19" t="s">
        <v>534</v>
      </c>
      <c r="G205" s="20">
        <v>790</v>
      </c>
      <c r="I205" s="20">
        <v>25</v>
      </c>
      <c r="J205" s="4">
        <f>IF(SUMIF(G205:I205,"&lt;&gt;")=0,"",SUM(G205:I205))</f>
        <v>815</v>
      </c>
      <c r="K205" s="4">
        <f>IF(ISNUMBER(L205),
   IF(CEILING(ROUND(L205*0.95,2),5)=420,
      425,
      CEILING(ROUND(L205*0.95,2),5)
   ),
   ""
)</f>
        <v>1010</v>
      </c>
      <c r="L205" s="4">
        <f>IF(AND(ISNUMBER(J205),ISNUMBER(G205)),
   IF(CEILING(ROUND(J205*1.3,2),5)=420,
      425,
      CEILING(ROUND(J205*1.3,2),5)
   ),
   ""
)</f>
        <v>1060</v>
      </c>
      <c r="M205" s="4">
        <f>IF(AND(ISNUMBER(J205),ISNUMBER(G205)),
   IF(
      CEILING(
         ROUND((J205*1.5) * IF(J205*1.5 &lt;= 2500, 1.05, 1.18), 2),
         IF(ROUND((J205*1.5) * IF(J205*1.5 &lt;= 2500, 1.05, 1.18), 2) &lt; 2500, 25, 50)
      )=420,
      425,
      CEILING(
         ROUND((J205*1.5) * IF(J205*1.5 &lt;= 2500, 1.05, 1.18), 2),
         IF(ROUND((J205*1.5) * IF(J205*1.5 &lt;= 2500, 1.05, 1.18), 2) &lt; 2500, 25, 50)
      )
   ),
   ""
)</f>
        <v>1300</v>
      </c>
      <c r="N205" s="4">
        <f>IF(ISNUMBER(G205),
   IF(CEILING(ROUND(L205*0.92,2),5)=420,
      425,
      CEILING(ROUND(L205*0.92,2),5)
   ),
   ""
)</f>
        <v>980</v>
      </c>
      <c r="O205" s="4">
        <f>IF(ISNUMBER(L205),
   IF(CEILING(ROUND(L205*1.07,2),5)=420,
      425,
      CEILING(ROUND(L205*1.07,2),5)
   ),
   ""
)</f>
        <v>1135</v>
      </c>
      <c r="P205" s="4">
        <f>IF((((Price30[Cost]*1.5)+50)/0.835)&lt;2500,
MROUND((((( Price30[Cost]*1.5)+50)/0.835)*1.05)*2,10),
MROUND((((( Price30[Cost]*1.5)+50)/0.835)*1.18)*2,10))</f>
        <v>3110</v>
      </c>
      <c r="Q205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1370</v>
      </c>
    </row>
    <row r="206" spans="1:17" x14ac:dyDescent="0.25">
      <c r="A206" s="1">
        <v>2026</v>
      </c>
      <c r="B206" s="18">
        <v>823</v>
      </c>
      <c r="C206" s="19" t="s">
        <v>277</v>
      </c>
      <c r="D206" s="19" t="s">
        <v>497</v>
      </c>
      <c r="E206" s="19" t="s">
        <v>290</v>
      </c>
      <c r="F206" s="19" t="s">
        <v>637</v>
      </c>
      <c r="G206" s="20">
        <v>900</v>
      </c>
      <c r="I206" s="20">
        <v>25</v>
      </c>
      <c r="J206" s="4">
        <f t="shared" si="41"/>
        <v>925</v>
      </c>
      <c r="K206" s="4">
        <f t="shared" si="42"/>
        <v>1145</v>
      </c>
      <c r="L206" s="4">
        <f t="shared" si="43"/>
        <v>1205</v>
      </c>
      <c r="M206" s="4">
        <f t="shared" si="44"/>
        <v>1475</v>
      </c>
      <c r="N206" s="4">
        <f t="shared" si="45"/>
        <v>1110</v>
      </c>
      <c r="O206" s="4">
        <f t="shared" si="46"/>
        <v>1290</v>
      </c>
      <c r="P206" s="4">
        <f>IF((((Price30[Cost]*1.5)+50)/0.835)&lt;2500,
MROUND((((( Price30[Cost]*1.5)+50)/0.835)*1.05)*2,10),
MROUND((((( Price30[Cost]*1.5)+50)/0.835)*1.18)*2,10))</f>
        <v>3520</v>
      </c>
      <c r="Q206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1550</v>
      </c>
    </row>
    <row r="207" spans="1:17" x14ac:dyDescent="0.25">
      <c r="A207" s="1">
        <v>2026</v>
      </c>
      <c r="B207" s="18">
        <v>824</v>
      </c>
      <c r="C207" s="19" t="s">
        <v>277</v>
      </c>
      <c r="D207" s="19" t="s">
        <v>497</v>
      </c>
      <c r="E207" s="19" t="s">
        <v>290</v>
      </c>
      <c r="F207" s="19" t="s">
        <v>983</v>
      </c>
      <c r="G207" s="20">
        <v>925</v>
      </c>
      <c r="I207" s="20">
        <v>25</v>
      </c>
      <c r="J207" s="4">
        <f>IF(SUMIF(G207:I207,"&lt;&gt;")=0,"",SUM(G207:I207))</f>
        <v>950</v>
      </c>
      <c r="K207" s="4">
        <f>IF(ISNUMBER(L207),
   IF(CEILING(ROUND(L207*0.95,2),5)=420,
      425,
      CEILING(ROUND(L207*0.95,2),5)
   ),
   ""
)</f>
        <v>1175</v>
      </c>
      <c r="L207" s="4">
        <f>IF(AND(ISNUMBER(J207),ISNUMBER(G207)),
   IF(CEILING(ROUND(J207*1.3,2),5)=420,
      425,
      CEILING(ROUND(J207*1.3,2),5)
   ),
   ""
)</f>
        <v>1235</v>
      </c>
      <c r="M207" s="4">
        <f>IF(AND(ISNUMBER(J207),ISNUMBER(G207)),
   IF(
      CEILING(
         ROUND((J207*1.5) * IF(J207*1.5 &lt;= 2500, 1.05, 1.18), 2),
         IF(ROUND((J207*1.5) * IF(J207*1.5 &lt;= 2500, 1.05, 1.18), 2) &lt; 2500, 25, 50)
      )=420,
      425,
      CEILING(
         ROUND((J207*1.5) * IF(J207*1.5 &lt;= 2500, 1.05, 1.18), 2),
         IF(ROUND((J207*1.5) * IF(J207*1.5 &lt;= 2500, 1.05, 1.18), 2) &lt; 2500, 25, 50)
      )
   ),
   ""
)</f>
        <v>1500</v>
      </c>
      <c r="N207" s="4">
        <f>IF(ISNUMBER(G207),
   IF(CEILING(ROUND(L207*0.92,2),5)=420,
      425,
      CEILING(ROUND(L207*0.92,2),5)
   ),
   ""
)</f>
        <v>1140</v>
      </c>
      <c r="O207" s="4">
        <f>IF(ISNUMBER(L207),
   IF(CEILING(ROUND(L207*1.07,2),5)=420,
      425,
      CEILING(ROUND(L207*1.07,2),5)
   ),
   ""
)</f>
        <v>1325</v>
      </c>
      <c r="P207" s="4">
        <f>IF((((Price30[Cost]*1.5)+50)/0.835)&lt;2500,
MROUND((((( Price30[Cost]*1.5)+50)/0.835)*1.05)*2,10),
MROUND((((( Price30[Cost]*1.5)+50)/0.835)*1.18)*2,10))</f>
        <v>3620</v>
      </c>
      <c r="Q207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1570</v>
      </c>
    </row>
    <row r="208" spans="1:17" x14ac:dyDescent="0.25">
      <c r="A208" s="1">
        <v>2026</v>
      </c>
      <c r="B208" s="18">
        <v>825</v>
      </c>
      <c r="C208" s="19" t="s">
        <v>277</v>
      </c>
      <c r="D208" s="19" t="s">
        <v>497</v>
      </c>
      <c r="E208" s="19" t="s">
        <v>290</v>
      </c>
      <c r="F208" s="19" t="s">
        <v>981</v>
      </c>
      <c r="G208" s="20">
        <v>1000</v>
      </c>
      <c r="I208" s="20">
        <v>25</v>
      </c>
      <c r="J208" s="4">
        <f t="shared" si="41"/>
        <v>1025</v>
      </c>
      <c r="K208" s="4">
        <f t="shared" si="42"/>
        <v>1270</v>
      </c>
      <c r="L208" s="4">
        <f t="shared" si="43"/>
        <v>1335</v>
      </c>
      <c r="M208" s="4">
        <f t="shared" si="44"/>
        <v>1625</v>
      </c>
      <c r="N208" s="4">
        <f t="shared" si="45"/>
        <v>1230</v>
      </c>
      <c r="O208" s="4">
        <f t="shared" si="46"/>
        <v>1430</v>
      </c>
      <c r="P208" s="4">
        <f>IF((((Price30[Cost]*1.5)+50)/0.835)&lt;2500,
MROUND((((( Price30[Cost]*1.5)+50)/0.835)*1.05)*2,10),
MROUND((((( Price30[Cost]*1.5)+50)/0.835)*1.18)*2,10))</f>
        <v>3900</v>
      </c>
      <c r="Q208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1700</v>
      </c>
    </row>
    <row r="209" spans="1:17" x14ac:dyDescent="0.25">
      <c r="A209" s="1"/>
      <c r="B209" s="18">
        <v>826</v>
      </c>
      <c r="C209" s="19" t="s">
        <v>277</v>
      </c>
      <c r="D209" s="19" t="s">
        <v>497</v>
      </c>
      <c r="E209" s="19" t="s">
        <v>328</v>
      </c>
      <c r="F209" s="19" t="s">
        <v>330</v>
      </c>
      <c r="G209" s="20">
        <v>2175</v>
      </c>
      <c r="I209" s="20">
        <v>25</v>
      </c>
      <c r="J209" s="4">
        <f t="shared" si="41"/>
        <v>2200</v>
      </c>
      <c r="K209" s="4">
        <f t="shared" si="42"/>
        <v>2720</v>
      </c>
      <c r="L209" s="4">
        <f t="shared" si="43"/>
        <v>2860</v>
      </c>
      <c r="M209" s="4">
        <f t="shared" si="44"/>
        <v>3900</v>
      </c>
      <c r="N209" s="4">
        <f t="shared" si="45"/>
        <v>2635</v>
      </c>
      <c r="O209" s="4">
        <f t="shared" si="46"/>
        <v>3065</v>
      </c>
      <c r="P209" s="4">
        <f>IF((((Price30[Cost]*1.5)+50)/0.835)&lt;2500,
MROUND((((( Price30[Cost]*1.5)+50)/0.835)*1.05)*2,10),
MROUND((((( Price30[Cost]*1.5)+50)/0.835)*1.18)*2,10))</f>
        <v>9360</v>
      </c>
      <c r="Q209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3970</v>
      </c>
    </row>
    <row r="210" spans="1:17" x14ac:dyDescent="0.25">
      <c r="A210" s="1">
        <v>2026</v>
      </c>
      <c r="B210" s="18">
        <v>827</v>
      </c>
      <c r="C210" s="19" t="s">
        <v>277</v>
      </c>
      <c r="D210" s="19" t="s">
        <v>497</v>
      </c>
      <c r="E210" s="19" t="s">
        <v>290</v>
      </c>
      <c r="F210" s="19" t="s">
        <v>976</v>
      </c>
      <c r="G210" s="20">
        <v>1700</v>
      </c>
      <c r="I210" s="20">
        <v>25</v>
      </c>
      <c r="J210" s="4">
        <f t="shared" si="41"/>
        <v>1725</v>
      </c>
      <c r="K210" s="4">
        <f t="shared" si="42"/>
        <v>2135</v>
      </c>
      <c r="L210" s="4">
        <f t="shared" si="43"/>
        <v>2245</v>
      </c>
      <c r="M210" s="4">
        <f t="shared" si="44"/>
        <v>3100</v>
      </c>
      <c r="N210" s="4">
        <f t="shared" si="45"/>
        <v>2070</v>
      </c>
      <c r="O210" s="4">
        <f t="shared" si="46"/>
        <v>2405</v>
      </c>
      <c r="P210" s="4">
        <f>IF((((Price30[Cost]*1.5)+50)/0.835)&lt;2500,
MROUND((((( Price30[Cost]*1.5)+50)/0.835)*1.05)*2,10),
MROUND((((( Price30[Cost]*1.5)+50)/0.835)*1.18)*2,10))</f>
        <v>7350</v>
      </c>
      <c r="Q210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3170</v>
      </c>
    </row>
    <row r="211" spans="1:17" x14ac:dyDescent="0.25">
      <c r="A211" s="1">
        <v>2026</v>
      </c>
      <c r="B211" s="18">
        <v>828</v>
      </c>
      <c r="C211" s="19" t="s">
        <v>277</v>
      </c>
      <c r="D211" s="19" t="s">
        <v>497</v>
      </c>
      <c r="E211" s="19" t="s">
        <v>136</v>
      </c>
      <c r="F211" s="19" t="s">
        <v>924</v>
      </c>
      <c r="G211" s="20">
        <v>975</v>
      </c>
      <c r="I211" s="20">
        <v>25</v>
      </c>
      <c r="J211" s="4">
        <f t="shared" si="41"/>
        <v>1000</v>
      </c>
      <c r="K211" s="4">
        <f t="shared" si="42"/>
        <v>1235</v>
      </c>
      <c r="L211" s="4">
        <f t="shared" si="43"/>
        <v>1300</v>
      </c>
      <c r="M211" s="4">
        <f t="shared" si="44"/>
        <v>1575</v>
      </c>
      <c r="N211" s="4">
        <f t="shared" si="45"/>
        <v>1200</v>
      </c>
      <c r="O211" s="4">
        <f t="shared" si="46"/>
        <v>1395</v>
      </c>
      <c r="P211" s="4">
        <f>IF((((Price30[Cost]*1.5)+50)/0.835)&lt;2500,
MROUND((((( Price30[Cost]*1.5)+50)/0.835)*1.05)*2,10),
MROUND((((( Price30[Cost]*1.5)+50)/0.835)*1.18)*2,10))</f>
        <v>3800</v>
      </c>
      <c r="Q211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1650</v>
      </c>
    </row>
    <row r="212" spans="1:17" x14ac:dyDescent="0.25">
      <c r="A212" s="1">
        <v>2025</v>
      </c>
      <c r="B212" s="18">
        <v>829</v>
      </c>
      <c r="C212" s="19" t="s">
        <v>277</v>
      </c>
      <c r="D212" s="19" t="s">
        <v>497</v>
      </c>
      <c r="E212" s="19" t="s">
        <v>290</v>
      </c>
      <c r="F212" s="19" t="s">
        <v>636</v>
      </c>
      <c r="G212" s="20">
        <v>2500</v>
      </c>
      <c r="I212" s="20">
        <v>25</v>
      </c>
      <c r="J212" s="4">
        <f t="shared" si="41"/>
        <v>2525</v>
      </c>
      <c r="K212" s="4">
        <f t="shared" si="42"/>
        <v>3125</v>
      </c>
      <c r="L212" s="4">
        <f t="shared" si="43"/>
        <v>3285</v>
      </c>
      <c r="M212" s="4">
        <f t="shared" si="44"/>
        <v>4500</v>
      </c>
      <c r="N212" s="4">
        <f t="shared" si="45"/>
        <v>3025</v>
      </c>
      <c r="O212" s="4">
        <f t="shared" si="46"/>
        <v>3515</v>
      </c>
      <c r="P212" s="4">
        <f>IF((((Price30[Cost]*1.5)+50)/0.835)&lt;2500,
MROUND((((( Price30[Cost]*1.5)+50)/0.835)*1.05)*2,10),
MROUND((((( Price30[Cost]*1.5)+50)/0.835)*1.18)*2,10))</f>
        <v>10740</v>
      </c>
      <c r="Q212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4570</v>
      </c>
    </row>
    <row r="213" spans="1:17" x14ac:dyDescent="0.25">
      <c r="A213" s="1">
        <v>2026</v>
      </c>
      <c r="B213" s="18">
        <v>830</v>
      </c>
      <c r="C213" s="19" t="s">
        <v>277</v>
      </c>
      <c r="D213" s="19" t="s">
        <v>497</v>
      </c>
      <c r="E213" s="19" t="s">
        <v>290</v>
      </c>
      <c r="F213" s="19" t="s">
        <v>984</v>
      </c>
      <c r="G213" s="20">
        <v>975</v>
      </c>
      <c r="I213" s="20">
        <v>25</v>
      </c>
      <c r="J213" s="4">
        <f>IF(SUMIF(G213:I213,"&lt;&gt;")=0,"",SUM(G213:I213))</f>
        <v>1000</v>
      </c>
      <c r="K213" s="4">
        <f>IF(ISNUMBER(L213),
   IF(CEILING(ROUND(L213*0.95,2),5)=420,
      425,
      CEILING(ROUND(L213*0.95,2),5)
   ),
   ""
)</f>
        <v>1235</v>
      </c>
      <c r="L213" s="4">
        <f>IF(AND(ISNUMBER(J213),ISNUMBER(G213)),
   IF(CEILING(ROUND(J213*1.3,2),5)=420,
      425,
      CEILING(ROUND(J213*1.3,2),5)
   ),
   ""
)</f>
        <v>1300</v>
      </c>
      <c r="M213" s="4">
        <f>IF(AND(ISNUMBER(J213),ISNUMBER(G213)),
   IF(
      CEILING(
         ROUND((J213*1.5) * IF(J213*1.5 &lt;= 2500, 1.05, 1.18), 2),
         IF(ROUND((J213*1.5) * IF(J213*1.5 &lt;= 2500, 1.05, 1.18), 2) &lt; 2500, 25, 50)
      )=420,
      425,
      CEILING(
         ROUND((J213*1.5) * IF(J213*1.5 &lt;= 2500, 1.05, 1.18), 2),
         IF(ROUND((J213*1.5) * IF(J213*1.5 &lt;= 2500, 1.05, 1.18), 2) &lt; 2500, 25, 50)
      )
   ),
   ""
)</f>
        <v>1575</v>
      </c>
      <c r="N213" s="4">
        <f>IF(ISNUMBER(G213),
   IF(CEILING(ROUND(L213*0.92,2),5)=420,
      425,
      CEILING(ROUND(L213*0.92,2),5)
   ),
   ""
)</f>
        <v>1200</v>
      </c>
      <c r="O213" s="4">
        <f>IF(ISNUMBER(L213),
   IF(CEILING(ROUND(L213*1.07,2),5)=420,
      425,
      CEILING(ROUND(L213*1.07,2),5)
   ),
   ""
)</f>
        <v>1395</v>
      </c>
      <c r="P213" s="4">
        <f>IF((((Price30[Cost]*1.5)+50)/0.835)&lt;2500,
MROUND((((( Price30[Cost]*1.5)+50)/0.835)*1.05)*2,10),
MROUND((((( Price30[Cost]*1.5)+50)/0.835)*1.18)*2,10))</f>
        <v>3800</v>
      </c>
      <c r="Q213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1650</v>
      </c>
    </row>
    <row r="214" spans="1:17" x14ac:dyDescent="0.25">
      <c r="A214" s="1">
        <v>2026</v>
      </c>
      <c r="B214" s="18">
        <v>831</v>
      </c>
      <c r="C214" s="19" t="s">
        <v>277</v>
      </c>
      <c r="D214" s="19" t="s">
        <v>497</v>
      </c>
      <c r="E214" s="19" t="s">
        <v>136</v>
      </c>
      <c r="F214" s="19" t="s">
        <v>940</v>
      </c>
      <c r="G214" s="20">
        <v>1250</v>
      </c>
      <c r="I214" s="20">
        <v>25</v>
      </c>
      <c r="J214" s="4">
        <f t="shared" si="41"/>
        <v>1275</v>
      </c>
      <c r="K214" s="4">
        <f t="shared" si="42"/>
        <v>1580</v>
      </c>
      <c r="L214" s="4">
        <f t="shared" si="43"/>
        <v>1660</v>
      </c>
      <c r="M214" s="4">
        <f t="shared" si="44"/>
        <v>2025</v>
      </c>
      <c r="N214" s="4">
        <f t="shared" si="45"/>
        <v>1530</v>
      </c>
      <c r="O214" s="4">
        <f t="shared" si="46"/>
        <v>1780</v>
      </c>
      <c r="P214" s="4">
        <f>IF((((Price30[Cost]*1.5)+50)/0.835)&lt;2500,
MROUND((((( Price30[Cost]*1.5)+50)/0.835)*1.05)*2,10),
MROUND((((( Price30[Cost]*1.5)+50)/0.835)*1.18)*2,10))</f>
        <v>4840</v>
      </c>
      <c r="Q214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2100</v>
      </c>
    </row>
    <row r="215" spans="1:17" x14ac:dyDescent="0.25">
      <c r="A215" s="1">
        <v>2025</v>
      </c>
      <c r="B215" s="18">
        <v>832</v>
      </c>
      <c r="C215" s="19" t="s">
        <v>277</v>
      </c>
      <c r="D215" s="19" t="s">
        <v>497</v>
      </c>
      <c r="E215" s="19"/>
      <c r="F215" s="19" t="s">
        <v>65</v>
      </c>
      <c r="G215" s="20">
        <v>1050</v>
      </c>
      <c r="I215" s="20">
        <v>25</v>
      </c>
      <c r="J215" s="4">
        <f t="shared" si="41"/>
        <v>1075</v>
      </c>
      <c r="K215" s="4">
        <f t="shared" si="42"/>
        <v>1330</v>
      </c>
      <c r="L215" s="4">
        <f t="shared" si="43"/>
        <v>1400</v>
      </c>
      <c r="M215" s="4">
        <f t="shared" si="44"/>
        <v>1700</v>
      </c>
      <c r="N215" s="4">
        <f t="shared" si="45"/>
        <v>1290</v>
      </c>
      <c r="O215" s="4">
        <f t="shared" si="46"/>
        <v>1500</v>
      </c>
      <c r="P215" s="4">
        <f>IF((((Price30[Cost]*1.5)+50)/0.835)&lt;2500,
MROUND((((( Price30[Cost]*1.5)+50)/0.835)*1.05)*2,10),
MROUND((((( Price30[Cost]*1.5)+50)/0.835)*1.18)*2,10))</f>
        <v>4090</v>
      </c>
      <c r="Q215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1770</v>
      </c>
    </row>
    <row r="216" spans="1:17" x14ac:dyDescent="0.25">
      <c r="A216" s="1"/>
      <c r="B216" s="18">
        <v>8321</v>
      </c>
      <c r="C216" s="19" t="s">
        <v>277</v>
      </c>
      <c r="D216" s="19" t="s">
        <v>497</v>
      </c>
      <c r="E216" s="19"/>
      <c r="F216" s="19" t="s">
        <v>97</v>
      </c>
      <c r="G216" s="20">
        <v>1250</v>
      </c>
      <c r="I216" s="20">
        <v>25</v>
      </c>
      <c r="J216" s="4">
        <f t="shared" si="41"/>
        <v>1275</v>
      </c>
      <c r="K216" s="4">
        <f t="shared" si="42"/>
        <v>1580</v>
      </c>
      <c r="L216" s="4">
        <f t="shared" si="43"/>
        <v>1660</v>
      </c>
      <c r="M216" s="4">
        <f t="shared" si="44"/>
        <v>2025</v>
      </c>
      <c r="N216" s="4">
        <f t="shared" si="45"/>
        <v>1530</v>
      </c>
      <c r="O216" s="4">
        <f t="shared" si="46"/>
        <v>1780</v>
      </c>
      <c r="P216" s="4">
        <f>IF((((Price30[Cost]*1.5)+50)/0.835)&lt;2500,
MROUND((((( Price30[Cost]*1.5)+50)/0.835)*1.05)*2,10),
MROUND((((( Price30[Cost]*1.5)+50)/0.835)*1.18)*2,10))</f>
        <v>4840</v>
      </c>
      <c r="Q216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2100</v>
      </c>
    </row>
    <row r="217" spans="1:17" x14ac:dyDescent="0.25">
      <c r="A217" s="1"/>
      <c r="B217" s="18">
        <v>833</v>
      </c>
      <c r="C217" s="19" t="s">
        <v>277</v>
      </c>
      <c r="D217" s="19" t="s">
        <v>497</v>
      </c>
      <c r="E217" s="19" t="s">
        <v>290</v>
      </c>
      <c r="F217" s="19" t="s">
        <v>109</v>
      </c>
      <c r="G217" s="20">
        <v>770</v>
      </c>
      <c r="I217" s="20">
        <v>25</v>
      </c>
      <c r="J217" s="4">
        <f t="shared" si="41"/>
        <v>795</v>
      </c>
      <c r="K217" s="4">
        <f t="shared" si="42"/>
        <v>985</v>
      </c>
      <c r="L217" s="4">
        <f t="shared" si="43"/>
        <v>1035</v>
      </c>
      <c r="M217" s="4">
        <f t="shared" si="44"/>
        <v>1275</v>
      </c>
      <c r="N217" s="4">
        <f t="shared" si="45"/>
        <v>955</v>
      </c>
      <c r="O217" s="4">
        <f t="shared" si="46"/>
        <v>1110</v>
      </c>
      <c r="P217" s="4">
        <f>IF((((Price30[Cost]*1.5)+50)/0.835)&lt;2500,
MROUND((((( Price30[Cost]*1.5)+50)/0.835)*1.05)*2,10),
MROUND((((( Price30[Cost]*1.5)+50)/0.835)*1.18)*2,10))</f>
        <v>3030</v>
      </c>
      <c r="Q217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1350</v>
      </c>
    </row>
    <row r="218" spans="1:17" x14ac:dyDescent="0.25">
      <c r="A218" s="1">
        <v>2026</v>
      </c>
      <c r="B218" s="18">
        <v>834</v>
      </c>
      <c r="C218" s="19" t="s">
        <v>277</v>
      </c>
      <c r="D218" s="19" t="s">
        <v>497</v>
      </c>
      <c r="E218" s="19" t="s">
        <v>527</v>
      </c>
      <c r="F218" s="19" t="s">
        <v>931</v>
      </c>
      <c r="G218" s="20">
        <v>1000</v>
      </c>
      <c r="I218" s="20">
        <v>25</v>
      </c>
      <c r="J218" s="4">
        <f t="shared" si="41"/>
        <v>1025</v>
      </c>
      <c r="K218" s="4">
        <f t="shared" si="42"/>
        <v>1270</v>
      </c>
      <c r="L218" s="4">
        <f t="shared" si="43"/>
        <v>1335</v>
      </c>
      <c r="M218" s="4">
        <f t="shared" si="44"/>
        <v>1625</v>
      </c>
      <c r="N218" s="4">
        <f t="shared" si="45"/>
        <v>1230</v>
      </c>
      <c r="O218" s="4">
        <f t="shared" si="46"/>
        <v>1430</v>
      </c>
      <c r="P218" s="4">
        <f>IF((((Price30[Cost]*1.5)+50)/0.835)&lt;2500,
MROUND((((( Price30[Cost]*1.5)+50)/0.835)*1.05)*2,10),
MROUND((((( Price30[Cost]*1.5)+50)/0.835)*1.18)*2,10))</f>
        <v>3900</v>
      </c>
      <c r="Q218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1700</v>
      </c>
    </row>
    <row r="219" spans="1:17" x14ac:dyDescent="0.25">
      <c r="A219" s="1"/>
      <c r="B219" s="18">
        <v>835</v>
      </c>
      <c r="C219" s="19" t="s">
        <v>277</v>
      </c>
      <c r="D219" s="19" t="s">
        <v>497</v>
      </c>
      <c r="E219" s="19" t="s">
        <v>174</v>
      </c>
      <c r="F219" s="19" t="s">
        <v>55</v>
      </c>
      <c r="G219" s="20">
        <v>1100</v>
      </c>
      <c r="I219" s="20">
        <v>25</v>
      </c>
      <c r="J219" s="4">
        <f t="shared" si="41"/>
        <v>1125</v>
      </c>
      <c r="K219" s="4">
        <f t="shared" si="42"/>
        <v>1395</v>
      </c>
      <c r="L219" s="4">
        <f t="shared" si="43"/>
        <v>1465</v>
      </c>
      <c r="M219" s="4">
        <f t="shared" si="44"/>
        <v>1775</v>
      </c>
      <c r="N219" s="4">
        <f t="shared" si="45"/>
        <v>1350</v>
      </c>
      <c r="O219" s="4">
        <f t="shared" si="46"/>
        <v>1570</v>
      </c>
      <c r="P219" s="4">
        <f>IF((((Price30[Cost]*1.5)+50)/0.835)&lt;2500,
MROUND((((( Price30[Cost]*1.5)+50)/0.835)*1.05)*2,10),
MROUND((((( Price30[Cost]*1.5)+50)/0.835)*1.18)*2,10))</f>
        <v>4280</v>
      </c>
      <c r="Q219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1850</v>
      </c>
    </row>
    <row r="220" spans="1:17" x14ac:dyDescent="0.25">
      <c r="A220" s="1">
        <v>2025</v>
      </c>
      <c r="B220" s="18">
        <v>836</v>
      </c>
      <c r="C220" s="19" t="s">
        <v>277</v>
      </c>
      <c r="D220" s="19" t="s">
        <v>497</v>
      </c>
      <c r="E220" s="19" t="s">
        <v>527</v>
      </c>
      <c r="F220" s="19" t="s">
        <v>529</v>
      </c>
      <c r="G220" s="20">
        <v>850</v>
      </c>
      <c r="I220" s="20">
        <v>25</v>
      </c>
      <c r="J220" s="4">
        <f t="shared" si="41"/>
        <v>875</v>
      </c>
      <c r="K220" s="4">
        <f t="shared" si="42"/>
        <v>1085</v>
      </c>
      <c r="L220" s="4">
        <f t="shared" si="43"/>
        <v>1140</v>
      </c>
      <c r="M220" s="4">
        <f t="shared" si="44"/>
        <v>1400</v>
      </c>
      <c r="N220" s="4">
        <f t="shared" si="45"/>
        <v>1050</v>
      </c>
      <c r="O220" s="4">
        <f t="shared" si="46"/>
        <v>1220</v>
      </c>
      <c r="P220" s="4">
        <f>IF((((Price30[Cost]*1.5)+50)/0.835)&lt;2500,
MROUND((((( Price30[Cost]*1.5)+50)/0.835)*1.05)*2,10),
MROUND((((( Price30[Cost]*1.5)+50)/0.835)*1.18)*2,10))</f>
        <v>3330</v>
      </c>
      <c r="Q220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1470</v>
      </c>
    </row>
    <row r="221" spans="1:17" x14ac:dyDescent="0.25">
      <c r="A221" s="1">
        <v>2026</v>
      </c>
      <c r="B221" s="18">
        <v>837</v>
      </c>
      <c r="C221" s="19" t="s">
        <v>277</v>
      </c>
      <c r="D221" s="19" t="s">
        <v>497</v>
      </c>
      <c r="E221" s="19" t="s">
        <v>527</v>
      </c>
      <c r="F221" s="19" t="s">
        <v>1020</v>
      </c>
      <c r="G221" s="20">
        <v>950</v>
      </c>
      <c r="I221" s="20">
        <v>25</v>
      </c>
      <c r="J221" s="4">
        <f t="shared" si="41"/>
        <v>975</v>
      </c>
      <c r="K221" s="4">
        <f t="shared" si="42"/>
        <v>1210</v>
      </c>
      <c r="L221" s="4">
        <f t="shared" si="43"/>
        <v>1270</v>
      </c>
      <c r="M221" s="4">
        <f t="shared" si="44"/>
        <v>1550</v>
      </c>
      <c r="N221" s="4">
        <f t="shared" si="45"/>
        <v>1170</v>
      </c>
      <c r="O221" s="4">
        <f t="shared" si="46"/>
        <v>1360</v>
      </c>
      <c r="P221" s="4">
        <f>IF((((Price30[Cost]*1.5)+50)/0.835)&lt;2500,
MROUND((((( Price30[Cost]*1.5)+50)/0.835)*1.05)*2,10),
MROUND((((( Price30[Cost]*1.5)+50)/0.835)*1.18)*2,10))</f>
        <v>3710</v>
      </c>
      <c r="Q221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1620</v>
      </c>
    </row>
    <row r="222" spans="1:17" x14ac:dyDescent="0.25">
      <c r="A222" s="1">
        <v>2025</v>
      </c>
      <c r="B222" s="18">
        <v>838</v>
      </c>
      <c r="C222" s="19" t="s">
        <v>277</v>
      </c>
      <c r="D222" s="19" t="s">
        <v>497</v>
      </c>
      <c r="E222" s="19" t="s">
        <v>290</v>
      </c>
      <c r="F222" s="19" t="s">
        <v>61</v>
      </c>
      <c r="G222" s="20">
        <v>595</v>
      </c>
      <c r="I222" s="20">
        <v>25</v>
      </c>
      <c r="J222" s="4">
        <f t="shared" si="41"/>
        <v>620</v>
      </c>
      <c r="K222" s="4">
        <f t="shared" si="42"/>
        <v>770</v>
      </c>
      <c r="L222" s="4">
        <f t="shared" si="43"/>
        <v>810</v>
      </c>
      <c r="M222" s="4">
        <f t="shared" si="44"/>
        <v>1000</v>
      </c>
      <c r="N222" s="4">
        <f t="shared" si="45"/>
        <v>750</v>
      </c>
      <c r="O222" s="4">
        <f t="shared" si="46"/>
        <v>870</v>
      </c>
      <c r="P222" s="4">
        <f>IF((((Price30[Cost]*1.5)+50)/0.835)&lt;2500,
MROUND((((( Price30[Cost]*1.5)+50)/0.835)*1.05)*2,10),
MROUND((((( Price30[Cost]*1.5)+50)/0.835)*1.18)*2,10))</f>
        <v>2370</v>
      </c>
      <c r="Q222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1070</v>
      </c>
    </row>
    <row r="223" spans="1:17" x14ac:dyDescent="0.25">
      <c r="A223" s="1">
        <v>2026</v>
      </c>
      <c r="B223" s="18">
        <v>839</v>
      </c>
      <c r="C223" s="19" t="s">
        <v>277</v>
      </c>
      <c r="D223" s="19" t="s">
        <v>497</v>
      </c>
      <c r="E223" s="19" t="s">
        <v>80</v>
      </c>
      <c r="F223" s="19" t="s">
        <v>67</v>
      </c>
      <c r="G223" s="20">
        <v>765</v>
      </c>
      <c r="I223" s="20">
        <v>25</v>
      </c>
      <c r="J223" s="4">
        <f t="shared" si="41"/>
        <v>790</v>
      </c>
      <c r="K223" s="4">
        <f t="shared" si="42"/>
        <v>980</v>
      </c>
      <c r="L223" s="4">
        <f t="shared" si="43"/>
        <v>1030</v>
      </c>
      <c r="M223" s="4">
        <f t="shared" si="44"/>
        <v>1250</v>
      </c>
      <c r="N223" s="4">
        <f t="shared" si="45"/>
        <v>950</v>
      </c>
      <c r="O223" s="4">
        <f t="shared" si="46"/>
        <v>1105</v>
      </c>
      <c r="P223" s="4">
        <f>IF((((Price30[Cost]*1.5)+50)/0.835)&lt;2500,
MROUND((((( Price30[Cost]*1.5)+50)/0.835)*1.05)*2,10),
MROUND((((( Price30[Cost]*1.5)+50)/0.835)*1.18)*2,10))</f>
        <v>3010</v>
      </c>
      <c r="Q223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1320</v>
      </c>
    </row>
    <row r="224" spans="1:17" x14ac:dyDescent="0.25">
      <c r="A224" s="1">
        <v>2025</v>
      </c>
      <c r="B224" s="18">
        <v>840</v>
      </c>
      <c r="C224" s="19" t="s">
        <v>277</v>
      </c>
      <c r="D224" s="19" t="s">
        <v>497</v>
      </c>
      <c r="E224" s="19" t="s">
        <v>80</v>
      </c>
      <c r="F224" s="19" t="s">
        <v>58</v>
      </c>
      <c r="G224" s="20">
        <v>725</v>
      </c>
      <c r="I224" s="20">
        <v>25</v>
      </c>
      <c r="J224" s="4">
        <f t="shared" si="41"/>
        <v>750</v>
      </c>
      <c r="K224" s="4">
        <f t="shared" si="42"/>
        <v>930</v>
      </c>
      <c r="L224" s="4">
        <f t="shared" si="43"/>
        <v>975</v>
      </c>
      <c r="M224" s="4">
        <f t="shared" si="44"/>
        <v>1200</v>
      </c>
      <c r="N224" s="4">
        <f t="shared" si="45"/>
        <v>900</v>
      </c>
      <c r="O224" s="4">
        <f t="shared" si="46"/>
        <v>1045</v>
      </c>
      <c r="P224" s="4">
        <f>IF((((Price30[Cost]*1.5)+50)/0.835)&lt;2500,
MROUND((((( Price30[Cost]*1.5)+50)/0.835)*1.05)*2,10),
MROUND((((( Price30[Cost]*1.5)+50)/0.835)*1.18)*2,10))</f>
        <v>2860</v>
      </c>
      <c r="Q224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1270</v>
      </c>
    </row>
    <row r="225" spans="1:17" x14ac:dyDescent="0.25">
      <c r="A225" s="1">
        <v>2026</v>
      </c>
      <c r="B225" s="18">
        <v>841</v>
      </c>
      <c r="C225" s="19" t="s">
        <v>171</v>
      </c>
      <c r="D225" s="19" t="s">
        <v>497</v>
      </c>
      <c r="E225" s="19" t="s">
        <v>136</v>
      </c>
      <c r="F225" s="19" t="s">
        <v>541</v>
      </c>
      <c r="G225" s="20">
        <v>650</v>
      </c>
      <c r="I225" s="20">
        <v>25</v>
      </c>
      <c r="J225" s="4">
        <f t="shared" si="41"/>
        <v>675</v>
      </c>
      <c r="K225" s="4">
        <f t="shared" si="42"/>
        <v>840</v>
      </c>
      <c r="L225" s="4">
        <f t="shared" si="43"/>
        <v>880</v>
      </c>
      <c r="M225" s="4">
        <f t="shared" si="44"/>
        <v>1075</v>
      </c>
      <c r="N225" s="4">
        <f t="shared" si="45"/>
        <v>810</v>
      </c>
      <c r="O225" s="4">
        <f t="shared" si="46"/>
        <v>945</v>
      </c>
      <c r="P225" s="4">
        <f>IF((((Price30[Cost]*1.5)+50)/0.835)&lt;2500,
MROUND((((( Price30[Cost]*1.5)+50)/0.835)*1.05)*2,10),
MROUND((((( Price30[Cost]*1.5)+50)/0.835)*1.18)*2,10))</f>
        <v>2580</v>
      </c>
      <c r="Q225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1150</v>
      </c>
    </row>
    <row r="226" spans="1:17" x14ac:dyDescent="0.25">
      <c r="A226" s="1">
        <v>2026</v>
      </c>
      <c r="B226" s="18">
        <v>842</v>
      </c>
      <c r="C226" s="19" t="s">
        <v>171</v>
      </c>
      <c r="D226" s="19" t="s">
        <v>497</v>
      </c>
      <c r="E226" s="19" t="s">
        <v>136</v>
      </c>
      <c r="F226" s="19" t="s">
        <v>934</v>
      </c>
      <c r="G226" s="20">
        <v>750</v>
      </c>
      <c r="I226" s="20">
        <v>25</v>
      </c>
      <c r="J226" s="4">
        <f t="shared" si="41"/>
        <v>775</v>
      </c>
      <c r="K226" s="4">
        <f t="shared" si="42"/>
        <v>960</v>
      </c>
      <c r="L226" s="4">
        <f t="shared" si="43"/>
        <v>1010</v>
      </c>
      <c r="M226" s="4">
        <f t="shared" si="44"/>
        <v>1225</v>
      </c>
      <c r="N226" s="4">
        <f t="shared" si="45"/>
        <v>930</v>
      </c>
      <c r="O226" s="4">
        <f t="shared" si="46"/>
        <v>1085</v>
      </c>
      <c r="P226" s="4">
        <f>IF((((Price30[Cost]*1.5)+50)/0.835)&lt;2500,
MROUND((((( Price30[Cost]*1.5)+50)/0.835)*1.05)*2,10),
MROUND((((( Price30[Cost]*1.5)+50)/0.835)*1.18)*2,10))</f>
        <v>2960</v>
      </c>
      <c r="Q226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1300</v>
      </c>
    </row>
    <row r="227" spans="1:17" x14ac:dyDescent="0.25">
      <c r="A227" s="1">
        <v>2026</v>
      </c>
      <c r="B227" s="18">
        <v>843</v>
      </c>
      <c r="C227" s="19" t="s">
        <v>171</v>
      </c>
      <c r="D227" s="19" t="s">
        <v>497</v>
      </c>
      <c r="E227" s="19" t="s">
        <v>136</v>
      </c>
      <c r="F227" s="19" t="s">
        <v>936</v>
      </c>
      <c r="G227" s="20">
        <v>850</v>
      </c>
      <c r="I227" s="20">
        <v>25</v>
      </c>
      <c r="J227" s="4">
        <f t="shared" si="41"/>
        <v>875</v>
      </c>
      <c r="K227" s="4">
        <f t="shared" si="42"/>
        <v>1085</v>
      </c>
      <c r="L227" s="4">
        <f t="shared" si="43"/>
        <v>1140</v>
      </c>
      <c r="M227" s="4">
        <f t="shared" si="44"/>
        <v>1400</v>
      </c>
      <c r="N227" s="4">
        <f t="shared" si="45"/>
        <v>1050</v>
      </c>
      <c r="O227" s="4">
        <f t="shared" si="46"/>
        <v>1220</v>
      </c>
      <c r="P227" s="4">
        <f>IF((((Price30[Cost]*1.5)+50)/0.835)&lt;2500,
MROUND((((( Price30[Cost]*1.5)+50)/0.835)*1.05)*2,10),
MROUND((((( Price30[Cost]*1.5)+50)/0.835)*1.18)*2,10))</f>
        <v>3330</v>
      </c>
      <c r="Q227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1470</v>
      </c>
    </row>
    <row r="228" spans="1:17" x14ac:dyDescent="0.25">
      <c r="A228" s="1">
        <v>2026</v>
      </c>
      <c r="B228" s="18">
        <v>844</v>
      </c>
      <c r="C228" s="19" t="s">
        <v>171</v>
      </c>
      <c r="D228" s="19" t="s">
        <v>497</v>
      </c>
      <c r="E228" s="19" t="s">
        <v>136</v>
      </c>
      <c r="F228" s="19" t="s">
        <v>937</v>
      </c>
      <c r="G228" s="20">
        <v>750</v>
      </c>
      <c r="I228" s="20">
        <v>25</v>
      </c>
      <c r="J228" s="4">
        <f t="shared" si="41"/>
        <v>775</v>
      </c>
      <c r="K228" s="4">
        <f t="shared" si="42"/>
        <v>960</v>
      </c>
      <c r="L228" s="4">
        <f t="shared" si="43"/>
        <v>1010</v>
      </c>
      <c r="M228" s="4">
        <f t="shared" si="44"/>
        <v>1225</v>
      </c>
      <c r="N228" s="4">
        <f t="shared" si="45"/>
        <v>930</v>
      </c>
      <c r="O228" s="4">
        <f t="shared" si="46"/>
        <v>1085</v>
      </c>
      <c r="P228" s="4">
        <f>IF((((Price30[Cost]*1.5)+50)/0.835)&lt;2500,
MROUND((((( Price30[Cost]*1.5)+50)/0.835)*1.05)*2,10),
MROUND((((( Price30[Cost]*1.5)+50)/0.835)*1.18)*2,10))</f>
        <v>2960</v>
      </c>
      <c r="Q228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1300</v>
      </c>
    </row>
    <row r="229" spans="1:17" x14ac:dyDescent="0.25">
      <c r="A229" s="1">
        <v>2026</v>
      </c>
      <c r="B229" s="18">
        <v>845</v>
      </c>
      <c r="C229" s="19" t="s">
        <v>171</v>
      </c>
      <c r="D229" s="19" t="s">
        <v>497</v>
      </c>
      <c r="E229" s="19" t="s">
        <v>673</v>
      </c>
      <c r="F229" s="19" t="s">
        <v>839</v>
      </c>
      <c r="G229" s="20">
        <v>675</v>
      </c>
      <c r="I229" s="20">
        <v>25</v>
      </c>
      <c r="J229" s="4">
        <f t="shared" si="41"/>
        <v>700</v>
      </c>
      <c r="K229" s="4">
        <f t="shared" si="42"/>
        <v>865</v>
      </c>
      <c r="L229" s="4">
        <f t="shared" si="43"/>
        <v>910</v>
      </c>
      <c r="M229" s="4">
        <f t="shared" si="44"/>
        <v>1125</v>
      </c>
      <c r="N229" s="4">
        <f t="shared" si="45"/>
        <v>840</v>
      </c>
      <c r="O229" s="4">
        <f t="shared" si="46"/>
        <v>975</v>
      </c>
      <c r="P229" s="4">
        <f>IF((((Price30[Cost]*1.5)+50)/0.835)&lt;2500,
MROUND((((( Price30[Cost]*1.5)+50)/0.835)*1.05)*2,10),
MROUND((((( Price30[Cost]*1.5)+50)/0.835)*1.18)*2,10))</f>
        <v>2670</v>
      </c>
      <c r="Q229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1200</v>
      </c>
    </row>
    <row r="230" spans="1:17" x14ac:dyDescent="0.25">
      <c r="A230" s="1">
        <v>2026</v>
      </c>
      <c r="B230" s="18">
        <v>8451</v>
      </c>
      <c r="C230" s="19" t="s">
        <v>171</v>
      </c>
      <c r="D230" s="19" t="s">
        <v>497</v>
      </c>
      <c r="E230" s="19" t="s">
        <v>673</v>
      </c>
      <c r="F230" s="19" t="s">
        <v>916</v>
      </c>
      <c r="G230" s="20">
        <v>675</v>
      </c>
      <c r="I230" s="20">
        <v>25</v>
      </c>
      <c r="J230" s="4">
        <f>IF(SUMIF(G230:I230,"&lt;&gt;")=0,"",SUM(G230:I230))</f>
        <v>700</v>
      </c>
      <c r="K230" s="4">
        <f>IF(ISNUMBER(L230),
   IF(CEILING(ROUND(L230*0.95,2),5)=420,
      425,
      CEILING(ROUND(L230*0.95,2),5)
   ),
   ""
)</f>
        <v>865</v>
      </c>
      <c r="L230" s="4">
        <f>IF(AND(ISNUMBER(J230),ISNUMBER(G230)),
   IF(CEILING(ROUND(J230*1.3,2),5)=420,
      425,
      CEILING(ROUND(J230*1.3,2),5)
   ),
   ""
)</f>
        <v>910</v>
      </c>
      <c r="M230" s="4">
        <f>IF(AND(ISNUMBER(J230),ISNUMBER(G230)),
   IF(
      CEILING(
         ROUND((J230*1.5) * IF(J230*1.5 &lt;= 2500, 1.05, 1.18), 2),
         IF(ROUND((J230*1.5) * IF(J230*1.5 &lt;= 2500, 1.05, 1.18), 2) &lt; 2500, 25, 50)
      )=420,
      425,
      CEILING(
         ROUND((J230*1.5) * IF(J230*1.5 &lt;= 2500, 1.05, 1.18), 2),
         IF(ROUND((J230*1.5) * IF(J230*1.5 &lt;= 2500, 1.05, 1.18), 2) &lt; 2500, 25, 50)
      )
   ),
   ""
)</f>
        <v>1125</v>
      </c>
      <c r="N230" s="4">
        <f>IF(ISNUMBER(G230),
   IF(CEILING(ROUND(L230*0.92,2),5)=420,
      425,
      CEILING(ROUND(L230*0.92,2),5)
   ),
   ""
)</f>
        <v>840</v>
      </c>
      <c r="O230" s="4">
        <f>IF(ISNUMBER(L230),
   IF(CEILING(ROUND(L230*1.07,2),5)=420,
      425,
      CEILING(ROUND(L230*1.07,2),5)
   ),
   ""
)</f>
        <v>975</v>
      </c>
      <c r="P230" s="4">
        <f>IF((((Price30[Cost]*1.5)+50)/0.835)&lt;2500,
MROUND((((( Price30[Cost]*1.5)+50)/0.835)*1.05)*2,10),
MROUND((((( Price30[Cost]*1.5)+50)/0.835)*1.18)*2,10))</f>
        <v>2670</v>
      </c>
      <c r="Q230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1200</v>
      </c>
    </row>
    <row r="231" spans="1:17" x14ac:dyDescent="0.25">
      <c r="A231" s="1">
        <v>2026</v>
      </c>
      <c r="B231" s="18">
        <v>846</v>
      </c>
      <c r="C231" s="19" t="s">
        <v>171</v>
      </c>
      <c r="D231" s="19" t="s">
        <v>497</v>
      </c>
      <c r="E231" s="19" t="s">
        <v>136</v>
      </c>
      <c r="F231" s="19" t="s">
        <v>829</v>
      </c>
      <c r="G231" s="20">
        <v>550</v>
      </c>
      <c r="I231" s="20">
        <v>25</v>
      </c>
      <c r="J231" s="4">
        <f>IF(SUMIF(G231:I231,"&lt;&gt;")=0,"",SUM(G231:I231))</f>
        <v>575</v>
      </c>
      <c r="K231" s="4">
        <f t="shared" si="42"/>
        <v>715</v>
      </c>
      <c r="L231" s="4">
        <f t="shared" si="43"/>
        <v>750</v>
      </c>
      <c r="M231" s="4">
        <f t="shared" si="44"/>
        <v>925</v>
      </c>
      <c r="N231" s="4">
        <f t="shared" si="45"/>
        <v>690</v>
      </c>
      <c r="O231" s="4">
        <f t="shared" si="46"/>
        <v>805</v>
      </c>
      <c r="P231" s="4">
        <f>IF((((Price30[Cost]*1.5)+50)/0.835)&lt;2500,
MROUND((((( Price30[Cost]*1.5)+50)/0.835)*1.05)*2,10),
MROUND((((( Price30[Cost]*1.5)+50)/0.835)*1.18)*2,10))</f>
        <v>2200</v>
      </c>
      <c r="Q231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1000</v>
      </c>
    </row>
    <row r="232" spans="1:17" x14ac:dyDescent="0.25">
      <c r="A232" s="1">
        <v>2026</v>
      </c>
      <c r="B232" s="18">
        <v>847</v>
      </c>
      <c r="C232" s="19" t="s">
        <v>938</v>
      </c>
      <c r="D232" s="19" t="s">
        <v>494</v>
      </c>
      <c r="E232" s="19" t="s">
        <v>136</v>
      </c>
      <c r="F232" s="19" t="s">
        <v>939</v>
      </c>
      <c r="G232" s="20">
        <v>850</v>
      </c>
      <c r="I232" s="20">
        <v>25</v>
      </c>
      <c r="J232" s="4">
        <f>IF(SUMIF(G232:I232,"&lt;&gt;")=0,"",SUM(G232:I232))</f>
        <v>875</v>
      </c>
      <c r="K232" s="4">
        <f>IF(ISNUMBER(L232),
   IF(CEILING(ROUND(L232*0.95,2),5)=420,
      425,
      CEILING(ROUND(L232*0.95,2),5)
   ),
   ""
)</f>
        <v>1085</v>
      </c>
      <c r="L232" s="4">
        <f>IF(AND(ISNUMBER(J232),ISNUMBER(G232)),
   IF(CEILING(ROUND(J232*1.3,2),5)=420,
      425,
      CEILING(ROUND(J232*1.3,2),5)
   ),
   ""
)</f>
        <v>1140</v>
      </c>
      <c r="M232" s="4">
        <f>IF(AND(ISNUMBER(J232),ISNUMBER(G232)),
   IF(
      CEILING(
         ROUND((J232*1.5) * IF(J232*1.5 &lt;= 2500, 1.05, 1.18), 2),
         IF(ROUND((J232*1.5) * IF(J232*1.5 &lt;= 2500, 1.05, 1.18), 2) &lt; 2500, 25, 50)
      )=420,
      425,
      CEILING(
         ROUND((J232*1.5) * IF(J232*1.5 &lt;= 2500, 1.05, 1.18), 2),
         IF(ROUND((J232*1.5) * IF(J232*1.5 &lt;= 2500, 1.05, 1.18), 2) &lt; 2500, 25, 50)
      )
   ),
   ""
)</f>
        <v>1400</v>
      </c>
      <c r="N232" s="4">
        <f>IF(ISNUMBER(G232),
   IF(CEILING(ROUND(L232*0.92,2),5)=420,
      425,
      CEILING(ROUND(L232*0.92,2),5)
   ),
   ""
)</f>
        <v>1050</v>
      </c>
      <c r="O232" s="4">
        <f>IF(ISNUMBER(L232),
   IF(CEILING(ROUND(L232*1.07,2),5)=420,
      425,
      CEILING(ROUND(L232*1.07,2),5)
   ),
   ""
)</f>
        <v>1220</v>
      </c>
      <c r="P232" s="4">
        <f>IF((((Price30[Cost]*1.5)+50)/0.835)&lt;2500,
MROUND((((( Price30[Cost]*1.5)+50)/0.835)*1.05)*2,10),
MROUND((((( Price30[Cost]*1.5)+50)/0.835)*1.18)*2,10))</f>
        <v>3330</v>
      </c>
      <c r="Q232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1470</v>
      </c>
    </row>
    <row r="233" spans="1:17" x14ac:dyDescent="0.25">
      <c r="A233" s="1"/>
      <c r="B233" s="18">
        <v>848</v>
      </c>
      <c r="C233" s="19" t="s">
        <v>171</v>
      </c>
      <c r="D233" s="19" t="s">
        <v>497</v>
      </c>
      <c r="E233" s="19" t="s">
        <v>290</v>
      </c>
      <c r="F233" s="19" t="s">
        <v>118</v>
      </c>
      <c r="G233" s="20">
        <v>840</v>
      </c>
      <c r="I233" s="20">
        <v>25</v>
      </c>
      <c r="J233" s="4">
        <f t="shared" si="41"/>
        <v>865</v>
      </c>
      <c r="K233" s="4">
        <f t="shared" si="42"/>
        <v>1070</v>
      </c>
      <c r="L233" s="4">
        <f t="shared" si="43"/>
        <v>1125</v>
      </c>
      <c r="M233" s="4">
        <f t="shared" si="44"/>
        <v>1375</v>
      </c>
      <c r="N233" s="4">
        <f t="shared" si="45"/>
        <v>1035</v>
      </c>
      <c r="O233" s="4">
        <f t="shared" si="46"/>
        <v>1205</v>
      </c>
      <c r="P233" s="4">
        <f>IF((((Price30[Cost]*1.5)+50)/0.835)&lt;2500,
MROUND((((( Price30[Cost]*1.5)+50)/0.835)*1.05)*2,10),
MROUND((((( Price30[Cost]*1.5)+50)/0.835)*1.18)*2,10))</f>
        <v>3290</v>
      </c>
      <c r="Q233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1450</v>
      </c>
    </row>
    <row r="234" spans="1:17" x14ac:dyDescent="0.25">
      <c r="A234" s="1">
        <v>2025</v>
      </c>
      <c r="B234" s="18">
        <v>849</v>
      </c>
      <c r="C234" s="19" t="s">
        <v>171</v>
      </c>
      <c r="D234" s="19" t="s">
        <v>497</v>
      </c>
      <c r="E234" s="19" t="s">
        <v>136</v>
      </c>
      <c r="F234" s="19" t="s">
        <v>543</v>
      </c>
      <c r="G234" s="20">
        <v>575</v>
      </c>
      <c r="I234" s="20">
        <v>25</v>
      </c>
      <c r="J234" s="4">
        <f t="shared" si="41"/>
        <v>600</v>
      </c>
      <c r="K234" s="4">
        <f t="shared" si="42"/>
        <v>745</v>
      </c>
      <c r="L234" s="4">
        <f t="shared" si="43"/>
        <v>780</v>
      </c>
      <c r="M234" s="4">
        <f t="shared" si="44"/>
        <v>950</v>
      </c>
      <c r="N234" s="4">
        <f t="shared" si="45"/>
        <v>720</v>
      </c>
      <c r="O234" s="4">
        <f t="shared" si="46"/>
        <v>835</v>
      </c>
      <c r="P234" s="4">
        <f>IF((((Price30[Cost]*1.5)+50)/0.835)&lt;2500,
MROUND((((( Price30[Cost]*1.5)+50)/0.835)*1.05)*2,10),
MROUND((((( Price30[Cost]*1.5)+50)/0.835)*1.18)*2,10))</f>
        <v>2290</v>
      </c>
      <c r="Q234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1020</v>
      </c>
    </row>
    <row r="235" spans="1:17" x14ac:dyDescent="0.25">
      <c r="A235" s="1">
        <v>2025</v>
      </c>
      <c r="B235" s="18">
        <v>850</v>
      </c>
      <c r="C235" s="19" t="s">
        <v>171</v>
      </c>
      <c r="D235" s="19" t="s">
        <v>497</v>
      </c>
      <c r="E235" s="19" t="s">
        <v>136</v>
      </c>
      <c r="F235" s="19" t="s">
        <v>544</v>
      </c>
      <c r="G235" s="20">
        <v>600</v>
      </c>
      <c r="I235" s="20">
        <v>25</v>
      </c>
      <c r="J235" s="4">
        <f t="shared" si="41"/>
        <v>625</v>
      </c>
      <c r="K235" s="4">
        <f t="shared" si="42"/>
        <v>775</v>
      </c>
      <c r="L235" s="4">
        <f t="shared" si="43"/>
        <v>815</v>
      </c>
      <c r="M235" s="4">
        <f t="shared" si="44"/>
        <v>1000</v>
      </c>
      <c r="N235" s="4">
        <f t="shared" si="45"/>
        <v>750</v>
      </c>
      <c r="O235" s="4">
        <f t="shared" si="46"/>
        <v>875</v>
      </c>
      <c r="P235" s="4">
        <f>IF((((Price30[Cost]*1.5)+50)/0.835)&lt;2500,
MROUND((((( Price30[Cost]*1.5)+50)/0.835)*1.05)*2,10),
MROUND((((( Price30[Cost]*1.5)+50)/0.835)*1.18)*2,10))</f>
        <v>2390</v>
      </c>
      <c r="Q235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1070</v>
      </c>
    </row>
    <row r="236" spans="1:17" x14ac:dyDescent="0.25">
      <c r="A236" s="1">
        <v>2025</v>
      </c>
      <c r="B236" s="18">
        <v>851</v>
      </c>
      <c r="C236" s="19" t="s">
        <v>171</v>
      </c>
      <c r="D236" s="19" t="s">
        <v>497</v>
      </c>
      <c r="E236" s="19" t="s">
        <v>136</v>
      </c>
      <c r="F236" s="19" t="s">
        <v>545</v>
      </c>
      <c r="G236" s="20">
        <v>600</v>
      </c>
      <c r="I236" s="20">
        <v>25</v>
      </c>
      <c r="J236" s="4">
        <f t="shared" si="41"/>
        <v>625</v>
      </c>
      <c r="K236" s="4">
        <f t="shared" si="42"/>
        <v>775</v>
      </c>
      <c r="L236" s="4">
        <f t="shared" si="43"/>
        <v>815</v>
      </c>
      <c r="M236" s="4">
        <f t="shared" si="44"/>
        <v>1000</v>
      </c>
      <c r="N236" s="4">
        <f t="shared" si="45"/>
        <v>750</v>
      </c>
      <c r="O236" s="4">
        <f t="shared" si="46"/>
        <v>875</v>
      </c>
      <c r="P236" s="4">
        <f>IF((((Price30[Cost]*1.5)+50)/0.835)&lt;2500,
MROUND((((( Price30[Cost]*1.5)+50)/0.835)*1.05)*2,10),
MROUND((((( Price30[Cost]*1.5)+50)/0.835)*1.18)*2,10))</f>
        <v>2390</v>
      </c>
      <c r="Q236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1070</v>
      </c>
    </row>
    <row r="237" spans="1:17" x14ac:dyDescent="0.25">
      <c r="A237" s="1">
        <v>2026</v>
      </c>
      <c r="B237" s="18">
        <v>8511</v>
      </c>
      <c r="C237" s="19" t="s">
        <v>171</v>
      </c>
      <c r="D237" s="19" t="s">
        <v>497</v>
      </c>
      <c r="E237" s="19"/>
      <c r="F237" s="19" t="s">
        <v>986</v>
      </c>
      <c r="G237" s="20">
        <v>335</v>
      </c>
      <c r="I237" s="20">
        <v>325</v>
      </c>
      <c r="J237" s="4">
        <f t="shared" si="41"/>
        <v>660</v>
      </c>
      <c r="K237" s="4">
        <f t="shared" si="42"/>
        <v>820</v>
      </c>
      <c r="L237" s="4">
        <f t="shared" si="43"/>
        <v>860</v>
      </c>
      <c r="M237" s="4">
        <f t="shared" si="44"/>
        <v>1050</v>
      </c>
      <c r="N237" s="4">
        <f t="shared" si="45"/>
        <v>795</v>
      </c>
      <c r="O237" s="4">
        <f t="shared" si="46"/>
        <v>925</v>
      </c>
      <c r="P237" s="4">
        <f>IF((((Price30[Cost]*1.5)+50)/0.835)&lt;2500,
MROUND((((( Price30[Cost]*1.5)+50)/0.835)*1.05)*2,10),
MROUND((((( Price30[Cost]*1.5)+50)/0.835)*1.18)*2,10))</f>
        <v>1390</v>
      </c>
      <c r="Q237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1120</v>
      </c>
    </row>
    <row r="238" spans="1:17" x14ac:dyDescent="0.25">
      <c r="A238" s="1"/>
      <c r="B238" s="18">
        <v>8512</v>
      </c>
      <c r="C238" s="19" t="s">
        <v>171</v>
      </c>
      <c r="D238" s="19" t="s">
        <v>497</v>
      </c>
      <c r="E238" s="19"/>
      <c r="F238" s="19" t="s">
        <v>33</v>
      </c>
      <c r="G238" s="20">
        <v>185</v>
      </c>
      <c r="I238" s="20">
        <v>207</v>
      </c>
      <c r="J238" s="4">
        <f t="shared" si="41"/>
        <v>392</v>
      </c>
      <c r="K238" s="4">
        <f t="shared" si="42"/>
        <v>485</v>
      </c>
      <c r="L238" s="4">
        <f t="shared" si="43"/>
        <v>510</v>
      </c>
      <c r="M238" s="4">
        <f t="shared" si="44"/>
        <v>625</v>
      </c>
      <c r="N238" s="4">
        <f t="shared" si="45"/>
        <v>470</v>
      </c>
      <c r="O238" s="4">
        <f t="shared" si="46"/>
        <v>550</v>
      </c>
      <c r="P238" s="4">
        <f>IF((((Price30[Cost]*1.5)+50)/0.835)&lt;2500,
MROUND((((( Price30[Cost]*1.5)+50)/0.835)*1.05)*2,10),
MROUND((((( Price30[Cost]*1.5)+50)/0.835)*1.18)*2,10))</f>
        <v>820</v>
      </c>
      <c r="Q238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700</v>
      </c>
    </row>
    <row r="239" spans="1:17" x14ac:dyDescent="0.25">
      <c r="A239" s="1"/>
      <c r="B239" s="18">
        <v>8514</v>
      </c>
      <c r="C239" s="19" t="s">
        <v>171</v>
      </c>
      <c r="D239" s="19" t="s">
        <v>497</v>
      </c>
      <c r="E239" s="19"/>
      <c r="F239" s="19" t="s">
        <v>87</v>
      </c>
      <c r="G239" s="20">
        <v>335</v>
      </c>
      <c r="I239" s="20">
        <v>1100</v>
      </c>
      <c r="J239" s="4">
        <f t="shared" si="41"/>
        <v>1435</v>
      </c>
      <c r="K239" s="4">
        <f t="shared" si="42"/>
        <v>1780</v>
      </c>
      <c r="L239" s="4">
        <f t="shared" si="43"/>
        <v>1870</v>
      </c>
      <c r="M239" s="4">
        <f t="shared" si="44"/>
        <v>2275</v>
      </c>
      <c r="N239" s="4">
        <f t="shared" si="45"/>
        <v>1725</v>
      </c>
      <c r="O239" s="4">
        <f t="shared" si="46"/>
        <v>2005</v>
      </c>
      <c r="P239" s="4">
        <f>IF((((Price30[Cost]*1.5)+50)/0.835)&lt;2500,
MROUND((((( Price30[Cost]*1.5)+50)/0.835)*1.05)*2,10),
MROUND((((( Price30[Cost]*1.5)+50)/0.835)*1.18)*2,10))</f>
        <v>1390</v>
      </c>
      <c r="Q239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2350</v>
      </c>
    </row>
    <row r="240" spans="1:17" x14ac:dyDescent="0.25">
      <c r="A240" s="1">
        <v>2026</v>
      </c>
      <c r="B240" s="18">
        <v>8515</v>
      </c>
      <c r="C240" s="19" t="s">
        <v>171</v>
      </c>
      <c r="D240" s="19" t="s">
        <v>494</v>
      </c>
      <c r="E240" s="19" t="s">
        <v>874</v>
      </c>
      <c r="F240" s="19" t="s">
        <v>877</v>
      </c>
      <c r="G240" s="20">
        <v>350</v>
      </c>
      <c r="I240" s="20">
        <v>25</v>
      </c>
      <c r="J240" s="4">
        <f t="shared" si="41"/>
        <v>375</v>
      </c>
      <c r="K240" s="4">
        <f t="shared" si="42"/>
        <v>470</v>
      </c>
      <c r="L240" s="4">
        <f t="shared" si="43"/>
        <v>490</v>
      </c>
      <c r="M240" s="4">
        <f t="shared" si="44"/>
        <v>600</v>
      </c>
      <c r="N240" s="4">
        <f t="shared" si="45"/>
        <v>455</v>
      </c>
      <c r="O240" s="4">
        <f t="shared" si="46"/>
        <v>525</v>
      </c>
      <c r="P240" s="4">
        <f>IF((((Price30[Cost]*1.5)+50)/0.835)&lt;2500,
MROUND((((( Price30[Cost]*1.5)+50)/0.835)*1.05)*2,10),
MROUND((((( Price30[Cost]*1.5)+50)/0.835)*1.18)*2,10))</f>
        <v>1450</v>
      </c>
      <c r="Q240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670</v>
      </c>
    </row>
    <row r="241" spans="1:17" x14ac:dyDescent="0.25">
      <c r="A241" s="1">
        <v>2026</v>
      </c>
      <c r="B241" s="18">
        <v>8516</v>
      </c>
      <c r="C241" s="19" t="s">
        <v>171</v>
      </c>
      <c r="D241" s="19" t="s">
        <v>497</v>
      </c>
      <c r="E241" s="19" t="s">
        <v>574</v>
      </c>
      <c r="F241" s="19" t="s">
        <v>576</v>
      </c>
      <c r="G241" s="20">
        <v>1150</v>
      </c>
      <c r="I241" s="20">
        <v>25</v>
      </c>
      <c r="J241" s="4">
        <f t="shared" si="41"/>
        <v>1175</v>
      </c>
      <c r="K241" s="4">
        <f t="shared" si="42"/>
        <v>1455</v>
      </c>
      <c r="L241" s="4">
        <f t="shared" si="43"/>
        <v>1530</v>
      </c>
      <c r="M241" s="4">
        <f t="shared" si="44"/>
        <v>1875</v>
      </c>
      <c r="N241" s="4">
        <f t="shared" si="45"/>
        <v>1410</v>
      </c>
      <c r="O241" s="4">
        <f t="shared" si="46"/>
        <v>1640</v>
      </c>
      <c r="P241" s="4">
        <f>IF((((Price30[Cost]*1.5)+50)/0.835)&lt;2500,
MROUND((((( Price30[Cost]*1.5)+50)/0.835)*1.05)*2,10),
MROUND((((( Price30[Cost]*1.5)+50)/0.835)*1.18)*2,10))</f>
        <v>4460</v>
      </c>
      <c r="Q241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1950</v>
      </c>
    </row>
    <row r="242" spans="1:17" x14ac:dyDescent="0.25">
      <c r="A242" s="1"/>
      <c r="B242" s="18">
        <v>8517</v>
      </c>
      <c r="C242" s="19" t="s">
        <v>171</v>
      </c>
      <c r="D242" s="19" t="s">
        <v>497</v>
      </c>
      <c r="E242" s="19"/>
      <c r="F242" s="19" t="s">
        <v>102</v>
      </c>
      <c r="G242" s="20">
        <v>235</v>
      </c>
      <c r="I242" s="20">
        <v>25</v>
      </c>
      <c r="J242" s="4">
        <f t="shared" si="41"/>
        <v>260</v>
      </c>
      <c r="K242" s="4">
        <f t="shared" si="42"/>
        <v>325</v>
      </c>
      <c r="L242" s="4">
        <f t="shared" si="43"/>
        <v>340</v>
      </c>
      <c r="M242" s="4">
        <f t="shared" si="44"/>
        <v>425</v>
      </c>
      <c r="N242" s="4">
        <f t="shared" si="45"/>
        <v>315</v>
      </c>
      <c r="O242" s="4">
        <f t="shared" si="46"/>
        <v>365</v>
      </c>
      <c r="P242" s="4">
        <f>IF((((Price30[Cost]*1.5)+50)/0.835)&lt;2500,
MROUND((((( Price30[Cost]*1.5)+50)/0.835)*1.05)*2,10),
MROUND((((( Price30[Cost]*1.5)+50)/0.835)*1.18)*2,10))</f>
        <v>1010</v>
      </c>
      <c r="Q242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500</v>
      </c>
    </row>
    <row r="243" spans="1:17" x14ac:dyDescent="0.25">
      <c r="A243" s="1"/>
      <c r="B243" s="18">
        <v>8518</v>
      </c>
      <c r="C243" s="19" t="s">
        <v>171</v>
      </c>
      <c r="D243" s="19" t="s">
        <v>497</v>
      </c>
      <c r="E243" s="19"/>
      <c r="F243" s="19" t="s">
        <v>116</v>
      </c>
      <c r="G243" s="20">
        <v>185</v>
      </c>
      <c r="I243" s="20">
        <v>1022</v>
      </c>
      <c r="J243" s="4">
        <f t="shared" si="41"/>
        <v>1207</v>
      </c>
      <c r="K243" s="4">
        <f t="shared" si="42"/>
        <v>1495</v>
      </c>
      <c r="L243" s="4">
        <f t="shared" si="43"/>
        <v>1570</v>
      </c>
      <c r="M243" s="4">
        <f t="shared" si="44"/>
        <v>1925</v>
      </c>
      <c r="N243" s="4">
        <f t="shared" si="45"/>
        <v>1445</v>
      </c>
      <c r="O243" s="4">
        <f t="shared" si="46"/>
        <v>1680</v>
      </c>
      <c r="P243" s="4">
        <f>IF((((Price30[Cost]*1.5)+50)/0.835)&lt;2500,
MROUND((((( Price30[Cost]*1.5)+50)/0.835)*1.05)*2,10),
MROUND((((( Price30[Cost]*1.5)+50)/0.835)*1.18)*2,10))</f>
        <v>820</v>
      </c>
      <c r="Q243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2000</v>
      </c>
    </row>
    <row r="244" spans="1:17" x14ac:dyDescent="0.25">
      <c r="A244" s="1">
        <v>2026</v>
      </c>
      <c r="B244" s="18">
        <v>852</v>
      </c>
      <c r="C244" s="19" t="s">
        <v>171</v>
      </c>
      <c r="D244" s="19" t="s">
        <v>497</v>
      </c>
      <c r="E244" s="19" t="s">
        <v>136</v>
      </c>
      <c r="F244" s="19" t="s">
        <v>935</v>
      </c>
      <c r="G244" s="20">
        <v>500</v>
      </c>
      <c r="I244" s="20">
        <v>25</v>
      </c>
      <c r="J244" s="4">
        <f t="shared" si="41"/>
        <v>525</v>
      </c>
      <c r="K244" s="4">
        <f t="shared" si="42"/>
        <v>655</v>
      </c>
      <c r="L244" s="4">
        <f t="shared" si="43"/>
        <v>685</v>
      </c>
      <c r="M244" s="4">
        <f t="shared" si="44"/>
        <v>850</v>
      </c>
      <c r="N244" s="4">
        <f t="shared" si="45"/>
        <v>635</v>
      </c>
      <c r="O244" s="4">
        <f t="shared" si="46"/>
        <v>735</v>
      </c>
      <c r="P244" s="4">
        <f>IF((((Price30[Cost]*1.5)+50)/0.835)&lt;2500,
MROUND((((( Price30[Cost]*1.5)+50)/0.835)*1.05)*2,10),
MROUND((((( Price30[Cost]*1.5)+50)/0.835)*1.18)*2,10))</f>
        <v>2010</v>
      </c>
      <c r="Q244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920</v>
      </c>
    </row>
    <row r="245" spans="1:17" x14ac:dyDescent="0.25">
      <c r="A245" s="1">
        <v>2026</v>
      </c>
      <c r="B245" s="18">
        <v>853</v>
      </c>
      <c r="C245" s="19" t="s">
        <v>171</v>
      </c>
      <c r="D245" s="19" t="s">
        <v>497</v>
      </c>
      <c r="E245" s="19" t="s">
        <v>136</v>
      </c>
      <c r="F245" s="19" t="s">
        <v>933</v>
      </c>
      <c r="G245" s="20">
        <v>1100</v>
      </c>
      <c r="I245" s="20">
        <v>25</v>
      </c>
      <c r="J245" s="4">
        <f t="shared" si="41"/>
        <v>1125</v>
      </c>
      <c r="K245" s="4">
        <f t="shared" si="42"/>
        <v>1395</v>
      </c>
      <c r="L245" s="4">
        <f t="shared" si="43"/>
        <v>1465</v>
      </c>
      <c r="M245" s="4">
        <f t="shared" si="44"/>
        <v>1775</v>
      </c>
      <c r="N245" s="4">
        <f t="shared" si="45"/>
        <v>1350</v>
      </c>
      <c r="O245" s="4">
        <f t="shared" si="46"/>
        <v>1570</v>
      </c>
      <c r="P245" s="4">
        <f>IF((((Price30[Cost]*1.5)+50)/0.835)&lt;2500,
MROUND((((( Price30[Cost]*1.5)+50)/0.835)*1.05)*2,10),
MROUND((((( Price30[Cost]*1.5)+50)/0.835)*1.18)*2,10))</f>
        <v>4280</v>
      </c>
      <c r="Q245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1850</v>
      </c>
    </row>
    <row r="246" spans="1:17" x14ac:dyDescent="0.25">
      <c r="A246" s="1">
        <v>2026</v>
      </c>
      <c r="B246" s="18">
        <v>854</v>
      </c>
      <c r="C246" s="19" t="s">
        <v>171</v>
      </c>
      <c r="D246" s="19" t="s">
        <v>497</v>
      </c>
      <c r="E246" s="19" t="s">
        <v>174</v>
      </c>
      <c r="F246" s="19" t="s">
        <v>994</v>
      </c>
      <c r="G246" s="20">
        <v>670</v>
      </c>
      <c r="I246" s="20">
        <v>25</v>
      </c>
      <c r="J246" s="4">
        <f t="shared" si="41"/>
        <v>695</v>
      </c>
      <c r="K246" s="4">
        <f t="shared" si="42"/>
        <v>860</v>
      </c>
      <c r="L246" s="4">
        <f t="shared" si="43"/>
        <v>905</v>
      </c>
      <c r="M246" s="4">
        <f t="shared" si="44"/>
        <v>1100</v>
      </c>
      <c r="N246" s="4">
        <f t="shared" si="45"/>
        <v>835</v>
      </c>
      <c r="O246" s="4">
        <f t="shared" si="46"/>
        <v>970</v>
      </c>
      <c r="P246" s="4">
        <f>IF((((Price30[Cost]*1.5)+50)/0.835)&lt;2500,
MROUND((((( Price30[Cost]*1.5)+50)/0.835)*1.05)*2,10),
MROUND((((( Price30[Cost]*1.5)+50)/0.835)*1.18)*2,10))</f>
        <v>2650</v>
      </c>
      <c r="Q246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1170</v>
      </c>
    </row>
    <row r="247" spans="1:17" x14ac:dyDescent="0.25">
      <c r="A247" s="1"/>
      <c r="B247" s="18">
        <v>855</v>
      </c>
      <c r="C247" s="19" t="s">
        <v>171</v>
      </c>
      <c r="D247" s="19" t="s">
        <v>497</v>
      </c>
      <c r="E247" s="19" t="s">
        <v>290</v>
      </c>
      <c r="F247" s="19" t="s">
        <v>60</v>
      </c>
      <c r="G247" s="20">
        <v>700</v>
      </c>
      <c r="I247" s="20">
        <v>25</v>
      </c>
      <c r="J247" s="4">
        <f t="shared" si="41"/>
        <v>725</v>
      </c>
      <c r="K247" s="4">
        <f t="shared" si="42"/>
        <v>900</v>
      </c>
      <c r="L247" s="4">
        <f t="shared" si="43"/>
        <v>945</v>
      </c>
      <c r="M247" s="4">
        <f t="shared" si="44"/>
        <v>1150</v>
      </c>
      <c r="N247" s="4">
        <f t="shared" si="45"/>
        <v>870</v>
      </c>
      <c r="O247" s="4">
        <f t="shared" si="46"/>
        <v>1015</v>
      </c>
      <c r="P247" s="4">
        <f>IF((((Price30[Cost]*1.5)+50)/0.835)&lt;2500,
MROUND((((( Price30[Cost]*1.5)+50)/0.835)*1.05)*2,10),
MROUND((((( Price30[Cost]*1.5)+50)/0.835)*1.18)*2,10))</f>
        <v>2770</v>
      </c>
      <c r="Q247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1220</v>
      </c>
    </row>
    <row r="248" spans="1:17" x14ac:dyDescent="0.25">
      <c r="A248" s="1">
        <v>2025</v>
      </c>
      <c r="B248" s="18">
        <v>856</v>
      </c>
      <c r="C248" s="19" t="s">
        <v>171</v>
      </c>
      <c r="D248" s="19" t="s">
        <v>497</v>
      </c>
      <c r="E248" s="19" t="s">
        <v>136</v>
      </c>
      <c r="F248" s="19" t="s">
        <v>546</v>
      </c>
      <c r="G248" s="20">
        <v>1000</v>
      </c>
      <c r="I248" s="20">
        <v>25</v>
      </c>
      <c r="J248" s="4">
        <f t="shared" si="41"/>
        <v>1025</v>
      </c>
      <c r="K248" s="4">
        <f t="shared" si="42"/>
        <v>1270</v>
      </c>
      <c r="L248" s="4">
        <f t="shared" si="43"/>
        <v>1335</v>
      </c>
      <c r="M248" s="4">
        <f t="shared" si="44"/>
        <v>1625</v>
      </c>
      <c r="N248" s="4">
        <f t="shared" si="45"/>
        <v>1230</v>
      </c>
      <c r="O248" s="4">
        <f t="shared" si="46"/>
        <v>1430</v>
      </c>
      <c r="P248" s="4">
        <f>IF((((Price30[Cost]*1.5)+50)/0.835)&lt;2500,
MROUND((((( Price30[Cost]*1.5)+50)/0.835)*1.05)*2,10),
MROUND((((( Price30[Cost]*1.5)+50)/0.835)*1.18)*2,10))</f>
        <v>3900</v>
      </c>
      <c r="Q248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1700</v>
      </c>
    </row>
    <row r="249" spans="1:17" x14ac:dyDescent="0.25">
      <c r="A249" s="1"/>
      <c r="B249" s="18">
        <v>857</v>
      </c>
      <c r="C249" s="19" t="s">
        <v>171</v>
      </c>
      <c r="D249" s="19" t="s">
        <v>497</v>
      </c>
      <c r="E249" s="19"/>
      <c r="F249" s="19" t="s">
        <v>64</v>
      </c>
      <c r="G249" s="20">
        <v>800</v>
      </c>
      <c r="I249" s="20">
        <v>25</v>
      </c>
      <c r="J249" s="4">
        <f t="shared" si="41"/>
        <v>825</v>
      </c>
      <c r="K249" s="4">
        <f t="shared" si="42"/>
        <v>1025</v>
      </c>
      <c r="L249" s="4">
        <f t="shared" si="43"/>
        <v>1075</v>
      </c>
      <c r="M249" s="4">
        <f t="shared" si="44"/>
        <v>1300</v>
      </c>
      <c r="N249" s="4">
        <f t="shared" si="45"/>
        <v>990</v>
      </c>
      <c r="O249" s="4">
        <f t="shared" si="46"/>
        <v>1155</v>
      </c>
      <c r="P249" s="4">
        <f>IF((((Price30[Cost]*1.5)+50)/0.835)&lt;2500,
MROUND((((( Price30[Cost]*1.5)+50)/0.835)*1.05)*2,10),
MROUND((((( Price30[Cost]*1.5)+50)/0.835)*1.18)*2,10))</f>
        <v>3140</v>
      </c>
      <c r="Q249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1370</v>
      </c>
    </row>
    <row r="250" spans="1:17" x14ac:dyDescent="0.25">
      <c r="A250" s="1"/>
      <c r="B250" s="18">
        <v>8571</v>
      </c>
      <c r="C250" s="19" t="s">
        <v>171</v>
      </c>
      <c r="D250" s="19" t="s">
        <v>497</v>
      </c>
      <c r="E250" s="19"/>
      <c r="F250" s="19" t="s">
        <v>96</v>
      </c>
      <c r="G250" s="20">
        <v>1000</v>
      </c>
      <c r="I250" s="20">
        <v>25</v>
      </c>
      <c r="J250" s="4">
        <f t="shared" si="41"/>
        <v>1025</v>
      </c>
      <c r="K250" s="4">
        <f t="shared" si="42"/>
        <v>1270</v>
      </c>
      <c r="L250" s="4">
        <f t="shared" si="43"/>
        <v>1335</v>
      </c>
      <c r="M250" s="4">
        <f t="shared" si="44"/>
        <v>1625</v>
      </c>
      <c r="N250" s="4">
        <f t="shared" si="45"/>
        <v>1230</v>
      </c>
      <c r="O250" s="4">
        <f t="shared" si="46"/>
        <v>1430</v>
      </c>
      <c r="P250" s="4">
        <f>IF((((Price30[Cost]*1.5)+50)/0.835)&lt;2500,
MROUND((((( Price30[Cost]*1.5)+50)/0.835)*1.05)*2,10),
MROUND((((( Price30[Cost]*1.5)+50)/0.835)*1.18)*2,10))</f>
        <v>3900</v>
      </c>
      <c r="Q250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1700</v>
      </c>
    </row>
    <row r="251" spans="1:17" x14ac:dyDescent="0.25">
      <c r="A251" s="1">
        <v>2025</v>
      </c>
      <c r="B251" s="18">
        <v>858</v>
      </c>
      <c r="C251" s="19" t="s">
        <v>171</v>
      </c>
      <c r="D251" s="19" t="s">
        <v>497</v>
      </c>
      <c r="E251" s="19" t="s">
        <v>174</v>
      </c>
      <c r="F251" s="19" t="s">
        <v>176</v>
      </c>
      <c r="G251" s="20">
        <v>850</v>
      </c>
      <c r="I251" s="20">
        <v>25</v>
      </c>
      <c r="J251" s="4">
        <f t="shared" si="41"/>
        <v>875</v>
      </c>
      <c r="K251" s="4">
        <f t="shared" si="42"/>
        <v>1085</v>
      </c>
      <c r="L251" s="4">
        <f t="shared" si="43"/>
        <v>1140</v>
      </c>
      <c r="M251" s="4">
        <f t="shared" si="44"/>
        <v>1400</v>
      </c>
      <c r="N251" s="4">
        <f t="shared" si="45"/>
        <v>1050</v>
      </c>
      <c r="O251" s="4">
        <f t="shared" si="46"/>
        <v>1220</v>
      </c>
      <c r="P251" s="4">
        <f>IF((((Price30[Cost]*1.5)+50)/0.835)&lt;2500,
MROUND((((( Price30[Cost]*1.5)+50)/0.835)*1.05)*2,10),
MROUND((((( Price30[Cost]*1.5)+50)/0.835)*1.18)*2,10))</f>
        <v>3330</v>
      </c>
      <c r="Q251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1470</v>
      </c>
    </row>
    <row r="252" spans="1:17" x14ac:dyDescent="0.25">
      <c r="A252" s="1">
        <v>2025</v>
      </c>
      <c r="B252" s="18">
        <v>859</v>
      </c>
      <c r="C252" s="19" t="s">
        <v>171</v>
      </c>
      <c r="D252" s="19" t="s">
        <v>497</v>
      </c>
      <c r="E252" s="19" t="s">
        <v>136</v>
      </c>
      <c r="F252" s="19" t="s">
        <v>542</v>
      </c>
      <c r="G252" s="20">
        <v>775</v>
      </c>
      <c r="I252" s="20">
        <v>25</v>
      </c>
      <c r="J252" s="4">
        <f t="shared" si="41"/>
        <v>800</v>
      </c>
      <c r="K252" s="4">
        <f t="shared" si="42"/>
        <v>990</v>
      </c>
      <c r="L252" s="4">
        <f t="shared" si="43"/>
        <v>1040</v>
      </c>
      <c r="M252" s="4">
        <f t="shared" si="44"/>
        <v>1275</v>
      </c>
      <c r="N252" s="4">
        <f t="shared" si="45"/>
        <v>960</v>
      </c>
      <c r="O252" s="4">
        <f t="shared" si="46"/>
        <v>1115</v>
      </c>
      <c r="P252" s="4">
        <f>IF((((Price30[Cost]*1.5)+50)/0.835)&lt;2500,
MROUND((((( Price30[Cost]*1.5)+50)/0.835)*1.05)*2,10),
MROUND((((( Price30[Cost]*1.5)+50)/0.835)*1.18)*2,10))</f>
        <v>3050</v>
      </c>
      <c r="Q252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1350</v>
      </c>
    </row>
    <row r="253" spans="1:17" x14ac:dyDescent="0.25">
      <c r="A253" s="1"/>
      <c r="B253" s="18">
        <v>860</v>
      </c>
      <c r="C253" s="19" t="s">
        <v>171</v>
      </c>
      <c r="D253" s="19" t="s">
        <v>497</v>
      </c>
      <c r="E253" s="19" t="s">
        <v>318</v>
      </c>
      <c r="F253" s="19" t="s">
        <v>319</v>
      </c>
      <c r="G253" s="20">
        <v>650</v>
      </c>
      <c r="I253" s="20">
        <v>25</v>
      </c>
      <c r="J253" s="4">
        <f t="shared" si="41"/>
        <v>675</v>
      </c>
      <c r="K253" s="4">
        <f t="shared" si="42"/>
        <v>840</v>
      </c>
      <c r="L253" s="4">
        <f t="shared" si="43"/>
        <v>880</v>
      </c>
      <c r="M253" s="4">
        <f t="shared" si="44"/>
        <v>1075</v>
      </c>
      <c r="N253" s="4">
        <f t="shared" si="45"/>
        <v>810</v>
      </c>
      <c r="O253" s="4">
        <f t="shared" si="46"/>
        <v>945</v>
      </c>
      <c r="P253" s="4">
        <f>IF((((Price30[Cost]*1.5)+50)/0.835)&lt;2500,
MROUND((((( Price30[Cost]*1.5)+50)/0.835)*1.05)*2,10),
MROUND((((( Price30[Cost]*1.5)+50)/0.835)*1.18)*2,10))</f>
        <v>2580</v>
      </c>
      <c r="Q253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1150</v>
      </c>
    </row>
    <row r="254" spans="1:17" x14ac:dyDescent="0.25">
      <c r="A254" s="1">
        <v>2026</v>
      </c>
      <c r="B254" s="18">
        <v>861</v>
      </c>
      <c r="C254" s="19" t="s">
        <v>171</v>
      </c>
      <c r="D254" s="19" t="s">
        <v>497</v>
      </c>
      <c r="E254" s="19" t="s">
        <v>290</v>
      </c>
      <c r="F254" s="19" t="s">
        <v>987</v>
      </c>
      <c r="G254" s="20">
        <v>375</v>
      </c>
      <c r="I254" s="20">
        <v>25</v>
      </c>
      <c r="J254" s="4">
        <f>IF(SUMIF(G254:I254,"&lt;&gt;")=0,"",SUM(G254:I254))</f>
        <v>400</v>
      </c>
      <c r="K254" s="4">
        <f>IF(ISNUMBER(L254),
   IF(CEILING(ROUND(L254*0.95,2),5)=420,
      425,
      CEILING(ROUND(L254*0.95,2),5)
   ),
   ""
)</f>
        <v>495</v>
      </c>
      <c r="L254" s="4">
        <f>IF(AND(ISNUMBER(J254),ISNUMBER(G254)),
   IF(CEILING(ROUND(J254*1.3,2),5)=420,
      425,
      CEILING(ROUND(J254*1.3,2),5)
   ),
   ""
)</f>
        <v>520</v>
      </c>
      <c r="M254" s="4">
        <f>IF(AND(ISNUMBER(J254),ISNUMBER(G254)),
   IF(
      CEILING(
         ROUND((J254*1.5) * IF(J254*1.5 &lt;= 2500, 1.05, 1.18), 2),
         IF(ROUND((J254*1.5) * IF(J254*1.5 &lt;= 2500, 1.05, 1.18), 2) &lt; 2500, 25, 50)
      )=420,
      425,
      CEILING(
         ROUND((J254*1.5) * IF(J254*1.5 &lt;= 2500, 1.05, 1.18), 2),
         IF(ROUND((J254*1.5) * IF(J254*1.5 &lt;= 2500, 1.05, 1.18), 2) &lt; 2500, 25, 50)
      )
   ),
   ""
)</f>
        <v>650</v>
      </c>
      <c r="N254" s="4">
        <f>IF(ISNUMBER(G254),
   IF(CEILING(ROUND(L254*0.92,2),5)=420,
      425,
      CEILING(ROUND(L254*0.92,2),5)
   ),
   ""
)</f>
        <v>480</v>
      </c>
      <c r="O254" s="4">
        <f>IF(ISNUMBER(L254),
   IF(CEILING(ROUND(L254*1.07,2),5)=420,
      425,
      CEILING(ROUND(L254*1.07,2),5)
   ),
   ""
)</f>
        <v>560</v>
      </c>
      <c r="P254" s="4">
        <f>IF((((Price30[Cost]*1.5)+50)/0.835)&lt;2500,
MROUND((((( Price30[Cost]*1.5)+50)/0.835)*1.05)*2,10),
MROUND((((( Price30[Cost]*1.5)+50)/0.835)*1.18)*2,10))</f>
        <v>1540</v>
      </c>
      <c r="Q254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720</v>
      </c>
    </row>
    <row r="255" spans="1:17" x14ac:dyDescent="0.25">
      <c r="A255" s="1">
        <v>2026</v>
      </c>
      <c r="B255" s="18">
        <v>862</v>
      </c>
      <c r="C255" s="19" t="s">
        <v>171</v>
      </c>
      <c r="D255" s="19" t="s">
        <v>497</v>
      </c>
      <c r="E255" s="19" t="s">
        <v>290</v>
      </c>
      <c r="F255" s="19" t="s">
        <v>988</v>
      </c>
      <c r="G255" s="20">
        <v>525</v>
      </c>
      <c r="I255" s="20">
        <v>25</v>
      </c>
      <c r="J255" s="4">
        <f>IF(SUMIF(G255:I255,"&lt;&gt;")=0,"",SUM(G255:I255))</f>
        <v>550</v>
      </c>
      <c r="K255" s="4">
        <f>IF(ISNUMBER(L255),
   IF(CEILING(ROUND(L255*0.95,2),5)=420,
      425,
      CEILING(ROUND(L255*0.95,2),5)
   ),
   ""
)</f>
        <v>680</v>
      </c>
      <c r="L255" s="4">
        <f>IF(AND(ISNUMBER(J255),ISNUMBER(G255)),
   IF(CEILING(ROUND(J255*1.3,2),5)=420,
      425,
      CEILING(ROUND(J255*1.3,2),5)
   ),
   ""
)</f>
        <v>715</v>
      </c>
      <c r="M255" s="4">
        <f>IF(AND(ISNUMBER(J255),ISNUMBER(G255)),
   IF(
      CEILING(
         ROUND((J255*1.5) * IF(J255*1.5 &lt;= 2500, 1.05, 1.18), 2),
         IF(ROUND((J255*1.5) * IF(J255*1.5 &lt;= 2500, 1.05, 1.18), 2) &lt; 2500, 25, 50)
      )=420,
      425,
      CEILING(
         ROUND((J255*1.5) * IF(J255*1.5 &lt;= 2500, 1.05, 1.18), 2),
         IF(ROUND((J255*1.5) * IF(J255*1.5 &lt;= 2500, 1.05, 1.18), 2) &lt; 2500, 25, 50)
      )
   ),
   ""
)</f>
        <v>875</v>
      </c>
      <c r="N255" s="4">
        <f>IF(ISNUMBER(G255),
   IF(CEILING(ROUND(L255*0.92,2),5)=420,
      425,
      CEILING(ROUND(L255*0.92,2),5)
   ),
   ""
)</f>
        <v>660</v>
      </c>
      <c r="O255" s="4">
        <f>IF(ISNUMBER(L255),
   IF(CEILING(ROUND(L255*1.07,2),5)=420,
      425,
      CEILING(ROUND(L255*1.07,2),5)
   ),
   ""
)</f>
        <v>770</v>
      </c>
      <c r="P255" s="4">
        <f>IF((((Price30[Cost]*1.5)+50)/0.835)&lt;2500,
MROUND((((( Price30[Cost]*1.5)+50)/0.835)*1.05)*2,10),
MROUND((((( Price30[Cost]*1.5)+50)/0.835)*1.18)*2,10))</f>
        <v>2110</v>
      </c>
      <c r="Q255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950</v>
      </c>
    </row>
    <row r="256" spans="1:17" x14ac:dyDescent="0.25">
      <c r="A256" s="1">
        <v>2026</v>
      </c>
      <c r="B256" s="18">
        <v>866</v>
      </c>
      <c r="C256" s="19" t="s">
        <v>171</v>
      </c>
      <c r="D256" s="19" t="s">
        <v>497</v>
      </c>
      <c r="E256" s="19" t="s">
        <v>290</v>
      </c>
      <c r="F256" s="19" t="s">
        <v>40</v>
      </c>
      <c r="G256" s="20">
        <v>440</v>
      </c>
      <c r="I256" s="20">
        <v>25</v>
      </c>
      <c r="J256" s="4">
        <f t="shared" si="41"/>
        <v>465</v>
      </c>
      <c r="K256" s="4">
        <f t="shared" si="42"/>
        <v>575</v>
      </c>
      <c r="L256" s="4">
        <f t="shared" si="43"/>
        <v>605</v>
      </c>
      <c r="M256" s="4">
        <f t="shared" si="44"/>
        <v>750</v>
      </c>
      <c r="N256" s="4">
        <f t="shared" si="45"/>
        <v>560</v>
      </c>
      <c r="O256" s="4">
        <f t="shared" si="46"/>
        <v>650</v>
      </c>
      <c r="P256" s="4">
        <f>IF((((Price30[Cost]*1.5)+50)/0.835)&lt;2500,
MROUND((((( Price30[Cost]*1.5)+50)/0.835)*1.05)*2,10),
MROUND((((( Price30[Cost]*1.5)+50)/0.835)*1.18)*2,10))</f>
        <v>1790</v>
      </c>
      <c r="Q256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820</v>
      </c>
    </row>
    <row r="257" spans="1:17" x14ac:dyDescent="0.25">
      <c r="A257" s="1">
        <v>2026</v>
      </c>
      <c r="B257" s="18">
        <v>868</v>
      </c>
      <c r="C257" s="19" t="s">
        <v>171</v>
      </c>
      <c r="D257" s="19" t="s">
        <v>497</v>
      </c>
      <c r="E257" s="19" t="s">
        <v>174</v>
      </c>
      <c r="F257" s="19" t="s">
        <v>75</v>
      </c>
      <c r="G257" s="20">
        <v>550</v>
      </c>
      <c r="I257" s="20">
        <v>25</v>
      </c>
      <c r="J257" s="4">
        <f t="shared" si="41"/>
        <v>575</v>
      </c>
      <c r="K257" s="4">
        <f t="shared" si="42"/>
        <v>715</v>
      </c>
      <c r="L257" s="4">
        <f t="shared" si="43"/>
        <v>750</v>
      </c>
      <c r="M257" s="4">
        <f t="shared" si="44"/>
        <v>925</v>
      </c>
      <c r="N257" s="4">
        <f t="shared" si="45"/>
        <v>690</v>
      </c>
      <c r="O257" s="4">
        <f t="shared" si="46"/>
        <v>805</v>
      </c>
      <c r="P257" s="4">
        <f>IF((((Price30[Cost]*1.5)+50)/0.835)&lt;2500,
MROUND((((( Price30[Cost]*1.5)+50)/0.835)*1.05)*2,10),
MROUND((((( Price30[Cost]*1.5)+50)/0.835)*1.18)*2,10))</f>
        <v>2200</v>
      </c>
      <c r="Q257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1000</v>
      </c>
    </row>
    <row r="258" spans="1:17" x14ac:dyDescent="0.25">
      <c r="A258" s="1"/>
      <c r="B258" s="18">
        <v>8681</v>
      </c>
      <c r="C258" s="19" t="s">
        <v>171</v>
      </c>
      <c r="D258" s="19" t="s">
        <v>497</v>
      </c>
      <c r="E258" s="19" t="s">
        <v>227</v>
      </c>
      <c r="F258" s="19" t="s">
        <v>229</v>
      </c>
      <c r="G258" s="20">
        <v>415</v>
      </c>
      <c r="I258" s="20">
        <v>25</v>
      </c>
      <c r="J258" s="4">
        <f t="shared" si="41"/>
        <v>440</v>
      </c>
      <c r="K258" s="4">
        <f t="shared" si="42"/>
        <v>550</v>
      </c>
      <c r="L258" s="4">
        <f t="shared" si="43"/>
        <v>575</v>
      </c>
      <c r="M258" s="4">
        <f t="shared" si="44"/>
        <v>700</v>
      </c>
      <c r="N258" s="4">
        <f t="shared" si="45"/>
        <v>530</v>
      </c>
      <c r="O258" s="4">
        <f t="shared" si="46"/>
        <v>620</v>
      </c>
      <c r="P258" s="4">
        <f>IF((((Price30[Cost]*1.5)+50)/0.835)&lt;2500,
MROUND((((( Price30[Cost]*1.5)+50)/0.835)*1.05)*2,10),
MROUND((((( Price30[Cost]*1.5)+50)/0.835)*1.18)*2,10))</f>
        <v>1690</v>
      </c>
      <c r="Q258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770</v>
      </c>
    </row>
    <row r="259" spans="1:17" x14ac:dyDescent="0.25">
      <c r="A259" s="1">
        <v>2025</v>
      </c>
      <c r="B259" s="18">
        <v>8682</v>
      </c>
      <c r="C259" s="19" t="s">
        <v>171</v>
      </c>
      <c r="D259" s="19" t="s">
        <v>494</v>
      </c>
      <c r="E259" s="19" t="s">
        <v>345</v>
      </c>
      <c r="F259" s="19" t="s">
        <v>641</v>
      </c>
      <c r="G259" s="20">
        <v>600</v>
      </c>
      <c r="I259" s="20">
        <v>25</v>
      </c>
      <c r="J259" s="4">
        <f>IF(SUMIF(G259:I259,"&lt;&gt;")=0,"",SUM(G259:I259))</f>
        <v>625</v>
      </c>
      <c r="K259" s="4">
        <f t="shared" ref="K259:K260" si="48">IF(ISNUMBER(L259),
   IF(CEILING(ROUND(L259*0.95,2),5)=420,
      425,
      CEILING(ROUND(L259*0.95,2),5)
   ),
   ""
)</f>
        <v>775</v>
      </c>
      <c r="L259" s="4">
        <f>IF(AND(ISNUMBER(J259),ISNUMBER(G259)),
   IF(CEILING(ROUND(J259*1.3,2),5)=420,
      425,
      CEILING(ROUND(J259*1.3,2),5)
   ),
   ""
)</f>
        <v>815</v>
      </c>
      <c r="M259" s="4">
        <f>IF(AND(ISNUMBER(J259),ISNUMBER(G259)),
   IF(
      CEILING(
         ROUND((J259*1.5) * IF(J259*1.5 &lt;= 2500, 1.05, 1.18), 2),
         IF(ROUND((J259*1.5) * IF(J259*1.5 &lt;= 2500, 1.05, 1.18), 2) &lt; 2500, 25, 50)
      )=420,
      425,
      CEILING(
         ROUND((J259*1.5) * IF(J259*1.5 &lt;= 2500, 1.05, 1.18), 2),
         IF(ROUND((J259*1.5) * IF(J259*1.5 &lt;= 2500, 1.05, 1.18), 2) &lt; 2500, 25, 50)
      )
   ),
   ""
)</f>
        <v>1000</v>
      </c>
      <c r="N259" s="4">
        <f>IF(ISNUMBER(G259),
   IF(CEILING(ROUND(L259*0.92,2),5)=420,
      425,
      CEILING(ROUND(L259*0.92,2),5)
   ),
   ""
)</f>
        <v>750</v>
      </c>
      <c r="O259" s="4">
        <f t="shared" ref="O259:O260" si="49">IF(ISNUMBER(L259),
   IF(CEILING(ROUND(L259*1.07,2),5)=420,
      425,
      CEILING(ROUND(L259*1.07,2),5)
   ),
   ""
)</f>
        <v>875</v>
      </c>
      <c r="P259" s="4">
        <f>IF((((Price30[Cost]*1.5)+50)/0.835)&lt;2500,
MROUND((((( Price30[Cost]*1.5)+50)/0.835)*1.05)*2,10),
MROUND((((( Price30[Cost]*1.5)+50)/0.835)*1.18)*2,10))</f>
        <v>2390</v>
      </c>
      <c r="Q259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1070</v>
      </c>
    </row>
    <row r="260" spans="1:17" x14ac:dyDescent="0.25">
      <c r="A260" s="1">
        <v>2026</v>
      </c>
      <c r="B260" s="18">
        <v>8683</v>
      </c>
      <c r="C260" s="19" t="s">
        <v>171</v>
      </c>
      <c r="D260" s="19" t="s">
        <v>494</v>
      </c>
      <c r="E260" s="19" t="s">
        <v>673</v>
      </c>
      <c r="F260" s="19" t="s">
        <v>843</v>
      </c>
      <c r="G260" s="20">
        <v>500</v>
      </c>
      <c r="I260" s="20">
        <v>25</v>
      </c>
      <c r="J260" s="4">
        <f t="shared" ref="J260" si="50">IF(SUMIF(G260:I260,"&lt;&gt;")=0,"",SUM(G260:I260))</f>
        <v>525</v>
      </c>
      <c r="K260" s="4">
        <f t="shared" si="48"/>
        <v>655</v>
      </c>
      <c r="L260" s="4">
        <f t="shared" ref="L260" si="51">IF(AND(ISNUMBER(J260),ISNUMBER(G260)),
   IF(CEILING(ROUND(J260*1.3,2),5)=420,
      425,
      CEILING(ROUND(J260*1.3,2),5)
   ),
   ""
)</f>
        <v>685</v>
      </c>
      <c r="M260" s="4">
        <f t="shared" ref="M260" si="52">IF(AND(ISNUMBER(J260),ISNUMBER(G260)),
   IF(
      CEILING(
         ROUND((J260*1.5) * IF(J260*1.5 &lt;= 2500, 1.05, 1.18), 2),
         IF(ROUND((J260*1.5) * IF(J260*1.5 &lt;= 2500, 1.05, 1.18), 2) &lt; 2500, 25, 50)
      )=420,
      425,
      CEILING(
         ROUND((J260*1.5) * IF(J260*1.5 &lt;= 2500, 1.05, 1.18), 2),
         IF(ROUND((J260*1.5) * IF(J260*1.5 &lt;= 2500, 1.05, 1.18), 2) &lt; 2500, 25, 50)
      )
   ),
   ""
)</f>
        <v>850</v>
      </c>
      <c r="N260" s="4">
        <f t="shared" ref="N260" si="53">IF(ISNUMBER(G260),
   IF(CEILING(ROUND(L260*0.92,2),5)=420,
      425,
      CEILING(ROUND(L260*0.92,2),5)
   ),
   ""
)</f>
        <v>635</v>
      </c>
      <c r="O260" s="4">
        <f t="shared" si="49"/>
        <v>735</v>
      </c>
      <c r="P260" s="4">
        <f>IF((((Price30[Cost]*1.5)+50)/0.835)&lt;2500,
MROUND((((( Price30[Cost]*1.5)+50)/0.835)*1.05)*2,10),
MROUND((((( Price30[Cost]*1.5)+50)/0.835)*1.18)*2,10))</f>
        <v>2010</v>
      </c>
      <c r="Q260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920</v>
      </c>
    </row>
    <row r="261" spans="1:17" x14ac:dyDescent="0.25">
      <c r="A261" s="1">
        <v>2026</v>
      </c>
      <c r="B261" s="18">
        <v>8684</v>
      </c>
      <c r="C261" s="19" t="s">
        <v>171</v>
      </c>
      <c r="D261" s="19" t="s">
        <v>494</v>
      </c>
      <c r="E261" s="19" t="s">
        <v>673</v>
      </c>
      <c r="F261" s="19" t="s">
        <v>844</v>
      </c>
      <c r="G261" s="20">
        <v>500</v>
      </c>
      <c r="I261" s="20">
        <v>25</v>
      </c>
      <c r="J261" s="4">
        <f>IF(SUMIF(G261:I261,"&lt;&gt;")=0,"",SUM(G261:I261))</f>
        <v>525</v>
      </c>
      <c r="K261" s="4">
        <f>IF(ISNUMBER(L261),
   IF(CEILING(ROUND(L261*0.95,2),5)=420,
      425,
      CEILING(ROUND(L261*0.95,2),5)
   ),
   ""
)</f>
        <v>655</v>
      </c>
      <c r="L261" s="4">
        <f>IF(AND(ISNUMBER(J261),ISNUMBER(G261)),
   IF(CEILING(ROUND(J261*1.3,2),5)=420,
      425,
      CEILING(ROUND(J261*1.3,2),5)
   ),
   ""
)</f>
        <v>685</v>
      </c>
      <c r="M261" s="4">
        <f>IF(AND(ISNUMBER(J261),ISNUMBER(G261)),
   IF(
      CEILING(
         ROUND((J261*1.5) * IF(J261*1.5 &lt;= 2500, 1.05, 1.18), 2),
         IF(ROUND((J261*1.5) * IF(J261*1.5 &lt;= 2500, 1.05, 1.18), 2) &lt; 2500, 25, 50)
      )=420,
      425,
      CEILING(
         ROUND((J261*1.5) * IF(J261*1.5 &lt;= 2500, 1.05, 1.18), 2),
         IF(ROUND((J261*1.5) * IF(J261*1.5 &lt;= 2500, 1.05, 1.18), 2) &lt; 2500, 25, 50)
      )
   ),
   ""
)</f>
        <v>850</v>
      </c>
      <c r="N261" s="4">
        <f>IF(ISNUMBER(G261),
   IF(CEILING(ROUND(L261*0.92,2),5)=420,
      425,
      CEILING(ROUND(L261*0.92,2),5)
   ),
   ""
)</f>
        <v>635</v>
      </c>
      <c r="O261" s="4">
        <f>IF(ISNUMBER(L261),
   IF(CEILING(ROUND(L261*1.07,2),5)=420,
      425,
      CEILING(ROUND(L261*1.07,2),5)
   ),
   ""
)</f>
        <v>735</v>
      </c>
      <c r="P261" s="4">
        <f>IF((((Price30[Cost]*1.5)+50)/0.835)&lt;2500,
MROUND((((( Price30[Cost]*1.5)+50)/0.835)*1.05)*2,10),
MROUND((((( Price30[Cost]*1.5)+50)/0.835)*1.18)*2,10))</f>
        <v>2010</v>
      </c>
      <c r="Q261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920</v>
      </c>
    </row>
    <row r="262" spans="1:17" x14ac:dyDescent="0.25">
      <c r="A262" s="1"/>
      <c r="B262" s="18">
        <v>869</v>
      </c>
      <c r="C262" s="19" t="s">
        <v>171</v>
      </c>
      <c r="D262" s="19" t="s">
        <v>497</v>
      </c>
      <c r="E262" s="19"/>
      <c r="F262" s="19" t="s">
        <v>293</v>
      </c>
      <c r="G262" s="20">
        <v>1300</v>
      </c>
      <c r="I262" s="20">
        <v>25</v>
      </c>
      <c r="J262" s="4">
        <f t="shared" si="41"/>
        <v>1325</v>
      </c>
      <c r="K262" s="4">
        <f t="shared" si="42"/>
        <v>1640</v>
      </c>
      <c r="L262" s="4">
        <f t="shared" si="43"/>
        <v>1725</v>
      </c>
      <c r="M262" s="4">
        <f t="shared" si="44"/>
        <v>2100</v>
      </c>
      <c r="N262" s="4">
        <f t="shared" si="45"/>
        <v>1590</v>
      </c>
      <c r="O262" s="4">
        <f t="shared" si="46"/>
        <v>1850</v>
      </c>
      <c r="P262" s="4">
        <f>IF((((Price30[Cost]*1.5)+50)/0.835)&lt;2500,
MROUND((((( Price30[Cost]*1.5)+50)/0.835)*1.05)*2,10),
MROUND((((( Price30[Cost]*1.5)+50)/0.835)*1.18)*2,10))</f>
        <v>5030</v>
      </c>
      <c r="Q262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2170</v>
      </c>
    </row>
    <row r="263" spans="1:17" x14ac:dyDescent="0.25">
      <c r="A263" s="1">
        <v>2025</v>
      </c>
      <c r="B263" s="18">
        <v>870</v>
      </c>
      <c r="C263" s="19" t="s">
        <v>171</v>
      </c>
      <c r="D263" s="19" t="s">
        <v>497</v>
      </c>
      <c r="E263" s="19" t="s">
        <v>233</v>
      </c>
      <c r="F263" s="19" t="s">
        <v>459</v>
      </c>
      <c r="G263" s="20">
        <v>650</v>
      </c>
      <c r="I263" s="20">
        <v>25</v>
      </c>
      <c r="J263" s="4">
        <f t="shared" si="41"/>
        <v>675</v>
      </c>
      <c r="K263" s="4">
        <f t="shared" si="42"/>
        <v>840</v>
      </c>
      <c r="L263" s="4">
        <f t="shared" si="43"/>
        <v>880</v>
      </c>
      <c r="M263" s="4">
        <f t="shared" si="44"/>
        <v>1075</v>
      </c>
      <c r="N263" s="4">
        <f t="shared" si="45"/>
        <v>810</v>
      </c>
      <c r="O263" s="4">
        <f t="shared" si="46"/>
        <v>945</v>
      </c>
      <c r="P263" s="4">
        <f>IF((((Price30[Cost]*1.5)+50)/0.835)&lt;2500,
MROUND((((( Price30[Cost]*1.5)+50)/0.835)*1.05)*2,10),
MROUND((((( Price30[Cost]*1.5)+50)/0.835)*1.18)*2,10))</f>
        <v>2580</v>
      </c>
      <c r="Q263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1150</v>
      </c>
    </row>
    <row r="264" spans="1:17" x14ac:dyDescent="0.25">
      <c r="A264" s="1">
        <v>2025</v>
      </c>
      <c r="B264" s="18">
        <v>871</v>
      </c>
      <c r="C264" s="19" t="s">
        <v>171</v>
      </c>
      <c r="D264" s="19" t="s">
        <v>497</v>
      </c>
      <c r="E264" s="19" t="s">
        <v>656</v>
      </c>
      <c r="F264" s="19" t="s">
        <v>657</v>
      </c>
      <c r="G264" s="20">
        <v>525</v>
      </c>
      <c r="I264" s="20">
        <v>25</v>
      </c>
      <c r="J264" s="4">
        <f t="shared" si="41"/>
        <v>550</v>
      </c>
      <c r="K264" s="4">
        <f t="shared" si="42"/>
        <v>680</v>
      </c>
      <c r="L264" s="4">
        <f t="shared" si="43"/>
        <v>715</v>
      </c>
      <c r="M264" s="4">
        <f t="shared" si="44"/>
        <v>875</v>
      </c>
      <c r="N264" s="4">
        <f t="shared" si="45"/>
        <v>660</v>
      </c>
      <c r="O264" s="4">
        <f t="shared" si="46"/>
        <v>770</v>
      </c>
      <c r="P264" s="4">
        <f>IF((((Price30[Cost]*1.5)+50)/0.835)&lt;2500,
MROUND((((( Price30[Cost]*1.5)+50)/0.835)*1.05)*2,10),
MROUND((((( Price30[Cost]*1.5)+50)/0.835)*1.18)*2,10))</f>
        <v>2110</v>
      </c>
      <c r="Q264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950</v>
      </c>
    </row>
    <row r="265" spans="1:17" x14ac:dyDescent="0.25">
      <c r="A265" s="1">
        <v>2025</v>
      </c>
      <c r="B265" s="18">
        <v>874</v>
      </c>
      <c r="C265" s="19" t="s">
        <v>171</v>
      </c>
      <c r="D265" s="19" t="s">
        <v>497</v>
      </c>
      <c r="E265" s="19" t="s">
        <v>233</v>
      </c>
      <c r="F265" s="19" t="s">
        <v>71</v>
      </c>
      <c r="G265" s="20">
        <v>600</v>
      </c>
      <c r="I265" s="20">
        <v>25</v>
      </c>
      <c r="J265" s="4">
        <f t="shared" si="41"/>
        <v>625</v>
      </c>
      <c r="K265" s="4">
        <f t="shared" si="42"/>
        <v>775</v>
      </c>
      <c r="L265" s="4">
        <f t="shared" si="43"/>
        <v>815</v>
      </c>
      <c r="M265" s="4">
        <f t="shared" si="44"/>
        <v>1000</v>
      </c>
      <c r="N265" s="4">
        <f t="shared" si="45"/>
        <v>750</v>
      </c>
      <c r="O265" s="4">
        <f t="shared" si="46"/>
        <v>875</v>
      </c>
      <c r="P265" s="4">
        <f>IF((((Price30[Cost]*1.5)+50)/0.835)&lt;2500,
MROUND((((( Price30[Cost]*1.5)+50)/0.835)*1.05)*2,10),
MROUND((((( Price30[Cost]*1.5)+50)/0.835)*1.18)*2,10))</f>
        <v>2390</v>
      </c>
      <c r="Q265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1070</v>
      </c>
    </row>
    <row r="266" spans="1:17" x14ac:dyDescent="0.25">
      <c r="A266" s="1">
        <v>2026</v>
      </c>
      <c r="B266" s="18">
        <v>875</v>
      </c>
      <c r="C266" s="19" t="s">
        <v>171</v>
      </c>
      <c r="D266" s="19" t="s">
        <v>497</v>
      </c>
      <c r="E266" s="19" t="s">
        <v>136</v>
      </c>
      <c r="F266" s="19" t="s">
        <v>72</v>
      </c>
      <c r="G266" s="20">
        <v>650</v>
      </c>
      <c r="I266" s="20">
        <v>25</v>
      </c>
      <c r="J266" s="4">
        <f t="shared" si="41"/>
        <v>675</v>
      </c>
      <c r="K266" s="4">
        <f t="shared" si="42"/>
        <v>840</v>
      </c>
      <c r="L266" s="4">
        <f t="shared" si="43"/>
        <v>880</v>
      </c>
      <c r="M266" s="4">
        <f t="shared" si="44"/>
        <v>1075</v>
      </c>
      <c r="N266" s="4">
        <f t="shared" si="45"/>
        <v>810</v>
      </c>
      <c r="O266" s="4">
        <f t="shared" si="46"/>
        <v>945</v>
      </c>
      <c r="P266" s="4">
        <f>IF((((Price30[Cost]*1.5)+50)/0.835)&lt;2500,
MROUND((((( Price30[Cost]*1.5)+50)/0.835)*1.05)*2,10),
MROUND((((( Price30[Cost]*1.5)+50)/0.835)*1.18)*2,10))</f>
        <v>2580</v>
      </c>
      <c r="Q266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1150</v>
      </c>
    </row>
    <row r="267" spans="1:17" x14ac:dyDescent="0.25">
      <c r="A267" s="1">
        <v>2026</v>
      </c>
      <c r="B267" s="18">
        <v>876</v>
      </c>
      <c r="C267" s="19" t="s">
        <v>171</v>
      </c>
      <c r="D267" s="19" t="s">
        <v>497</v>
      </c>
      <c r="E267" s="19" t="s">
        <v>169</v>
      </c>
      <c r="F267" s="19" t="s">
        <v>930</v>
      </c>
      <c r="G267" s="20">
        <v>192</v>
      </c>
      <c r="I267" s="20">
        <v>350</v>
      </c>
      <c r="J267" s="4">
        <f t="shared" si="41"/>
        <v>542</v>
      </c>
      <c r="K267" s="4">
        <f t="shared" ref="K267:K290" si="54">IF(ISNUMBER(L267),
   IF(CEILING(ROUND(L267*0.95,2),5)=420,
      425,
      CEILING(ROUND(L267*0.95,2),5)
   ),
   ""
)</f>
        <v>670</v>
      </c>
      <c r="L267" s="4">
        <f t="shared" ref="L267:L290" si="55">IF(AND(ISNUMBER(J267),ISNUMBER(G267)),
   IF(CEILING(ROUND(J267*1.3,2),5)=420,
      425,
      CEILING(ROUND(J267*1.3,2),5)
   ),
   ""
)</f>
        <v>705</v>
      </c>
      <c r="M267" s="4">
        <f t="shared" ref="M267:M290" si="56">IF(AND(ISNUMBER(J267),ISNUMBER(G267)),
   IF(
      CEILING(
         ROUND((J267*1.5) * IF(J267*1.5 &lt;= 2500, 1.05, 1.18), 2),
         IF(ROUND((J267*1.5) * IF(J267*1.5 &lt;= 2500, 1.05, 1.18), 2) &lt; 2500, 25, 50)
      )=420,
      425,
      CEILING(
         ROUND((J267*1.5) * IF(J267*1.5 &lt;= 2500, 1.05, 1.18), 2),
         IF(ROUND((J267*1.5) * IF(J267*1.5 &lt;= 2500, 1.05, 1.18), 2) &lt; 2500, 25, 50)
      )
   ),
   ""
)</f>
        <v>875</v>
      </c>
      <c r="N267" s="4">
        <f t="shared" ref="N267:N290" si="57">IF(ISNUMBER(G267),
   IF(CEILING(ROUND(L267*0.92,2),5)=420,
      425,
      CEILING(ROUND(L267*0.92,2),5)
   ),
   ""
)</f>
        <v>650</v>
      </c>
      <c r="O267" s="4">
        <f t="shared" ref="O267:O290" si="58">IF(ISNUMBER(L267),
   IF(CEILING(ROUND(L267*1.07,2),5)=420,
      425,
      CEILING(ROUND(L267*1.07,2),5)
   ),
   ""
)</f>
        <v>755</v>
      </c>
      <c r="P267" s="4">
        <f>IF((((Price30[Cost]*1.5)+50)/0.835)&lt;2500,
MROUND((((( Price30[Cost]*1.5)+50)/0.835)*1.05)*2,10),
MROUND((((( Price30[Cost]*1.5)+50)/0.835)*1.18)*2,10))</f>
        <v>850</v>
      </c>
      <c r="Q267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950</v>
      </c>
    </row>
    <row r="268" spans="1:17" x14ac:dyDescent="0.25">
      <c r="A268" s="1"/>
      <c r="B268" s="18">
        <v>877</v>
      </c>
      <c r="C268" s="19" t="s">
        <v>171</v>
      </c>
      <c r="D268" s="19" t="s">
        <v>497</v>
      </c>
      <c r="E268" s="19" t="s">
        <v>169</v>
      </c>
      <c r="F268" s="19" t="s">
        <v>193</v>
      </c>
      <c r="G268" s="20">
        <v>265</v>
      </c>
      <c r="I268" s="20">
        <v>255</v>
      </c>
      <c r="J268" s="4">
        <f t="shared" si="41"/>
        <v>520</v>
      </c>
      <c r="K268" s="4">
        <f t="shared" si="54"/>
        <v>650</v>
      </c>
      <c r="L268" s="4">
        <f t="shared" si="55"/>
        <v>680</v>
      </c>
      <c r="M268" s="4">
        <f t="shared" si="56"/>
        <v>825</v>
      </c>
      <c r="N268" s="4">
        <f t="shared" si="57"/>
        <v>630</v>
      </c>
      <c r="O268" s="4">
        <f t="shared" si="58"/>
        <v>730</v>
      </c>
      <c r="P268" s="4">
        <f>IF((((Price30[Cost]*1.5)+50)/0.835)&lt;2500,
MROUND((((( Price30[Cost]*1.5)+50)/0.835)*1.05)*2,10),
MROUND((((( Price30[Cost]*1.5)+50)/0.835)*1.18)*2,10))</f>
        <v>1130</v>
      </c>
      <c r="Q268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900</v>
      </c>
    </row>
    <row r="269" spans="1:17" x14ac:dyDescent="0.25">
      <c r="A269" s="1">
        <v>2026</v>
      </c>
      <c r="B269" s="18">
        <v>878</v>
      </c>
      <c r="C269" s="19" t="s">
        <v>171</v>
      </c>
      <c r="D269" s="19" t="s">
        <v>497</v>
      </c>
      <c r="E269" s="19" t="s">
        <v>169</v>
      </c>
      <c r="F269" s="19" t="s">
        <v>899</v>
      </c>
      <c r="G269" s="20">
        <v>192</v>
      </c>
      <c r="I269" s="20">
        <v>245</v>
      </c>
      <c r="J269" s="4">
        <f t="shared" ref="J269:J290" si="59">IF(SUMIF(G269:I269,"&lt;&gt;")=0,"",SUM(G269:I269))</f>
        <v>437</v>
      </c>
      <c r="K269" s="4">
        <f t="shared" si="54"/>
        <v>545</v>
      </c>
      <c r="L269" s="4">
        <f t="shared" si="55"/>
        <v>570</v>
      </c>
      <c r="M269" s="4">
        <f t="shared" si="56"/>
        <v>700</v>
      </c>
      <c r="N269" s="4">
        <f t="shared" si="57"/>
        <v>525</v>
      </c>
      <c r="O269" s="4">
        <f t="shared" si="58"/>
        <v>610</v>
      </c>
      <c r="P269" s="4">
        <f>IF((((Price30[Cost]*1.5)+50)/0.835)&lt;2500,
MROUND((((( Price30[Cost]*1.5)+50)/0.835)*1.05)*2,10),
MROUND((((( Price30[Cost]*1.5)+50)/0.835)*1.18)*2,10))</f>
        <v>850</v>
      </c>
      <c r="Q269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770</v>
      </c>
    </row>
    <row r="270" spans="1:17" x14ac:dyDescent="0.25">
      <c r="A270" s="1">
        <v>2025</v>
      </c>
      <c r="B270" s="18">
        <v>879</v>
      </c>
      <c r="C270" s="19" t="s">
        <v>171</v>
      </c>
      <c r="D270" s="19" t="s">
        <v>497</v>
      </c>
      <c r="E270" s="19" t="s">
        <v>169</v>
      </c>
      <c r="F270" s="19" t="s">
        <v>492</v>
      </c>
      <c r="G270" s="20">
        <v>185</v>
      </c>
      <c r="I270" s="20">
        <v>195</v>
      </c>
      <c r="J270" s="4">
        <f t="shared" si="59"/>
        <v>380</v>
      </c>
      <c r="K270" s="4">
        <f t="shared" si="54"/>
        <v>475</v>
      </c>
      <c r="L270" s="4">
        <f t="shared" si="55"/>
        <v>495</v>
      </c>
      <c r="M270" s="4">
        <f t="shared" si="56"/>
        <v>600</v>
      </c>
      <c r="N270" s="4">
        <f t="shared" si="57"/>
        <v>460</v>
      </c>
      <c r="O270" s="4">
        <f t="shared" si="58"/>
        <v>530</v>
      </c>
      <c r="P270" s="4">
        <f>IF((((Price30[Cost]*1.5)+50)/0.835)&lt;2500,
MROUND((((( Price30[Cost]*1.5)+50)/0.835)*1.05)*2,10),
MROUND((((( Price30[Cost]*1.5)+50)/0.835)*1.18)*2,10))</f>
        <v>820</v>
      </c>
      <c r="Q270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670</v>
      </c>
    </row>
    <row r="271" spans="1:17" x14ac:dyDescent="0.25">
      <c r="A271" s="1">
        <v>2026</v>
      </c>
      <c r="B271" s="18">
        <v>883</v>
      </c>
      <c r="C271" s="19" t="s">
        <v>171</v>
      </c>
      <c r="D271" s="19" t="s">
        <v>497</v>
      </c>
      <c r="E271" s="19" t="s">
        <v>169</v>
      </c>
      <c r="F271" s="19" t="s">
        <v>901</v>
      </c>
      <c r="G271" s="20">
        <v>192</v>
      </c>
      <c r="I271" s="20">
        <v>395</v>
      </c>
      <c r="J271" s="4">
        <f t="shared" si="59"/>
        <v>587</v>
      </c>
      <c r="K271" s="4">
        <f t="shared" si="54"/>
        <v>730</v>
      </c>
      <c r="L271" s="4">
        <f t="shared" si="55"/>
        <v>765</v>
      </c>
      <c r="M271" s="4">
        <f t="shared" si="56"/>
        <v>925</v>
      </c>
      <c r="N271" s="4">
        <f t="shared" si="57"/>
        <v>705</v>
      </c>
      <c r="O271" s="4">
        <f t="shared" si="58"/>
        <v>820</v>
      </c>
      <c r="P271" s="4">
        <f>IF((((Price30[Cost]*1.5)+50)/0.835)&lt;2500,
MROUND((((( Price30[Cost]*1.5)+50)/0.835)*1.05)*2,10),
MROUND((((( Price30[Cost]*1.5)+50)/0.835)*1.18)*2,10))</f>
        <v>850</v>
      </c>
      <c r="Q271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1000</v>
      </c>
    </row>
    <row r="272" spans="1:17" x14ac:dyDescent="0.25">
      <c r="A272" s="1">
        <v>2026</v>
      </c>
      <c r="B272" s="18">
        <v>885</v>
      </c>
      <c r="C272" s="19" t="s">
        <v>171</v>
      </c>
      <c r="D272" s="19" t="s">
        <v>497</v>
      </c>
      <c r="E272" s="19" t="s">
        <v>169</v>
      </c>
      <c r="F272" s="19" t="s">
        <v>900</v>
      </c>
      <c r="G272" s="20">
        <v>192</v>
      </c>
      <c r="I272" s="20">
        <v>315</v>
      </c>
      <c r="J272" s="4">
        <f t="shared" si="59"/>
        <v>507</v>
      </c>
      <c r="K272" s="4">
        <f t="shared" si="54"/>
        <v>630</v>
      </c>
      <c r="L272" s="4">
        <f t="shared" si="55"/>
        <v>660</v>
      </c>
      <c r="M272" s="4">
        <f t="shared" si="56"/>
        <v>800</v>
      </c>
      <c r="N272" s="4">
        <f t="shared" si="57"/>
        <v>610</v>
      </c>
      <c r="O272" s="4">
        <f t="shared" si="58"/>
        <v>710</v>
      </c>
      <c r="P272" s="4">
        <f>IF((((Price30[Cost]*1.5)+50)/0.835)&lt;2500,
MROUND((((( Price30[Cost]*1.5)+50)/0.835)*1.05)*2,10),
MROUND((((( Price30[Cost]*1.5)+50)/0.835)*1.18)*2,10))</f>
        <v>850</v>
      </c>
      <c r="Q272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870</v>
      </c>
    </row>
    <row r="273" spans="1:17" x14ac:dyDescent="0.25">
      <c r="A273" s="1">
        <v>2026</v>
      </c>
      <c r="B273" s="18">
        <v>886</v>
      </c>
      <c r="C273" s="19" t="s">
        <v>171</v>
      </c>
      <c r="D273" s="19" t="s">
        <v>497</v>
      </c>
      <c r="E273" s="19" t="s">
        <v>197</v>
      </c>
      <c r="F273" s="19" t="s">
        <v>955</v>
      </c>
      <c r="G273" s="20">
        <v>192</v>
      </c>
      <c r="I273" s="20">
        <v>325</v>
      </c>
      <c r="J273" s="4">
        <f t="shared" si="59"/>
        <v>517</v>
      </c>
      <c r="K273" s="4">
        <f t="shared" si="54"/>
        <v>645</v>
      </c>
      <c r="L273" s="4">
        <f t="shared" si="55"/>
        <v>675</v>
      </c>
      <c r="M273" s="4">
        <f t="shared" si="56"/>
        <v>825</v>
      </c>
      <c r="N273" s="4">
        <f t="shared" si="57"/>
        <v>625</v>
      </c>
      <c r="O273" s="4">
        <f t="shared" si="58"/>
        <v>725</v>
      </c>
      <c r="P273" s="4">
        <f>IF((((Price30[Cost]*1.5)+50)/0.835)&lt;2500,
MROUND((((( Price30[Cost]*1.5)+50)/0.835)*1.05)*2,10),
MROUND((((( Price30[Cost]*1.5)+50)/0.835)*1.18)*2,10))</f>
        <v>850</v>
      </c>
      <c r="Q273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900</v>
      </c>
    </row>
    <row r="274" spans="1:17" x14ac:dyDescent="0.25">
      <c r="A274" s="1">
        <v>2025</v>
      </c>
      <c r="B274" s="18">
        <v>887</v>
      </c>
      <c r="C274" s="19" t="s">
        <v>171</v>
      </c>
      <c r="D274" s="19" t="s">
        <v>497</v>
      </c>
      <c r="E274" s="19" t="s">
        <v>547</v>
      </c>
      <c r="F274" s="19" t="s">
        <v>661</v>
      </c>
      <c r="G274" s="20">
        <v>1150</v>
      </c>
      <c r="I274" s="20">
        <v>25</v>
      </c>
      <c r="J274" s="4">
        <f t="shared" si="59"/>
        <v>1175</v>
      </c>
      <c r="K274" s="4">
        <f t="shared" si="54"/>
        <v>1455</v>
      </c>
      <c r="L274" s="4">
        <f t="shared" si="55"/>
        <v>1530</v>
      </c>
      <c r="M274" s="4">
        <f t="shared" si="56"/>
        <v>1875</v>
      </c>
      <c r="N274" s="4">
        <f t="shared" si="57"/>
        <v>1410</v>
      </c>
      <c r="O274" s="4">
        <f t="shared" si="58"/>
        <v>1640</v>
      </c>
      <c r="P274" s="4">
        <f>IF((((Price30[Cost]*1.5)+50)/0.835)&lt;2500,
MROUND((((( Price30[Cost]*1.5)+50)/0.835)*1.05)*2,10),
MROUND((((( Price30[Cost]*1.5)+50)/0.835)*1.18)*2,10))</f>
        <v>4460</v>
      </c>
      <c r="Q274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1950</v>
      </c>
    </row>
    <row r="275" spans="1:17" x14ac:dyDescent="0.25">
      <c r="A275" s="1">
        <v>2025</v>
      </c>
      <c r="B275" s="18">
        <v>890</v>
      </c>
      <c r="C275" s="19" t="s">
        <v>171</v>
      </c>
      <c r="D275" s="19" t="s">
        <v>497</v>
      </c>
      <c r="E275" s="19" t="s">
        <v>547</v>
      </c>
      <c r="F275" s="19" t="s">
        <v>549</v>
      </c>
      <c r="G275" s="20">
        <v>1350</v>
      </c>
      <c r="I275" s="20">
        <v>25</v>
      </c>
      <c r="J275" s="4">
        <f t="shared" si="59"/>
        <v>1375</v>
      </c>
      <c r="K275" s="4">
        <f t="shared" si="54"/>
        <v>1705</v>
      </c>
      <c r="L275" s="4">
        <f t="shared" si="55"/>
        <v>1790</v>
      </c>
      <c r="M275" s="4">
        <f t="shared" si="56"/>
        <v>2175</v>
      </c>
      <c r="N275" s="4">
        <f t="shared" si="57"/>
        <v>1650</v>
      </c>
      <c r="O275" s="4">
        <f t="shared" si="58"/>
        <v>1920</v>
      </c>
      <c r="P275" s="4">
        <f>IF((((Price30[Cost]*1.5)+50)/0.835)&lt;2500,
MROUND((((( Price30[Cost]*1.5)+50)/0.835)*1.05)*2,10),
MROUND((((( Price30[Cost]*1.5)+50)/0.835)*1.18)*2,10))</f>
        <v>5220</v>
      </c>
      <c r="Q275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2250</v>
      </c>
    </row>
    <row r="276" spans="1:17" x14ac:dyDescent="0.25">
      <c r="A276" s="1">
        <v>2025</v>
      </c>
      <c r="B276" s="18">
        <v>891</v>
      </c>
      <c r="C276" s="19" t="s">
        <v>171</v>
      </c>
      <c r="D276" s="19" t="s">
        <v>497</v>
      </c>
      <c r="E276" s="19" t="s">
        <v>547</v>
      </c>
      <c r="F276" s="19" t="s">
        <v>548</v>
      </c>
      <c r="G276" s="20">
        <v>1250</v>
      </c>
      <c r="I276" s="20">
        <v>25</v>
      </c>
      <c r="J276" s="4">
        <f t="shared" si="59"/>
        <v>1275</v>
      </c>
      <c r="K276" s="4">
        <f t="shared" si="54"/>
        <v>1580</v>
      </c>
      <c r="L276" s="4">
        <f t="shared" si="55"/>
        <v>1660</v>
      </c>
      <c r="M276" s="4">
        <f t="shared" si="56"/>
        <v>2025</v>
      </c>
      <c r="N276" s="4">
        <f t="shared" si="57"/>
        <v>1530</v>
      </c>
      <c r="O276" s="4">
        <f t="shared" si="58"/>
        <v>1780</v>
      </c>
      <c r="P276" s="4">
        <f>IF((((Price30[Cost]*1.5)+50)/0.835)&lt;2500,
MROUND((((( Price30[Cost]*1.5)+50)/0.835)*1.05)*2,10),
MROUND((((( Price30[Cost]*1.5)+50)/0.835)*1.18)*2,10))</f>
        <v>4840</v>
      </c>
      <c r="Q276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2100</v>
      </c>
    </row>
    <row r="277" spans="1:17" x14ac:dyDescent="0.25">
      <c r="A277" s="1"/>
      <c r="B277" s="18">
        <v>894</v>
      </c>
      <c r="C277" s="19" t="s">
        <v>171</v>
      </c>
      <c r="D277" s="19" t="s">
        <v>497</v>
      </c>
      <c r="E277" s="19" t="s">
        <v>174</v>
      </c>
      <c r="F277" s="19" t="s">
        <v>175</v>
      </c>
      <c r="G277" s="20">
        <v>550</v>
      </c>
      <c r="I277" s="20">
        <v>25</v>
      </c>
      <c r="J277" s="4">
        <f t="shared" si="59"/>
        <v>575</v>
      </c>
      <c r="K277" s="4">
        <f t="shared" si="54"/>
        <v>715</v>
      </c>
      <c r="L277" s="4">
        <f t="shared" si="55"/>
        <v>750</v>
      </c>
      <c r="M277" s="4">
        <f t="shared" si="56"/>
        <v>925</v>
      </c>
      <c r="N277" s="4">
        <f t="shared" si="57"/>
        <v>690</v>
      </c>
      <c r="O277" s="4">
        <f t="shared" si="58"/>
        <v>805</v>
      </c>
      <c r="P277" s="4">
        <f>IF((((Price30[Cost]*1.5)+50)/0.835)&lt;2500,
MROUND((((( Price30[Cost]*1.5)+50)/0.835)*1.05)*2,10),
MROUND((((( Price30[Cost]*1.5)+50)/0.835)*1.18)*2,10))</f>
        <v>2200</v>
      </c>
      <c r="Q277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1000</v>
      </c>
    </row>
    <row r="278" spans="1:17" x14ac:dyDescent="0.25">
      <c r="A278" s="1">
        <v>2025</v>
      </c>
      <c r="B278" s="18">
        <v>895</v>
      </c>
      <c r="C278" s="19" t="s">
        <v>171</v>
      </c>
      <c r="D278" s="19" t="s">
        <v>497</v>
      </c>
      <c r="E278" s="19" t="s">
        <v>547</v>
      </c>
      <c r="F278" s="19" t="s">
        <v>658</v>
      </c>
      <c r="G278" s="20">
        <v>1450</v>
      </c>
      <c r="I278" s="20">
        <v>25</v>
      </c>
      <c r="J278" s="4">
        <f t="shared" si="59"/>
        <v>1475</v>
      </c>
      <c r="K278" s="4">
        <f t="shared" si="54"/>
        <v>1825</v>
      </c>
      <c r="L278" s="4">
        <f t="shared" si="55"/>
        <v>1920</v>
      </c>
      <c r="M278" s="4">
        <f t="shared" si="56"/>
        <v>2325</v>
      </c>
      <c r="N278" s="4">
        <f t="shared" si="57"/>
        <v>1770</v>
      </c>
      <c r="O278" s="4">
        <f t="shared" si="58"/>
        <v>2055</v>
      </c>
      <c r="P278" s="4">
        <f>IF((((Price30[Cost]*1.5)+50)/0.835)&lt;2500,
MROUND((((( Price30[Cost]*1.5)+50)/0.835)*1.05)*2,10),
MROUND((((( Price30[Cost]*1.5)+50)/0.835)*1.18)*2,10))</f>
        <v>6290</v>
      </c>
      <c r="Q278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2400</v>
      </c>
    </row>
    <row r="279" spans="1:17" x14ac:dyDescent="0.25">
      <c r="A279" s="1">
        <v>2025</v>
      </c>
      <c r="B279" s="18">
        <v>896</v>
      </c>
      <c r="C279" s="19" t="s">
        <v>171</v>
      </c>
      <c r="D279" s="19" t="s">
        <v>497</v>
      </c>
      <c r="E279" s="19" t="s">
        <v>547</v>
      </c>
      <c r="F279" s="19" t="s">
        <v>659</v>
      </c>
      <c r="G279" s="20">
        <v>1750</v>
      </c>
      <c r="I279" s="20">
        <v>25</v>
      </c>
      <c r="J279" s="4">
        <f t="shared" si="59"/>
        <v>1775</v>
      </c>
      <c r="K279" s="4">
        <f t="shared" si="54"/>
        <v>2195</v>
      </c>
      <c r="L279" s="4">
        <f t="shared" si="55"/>
        <v>2310</v>
      </c>
      <c r="M279" s="4">
        <f t="shared" si="56"/>
        <v>3150</v>
      </c>
      <c r="N279" s="4">
        <f t="shared" si="57"/>
        <v>2130</v>
      </c>
      <c r="O279" s="4">
        <f t="shared" si="58"/>
        <v>2475</v>
      </c>
      <c r="P279" s="4">
        <f>IF((((Price30[Cost]*1.5)+50)/0.835)&lt;2500,
MROUND((((( Price30[Cost]*1.5)+50)/0.835)*1.05)*2,10),
MROUND((((( Price30[Cost]*1.5)+50)/0.835)*1.18)*2,10))</f>
        <v>7560</v>
      </c>
      <c r="Q279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3220</v>
      </c>
    </row>
    <row r="280" spans="1:17" x14ac:dyDescent="0.25">
      <c r="A280" s="1">
        <v>2025</v>
      </c>
      <c r="B280" s="18">
        <v>897</v>
      </c>
      <c r="C280" s="19" t="s">
        <v>171</v>
      </c>
      <c r="D280" s="19" t="s">
        <v>497</v>
      </c>
      <c r="E280" s="19" t="s">
        <v>547</v>
      </c>
      <c r="F280" s="19" t="s">
        <v>660</v>
      </c>
      <c r="G280" s="20">
        <v>1000</v>
      </c>
      <c r="I280" s="20">
        <v>25</v>
      </c>
      <c r="J280" s="4">
        <f t="shared" si="59"/>
        <v>1025</v>
      </c>
      <c r="K280" s="4">
        <f t="shared" si="54"/>
        <v>1270</v>
      </c>
      <c r="L280" s="4">
        <f t="shared" si="55"/>
        <v>1335</v>
      </c>
      <c r="M280" s="4">
        <f t="shared" si="56"/>
        <v>1625</v>
      </c>
      <c r="N280" s="4">
        <f t="shared" si="57"/>
        <v>1230</v>
      </c>
      <c r="O280" s="4">
        <f t="shared" si="58"/>
        <v>1430</v>
      </c>
      <c r="P280" s="4">
        <f>IF((((Price30[Cost]*1.5)+50)/0.835)&lt;2500,
MROUND((((( Price30[Cost]*1.5)+50)/0.835)*1.05)*2,10),
MROUND((((( Price30[Cost]*1.5)+50)/0.835)*1.18)*2,10))</f>
        <v>3900</v>
      </c>
      <c r="Q280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1700</v>
      </c>
    </row>
    <row r="281" spans="1:17" x14ac:dyDescent="0.25">
      <c r="A281" s="1">
        <v>2025</v>
      </c>
      <c r="B281" s="18">
        <v>898</v>
      </c>
      <c r="C281" s="19" t="s">
        <v>171</v>
      </c>
      <c r="D281" s="19" t="s">
        <v>497</v>
      </c>
      <c r="E281" s="19" t="s">
        <v>547</v>
      </c>
      <c r="F281" s="19" t="s">
        <v>668</v>
      </c>
      <c r="G281" s="20">
        <v>1600</v>
      </c>
      <c r="I281" s="20">
        <v>25</v>
      </c>
      <c r="J281" s="4">
        <f t="shared" si="59"/>
        <v>1625</v>
      </c>
      <c r="K281" s="4">
        <f t="shared" si="54"/>
        <v>2010</v>
      </c>
      <c r="L281" s="4">
        <f t="shared" si="55"/>
        <v>2115</v>
      </c>
      <c r="M281" s="4">
        <f t="shared" si="56"/>
        <v>2600</v>
      </c>
      <c r="N281" s="4">
        <f t="shared" si="57"/>
        <v>1950</v>
      </c>
      <c r="O281" s="4">
        <f t="shared" si="58"/>
        <v>2265</v>
      </c>
      <c r="P281" s="4">
        <f>IF((((Price30[Cost]*1.5)+50)/0.835)&lt;2500,
MROUND((((( Price30[Cost]*1.5)+50)/0.835)*1.05)*2,10),
MROUND((((( Price30[Cost]*1.5)+50)/0.835)*1.18)*2,10))</f>
        <v>6920</v>
      </c>
      <c r="Q281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2670</v>
      </c>
    </row>
    <row r="282" spans="1:17" x14ac:dyDescent="0.25">
      <c r="A282" s="1"/>
      <c r="B282" s="18">
        <v>9062</v>
      </c>
      <c r="C282" s="19" t="s">
        <v>277</v>
      </c>
      <c r="D282" s="19" t="s">
        <v>497</v>
      </c>
      <c r="E282" s="19"/>
      <c r="F282" s="19" t="s">
        <v>208</v>
      </c>
      <c r="G282" s="20">
        <v>1625</v>
      </c>
      <c r="I282" s="20">
        <v>25</v>
      </c>
      <c r="J282" s="4">
        <f t="shared" si="59"/>
        <v>1650</v>
      </c>
      <c r="K282" s="4">
        <f t="shared" si="54"/>
        <v>2040</v>
      </c>
      <c r="L282" s="4">
        <f t="shared" si="55"/>
        <v>2145</v>
      </c>
      <c r="M282" s="4">
        <f t="shared" si="56"/>
        <v>2600</v>
      </c>
      <c r="N282" s="4">
        <f t="shared" si="57"/>
        <v>1975</v>
      </c>
      <c r="O282" s="4">
        <f t="shared" si="58"/>
        <v>2300</v>
      </c>
      <c r="P282" s="4">
        <f>IF((((Price30[Cost]*1.5)+50)/0.835)&lt;2500,
MROUND((((( Price30[Cost]*1.5)+50)/0.835)*1.05)*2,10),
MROUND((((( Price30[Cost]*1.5)+50)/0.835)*1.18)*2,10))</f>
        <v>7030</v>
      </c>
      <c r="Q282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2670</v>
      </c>
    </row>
    <row r="283" spans="1:17" x14ac:dyDescent="0.25">
      <c r="A283" s="1"/>
      <c r="B283" s="18">
        <v>9063</v>
      </c>
      <c r="C283" s="19" t="s">
        <v>277</v>
      </c>
      <c r="D283" s="19" t="s">
        <v>497</v>
      </c>
      <c r="E283" s="19"/>
      <c r="F283" s="19" t="s">
        <v>207</v>
      </c>
      <c r="G283" s="20">
        <v>1375</v>
      </c>
      <c r="I283" s="20">
        <v>25</v>
      </c>
      <c r="J283" s="4">
        <f t="shared" si="59"/>
        <v>1400</v>
      </c>
      <c r="K283" s="4">
        <f t="shared" si="54"/>
        <v>1730</v>
      </c>
      <c r="L283" s="4">
        <f t="shared" si="55"/>
        <v>1820</v>
      </c>
      <c r="M283" s="4">
        <f t="shared" si="56"/>
        <v>2225</v>
      </c>
      <c r="N283" s="4">
        <f t="shared" si="57"/>
        <v>1675</v>
      </c>
      <c r="O283" s="4">
        <f t="shared" si="58"/>
        <v>1950</v>
      </c>
      <c r="P283" s="4">
        <f>IF((((Price30[Cost]*1.5)+50)/0.835)&lt;2500,
MROUND((((( Price30[Cost]*1.5)+50)/0.835)*1.05)*2,10),
MROUND((((( Price30[Cost]*1.5)+50)/0.835)*1.18)*2,10))</f>
        <v>5970</v>
      </c>
      <c r="Q283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2300</v>
      </c>
    </row>
    <row r="284" spans="1:17" x14ac:dyDescent="0.25">
      <c r="A284" s="1"/>
      <c r="B284" s="18">
        <v>9065</v>
      </c>
      <c r="C284" s="19" t="s">
        <v>277</v>
      </c>
      <c r="D284" s="19" t="s">
        <v>497</v>
      </c>
      <c r="E284" s="19"/>
      <c r="F284" s="19" t="s">
        <v>206</v>
      </c>
      <c r="G284" s="20">
        <v>1460</v>
      </c>
      <c r="I284" s="20">
        <v>25</v>
      </c>
      <c r="J284" s="4">
        <f t="shared" si="59"/>
        <v>1485</v>
      </c>
      <c r="K284" s="4">
        <f t="shared" si="54"/>
        <v>1840</v>
      </c>
      <c r="L284" s="4">
        <f t="shared" si="55"/>
        <v>1935</v>
      </c>
      <c r="M284" s="4">
        <f t="shared" si="56"/>
        <v>2350</v>
      </c>
      <c r="N284" s="4">
        <f t="shared" si="57"/>
        <v>1785</v>
      </c>
      <c r="O284" s="4">
        <f t="shared" si="58"/>
        <v>2075</v>
      </c>
      <c r="P284" s="4">
        <f>IF((((Price30[Cost]*1.5)+50)/0.835)&lt;2500,
MROUND((((( Price30[Cost]*1.5)+50)/0.835)*1.05)*2,10),
MROUND((((( Price30[Cost]*1.5)+50)/0.835)*1.18)*2,10))</f>
        <v>6330</v>
      </c>
      <c r="Q284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2420</v>
      </c>
    </row>
    <row r="285" spans="1:17" x14ac:dyDescent="0.25">
      <c r="A285" s="1"/>
      <c r="B285" s="18">
        <v>9068</v>
      </c>
      <c r="C285" s="19" t="s">
        <v>277</v>
      </c>
      <c r="D285" s="19" t="s">
        <v>497</v>
      </c>
      <c r="E285" s="19"/>
      <c r="F285" s="19" t="s">
        <v>204</v>
      </c>
      <c r="G285" s="20">
        <v>1725</v>
      </c>
      <c r="I285" s="20">
        <v>25</v>
      </c>
      <c r="J285" s="4">
        <f t="shared" si="59"/>
        <v>1750</v>
      </c>
      <c r="K285" s="4">
        <f t="shared" si="54"/>
        <v>2165</v>
      </c>
      <c r="L285" s="4">
        <f t="shared" si="55"/>
        <v>2275</v>
      </c>
      <c r="M285" s="4">
        <f t="shared" si="56"/>
        <v>3100</v>
      </c>
      <c r="N285" s="4">
        <f t="shared" si="57"/>
        <v>2095</v>
      </c>
      <c r="O285" s="4">
        <f t="shared" si="58"/>
        <v>2435</v>
      </c>
      <c r="P285" s="4">
        <f>IF((((Price30[Cost]*1.5)+50)/0.835)&lt;2500,
MROUND((((( Price30[Cost]*1.5)+50)/0.835)*1.05)*2,10),
MROUND((((( Price30[Cost]*1.5)+50)/0.835)*1.18)*2,10))</f>
        <v>7450</v>
      </c>
      <c r="Q285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3170</v>
      </c>
    </row>
    <row r="286" spans="1:17" x14ac:dyDescent="0.25">
      <c r="A286" s="1"/>
      <c r="B286" s="18">
        <v>9069</v>
      </c>
      <c r="C286" s="19" t="s">
        <v>277</v>
      </c>
      <c r="D286" s="19" t="s">
        <v>497</v>
      </c>
      <c r="E286" s="19"/>
      <c r="F286" s="19" t="s">
        <v>205</v>
      </c>
      <c r="G286" s="20">
        <v>1625</v>
      </c>
      <c r="I286" s="20">
        <v>25</v>
      </c>
      <c r="J286" s="4">
        <f t="shared" si="59"/>
        <v>1650</v>
      </c>
      <c r="K286" s="4">
        <f t="shared" si="54"/>
        <v>2040</v>
      </c>
      <c r="L286" s="4">
        <f t="shared" si="55"/>
        <v>2145</v>
      </c>
      <c r="M286" s="4">
        <f t="shared" si="56"/>
        <v>2600</v>
      </c>
      <c r="N286" s="4">
        <f t="shared" si="57"/>
        <v>1975</v>
      </c>
      <c r="O286" s="4">
        <f t="shared" si="58"/>
        <v>2300</v>
      </c>
      <c r="P286" s="4">
        <f>IF((((Price30[Cost]*1.5)+50)/0.835)&lt;2500,
MROUND((((( Price30[Cost]*1.5)+50)/0.835)*1.05)*2,10),
MROUND((((( Price30[Cost]*1.5)+50)/0.835)*1.18)*2,10))</f>
        <v>7030</v>
      </c>
      <c r="Q286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2670</v>
      </c>
    </row>
    <row r="287" spans="1:17" x14ac:dyDescent="0.25">
      <c r="A287" s="1"/>
      <c r="B287" s="18">
        <v>907</v>
      </c>
      <c r="C287" s="19" t="s">
        <v>277</v>
      </c>
      <c r="D287" s="19" t="s">
        <v>497</v>
      </c>
      <c r="E287" s="19"/>
      <c r="F287" s="19" t="s">
        <v>257</v>
      </c>
      <c r="G287" s="20">
        <v>1050</v>
      </c>
      <c r="I287" s="20">
        <v>900</v>
      </c>
      <c r="J287" s="4">
        <f t="shared" si="59"/>
        <v>1950</v>
      </c>
      <c r="K287" s="4">
        <f t="shared" si="54"/>
        <v>2410</v>
      </c>
      <c r="L287" s="4">
        <f t="shared" si="55"/>
        <v>2535</v>
      </c>
      <c r="M287" s="4">
        <f t="shared" si="56"/>
        <v>3500</v>
      </c>
      <c r="N287" s="4">
        <f t="shared" si="57"/>
        <v>2335</v>
      </c>
      <c r="O287" s="4">
        <f t="shared" si="58"/>
        <v>2715</v>
      </c>
      <c r="P287" s="4">
        <f>IF((((Price30[Cost]*1.5)+50)/0.835)&lt;2500,
MROUND((((( Price30[Cost]*1.5)+50)/0.835)*1.05)*2,10),
MROUND((((( Price30[Cost]*1.5)+50)/0.835)*1.18)*2,10))</f>
        <v>4090</v>
      </c>
      <c r="Q287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3570</v>
      </c>
    </row>
    <row r="288" spans="1:17" x14ac:dyDescent="0.25">
      <c r="A288" s="1"/>
      <c r="B288" s="18">
        <v>9071</v>
      </c>
      <c r="C288" s="19" t="s">
        <v>277</v>
      </c>
      <c r="D288" s="19" t="s">
        <v>497</v>
      </c>
      <c r="E288" s="19"/>
      <c r="F288" s="19" t="s">
        <v>294</v>
      </c>
      <c r="G288" s="20">
        <v>550</v>
      </c>
      <c r="I288" s="20">
        <v>800</v>
      </c>
      <c r="J288" s="4">
        <f t="shared" si="59"/>
        <v>1350</v>
      </c>
      <c r="K288" s="4">
        <f t="shared" si="54"/>
        <v>1670</v>
      </c>
      <c r="L288" s="4">
        <f t="shared" si="55"/>
        <v>1755</v>
      </c>
      <c r="M288" s="4">
        <f t="shared" si="56"/>
        <v>2150</v>
      </c>
      <c r="N288" s="4">
        <f t="shared" si="57"/>
        <v>1615</v>
      </c>
      <c r="O288" s="4">
        <f t="shared" si="58"/>
        <v>1880</v>
      </c>
      <c r="P288" s="4">
        <f>IF((((Price30[Cost]*1.5)+50)/0.835)&lt;2500,
MROUND((((( Price30[Cost]*1.5)+50)/0.835)*1.05)*2,10),
MROUND((((( Price30[Cost]*1.5)+50)/0.835)*1.18)*2,10))</f>
        <v>2200</v>
      </c>
      <c r="Q288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2220</v>
      </c>
    </row>
    <row r="289" spans="1:17" x14ac:dyDescent="0.25">
      <c r="A289" s="1">
        <v>2025</v>
      </c>
      <c r="B289" s="18">
        <v>9072</v>
      </c>
      <c r="C289" s="19" t="s">
        <v>277</v>
      </c>
      <c r="D289" s="19" t="s">
        <v>497</v>
      </c>
      <c r="E289" s="19" t="s">
        <v>574</v>
      </c>
      <c r="F289" s="19" t="s">
        <v>644</v>
      </c>
      <c r="G289" s="20">
        <v>3800</v>
      </c>
      <c r="I289" s="20">
        <v>25</v>
      </c>
      <c r="J289" s="4">
        <f t="shared" si="59"/>
        <v>3825</v>
      </c>
      <c r="K289" s="4">
        <f t="shared" si="54"/>
        <v>4730</v>
      </c>
      <c r="L289" s="4">
        <f t="shared" si="55"/>
        <v>4975</v>
      </c>
      <c r="M289" s="4">
        <f t="shared" si="56"/>
        <v>6800</v>
      </c>
      <c r="N289" s="4">
        <f t="shared" si="57"/>
        <v>4580</v>
      </c>
      <c r="O289" s="4">
        <f t="shared" si="58"/>
        <v>5325</v>
      </c>
      <c r="P289" s="4">
        <f>IF((((Price30[Cost]*1.5)+50)/0.835)&lt;2500,
MROUND((((( Price30[Cost]*1.5)+50)/0.835)*1.05)*2,10),
MROUND((((( Price30[Cost]*1.5)+50)/0.835)*1.18)*2,10))</f>
        <v>16250</v>
      </c>
      <c r="Q289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6870</v>
      </c>
    </row>
    <row r="290" spans="1:17" x14ac:dyDescent="0.25">
      <c r="A290" s="1">
        <v>2025</v>
      </c>
      <c r="B290" s="18">
        <v>9073</v>
      </c>
      <c r="C290" s="19" t="s">
        <v>277</v>
      </c>
      <c r="D290" s="19" t="s">
        <v>497</v>
      </c>
      <c r="E290" s="19" t="s">
        <v>574</v>
      </c>
      <c r="F290" s="19" t="s">
        <v>645</v>
      </c>
      <c r="G290" s="20">
        <v>3500</v>
      </c>
      <c r="I290" s="20">
        <v>25</v>
      </c>
      <c r="J290" s="4">
        <f t="shared" si="59"/>
        <v>3525</v>
      </c>
      <c r="K290" s="4">
        <f t="shared" si="54"/>
        <v>4360</v>
      </c>
      <c r="L290" s="4">
        <f t="shared" si="55"/>
        <v>4585</v>
      </c>
      <c r="M290" s="4">
        <f t="shared" si="56"/>
        <v>6250</v>
      </c>
      <c r="N290" s="4">
        <f t="shared" si="57"/>
        <v>4220</v>
      </c>
      <c r="O290" s="4">
        <f t="shared" si="58"/>
        <v>4910</v>
      </c>
      <c r="P290" s="4">
        <f>IF((((Price30[Cost]*1.5)+50)/0.835)&lt;2500,
MROUND((((( Price30[Cost]*1.5)+50)/0.835)*1.05)*2,10),
MROUND((((( Price30[Cost]*1.5)+50)/0.835)*1.18)*2,10))</f>
        <v>14980</v>
      </c>
      <c r="Q290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6320</v>
      </c>
    </row>
    <row r="291" spans="1:17" x14ac:dyDescent="0.25">
      <c r="A291" s="1">
        <v>2026</v>
      </c>
      <c r="B291" s="18">
        <v>9074</v>
      </c>
      <c r="C291" s="19" t="s">
        <v>277</v>
      </c>
      <c r="D291" s="19" t="s">
        <v>497</v>
      </c>
      <c r="E291" s="19" t="s">
        <v>874</v>
      </c>
      <c r="F291" s="19" t="s">
        <v>875</v>
      </c>
      <c r="G291" s="20">
        <v>2450</v>
      </c>
      <c r="I291" s="20">
        <v>50</v>
      </c>
      <c r="J291" s="4">
        <f>IF(SUMIF(G291:I291,"&lt;&gt;")=0,"",SUM(G291:I291))</f>
        <v>2500</v>
      </c>
      <c r="K291" s="4">
        <f>IF(ISNUMBER(L291),
   IF(CEILING(ROUND(L291*0.95,2),5)=420,
      425,
      CEILING(ROUND(L291*0.95,2),5)
   ),
   ""
)</f>
        <v>3090</v>
      </c>
      <c r="L291" s="4">
        <f>IF(AND(ISNUMBER(J291),ISNUMBER(G291)),
   IF(CEILING(ROUND(J291*1.3,2),5)=420,
      425,
      CEILING(ROUND(J291*1.3,2),5)
   ),
   ""
)</f>
        <v>3250</v>
      </c>
      <c r="M291" s="4">
        <f>IF(AND(ISNUMBER(J291),ISNUMBER(G291)),
   IF(
      CEILING(
         ROUND((J291*1.5) * IF(J291*1.5 &lt;= 2500, 1.05, 1.18), 2),
         IF(ROUND((J291*1.5) * IF(J291*1.5 &lt;= 2500, 1.05, 1.18), 2) &lt; 2500, 25, 50)
      )=420,
      425,
      CEILING(
         ROUND((J291*1.5) * IF(J291*1.5 &lt;= 2500, 1.05, 1.18), 2),
         IF(ROUND((J291*1.5) * IF(J291*1.5 &lt;= 2500, 1.05, 1.18), 2) &lt; 2500, 25, 50)
      )
   ),
   ""
)</f>
        <v>4450</v>
      </c>
      <c r="N291" s="4">
        <f>IF(ISNUMBER(G291),
   IF(CEILING(ROUND(L291*0.92,2),5)=420,
      425,
      CEILING(ROUND(L291*0.92,2),5)
   ),
   ""
)</f>
        <v>2990</v>
      </c>
      <c r="O291" s="4">
        <f>IF(ISNUMBER(L291),
   IF(CEILING(ROUND(L291*1.07,2),5)=420,
      425,
      CEILING(ROUND(L291*1.07,2),5)
   ),
   ""
)</f>
        <v>3480</v>
      </c>
      <c r="P291" s="4">
        <f>IF((((Price30[Cost]*1.5)+50)/0.835)&lt;2500,
MROUND((((( Price30[Cost]*1.5)+50)/0.835)*1.05)*2,10),
MROUND((((( Price30[Cost]*1.5)+50)/0.835)*1.18)*2,10))</f>
        <v>10530</v>
      </c>
      <c r="Q291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4520</v>
      </c>
    </row>
    <row r="292" spans="1:17" x14ac:dyDescent="0.25">
      <c r="A292" s="1">
        <v>2026</v>
      </c>
      <c r="B292" s="18">
        <v>9075</v>
      </c>
      <c r="C292" s="19" t="s">
        <v>277</v>
      </c>
      <c r="D292" s="19" t="s">
        <v>497</v>
      </c>
      <c r="E292" s="19" t="s">
        <v>874</v>
      </c>
      <c r="F292" s="19" t="s">
        <v>876</v>
      </c>
      <c r="G292" s="20">
        <v>4250</v>
      </c>
      <c r="I292" s="20">
        <v>50</v>
      </c>
      <c r="J292" s="4">
        <f>IF(SUMIF(G292:I292,"&lt;&gt;")=0,"",SUM(G292:I292))</f>
        <v>4300</v>
      </c>
      <c r="K292" s="4">
        <f>IF(ISNUMBER(L292),
   IF(CEILING(ROUND(L292*0.95,2),5)=420,
      425,
      CEILING(ROUND(L292*0.95,2),5)
   ),
   ""
)</f>
        <v>5315</v>
      </c>
      <c r="L292" s="4">
        <f>IF(AND(ISNUMBER(J292),ISNUMBER(G292)),
   IF(CEILING(ROUND(J292*1.3,2),5)=420,
      425,
      CEILING(ROUND(J292*1.3,2),5)
   ),
   ""
)</f>
        <v>5590</v>
      </c>
      <c r="M292" s="4">
        <f>IF(AND(ISNUMBER(J292),ISNUMBER(G292)),
   IF(
      CEILING(
         ROUND((J292*1.5) * IF(J292*1.5 &lt;= 2500, 1.05, 1.18), 2),
         IF(ROUND((J292*1.5) * IF(J292*1.5 &lt;= 2500, 1.05, 1.18), 2) &lt; 2500, 25, 50)
      )=420,
      425,
      CEILING(
         ROUND((J292*1.5) * IF(J292*1.5 &lt;= 2500, 1.05, 1.18), 2),
         IF(ROUND((J292*1.5) * IF(J292*1.5 &lt;= 2500, 1.05, 1.18), 2) &lt; 2500, 25, 50)
      )
   ),
   ""
)</f>
        <v>7650</v>
      </c>
      <c r="N292" s="4">
        <f>IF(ISNUMBER(G292),
   IF(CEILING(ROUND(L292*0.92,2),5)=420,
      425,
      CEILING(ROUND(L292*0.92,2),5)
   ),
   ""
)</f>
        <v>5145</v>
      </c>
      <c r="O292" s="4">
        <f>IF(ISNUMBER(L292),
   IF(CEILING(ROUND(L292*1.07,2),5)=420,
      425,
      CEILING(ROUND(L292*1.07,2),5)
   ),
   ""
)</f>
        <v>5985</v>
      </c>
      <c r="P292" s="4">
        <f>IF((((Price30[Cost]*1.5)+50)/0.835)&lt;2500,
MROUND((((( Price30[Cost]*1.5)+50)/0.835)*1.05)*2,10),
MROUND((((( Price30[Cost]*1.5)+50)/0.835)*1.18)*2,10))</f>
        <v>18160</v>
      </c>
      <c r="Q292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7720</v>
      </c>
    </row>
    <row r="293" spans="1:17" x14ac:dyDescent="0.25">
      <c r="A293" s="1">
        <v>2026</v>
      </c>
      <c r="B293" s="18">
        <v>9076</v>
      </c>
      <c r="C293" s="19" t="s">
        <v>277</v>
      </c>
      <c r="D293" s="19" t="s">
        <v>497</v>
      </c>
      <c r="E293" s="19" t="s">
        <v>290</v>
      </c>
      <c r="F293" s="19" t="s">
        <v>239</v>
      </c>
      <c r="G293" s="20">
        <v>1450</v>
      </c>
      <c r="I293" s="20">
        <v>25</v>
      </c>
      <c r="J293" s="4">
        <f>IF(SUMIF(G293:I293,"&lt;&gt;")=0,"",SUM(G293:I293))</f>
        <v>1475</v>
      </c>
      <c r="K293" s="4">
        <f>IF(ISNUMBER(L293),
   IF(CEILING(ROUND(L293*0.95,2),5)=420,
      425,
      CEILING(ROUND(L293*0.95,2),5)
   ),
   ""
)</f>
        <v>1825</v>
      </c>
      <c r="L293" s="4">
        <f>IF(AND(ISNUMBER(J293),ISNUMBER(G293)),
   IF(CEILING(ROUND(J293*1.3,2),5)=420,
      425,
      CEILING(ROUND(J293*1.3,2),5)
   ),
   ""
)</f>
        <v>1920</v>
      </c>
      <c r="M293" s="4">
        <f>IF(AND(ISNUMBER(J293),ISNUMBER(G293)),
   IF(
      CEILING(
         ROUND((J293*1.5) * IF(J293*1.5 &lt;= 2500, 1.05, 1.18), 2),
         IF(ROUND((J293*1.5) * IF(J293*1.5 &lt;= 2500, 1.05, 1.18), 2) &lt; 2500, 25, 50)
      )=420,
      425,
      CEILING(
         ROUND((J293*1.5) * IF(J293*1.5 &lt;= 2500, 1.05, 1.18), 2),
         IF(ROUND((J293*1.5) * IF(J293*1.5 &lt;= 2500, 1.05, 1.18), 2) &lt; 2500, 25, 50)
      )
   ),
   ""
)</f>
        <v>2325</v>
      </c>
      <c r="N293" s="4">
        <f>IF(ISNUMBER(G293),
   IF(CEILING(ROUND(L293*0.92,2),5)=420,
      425,
      CEILING(ROUND(L293*0.92,2),5)
   ),
   ""
)</f>
        <v>1770</v>
      </c>
      <c r="O293" s="4">
        <f>IF(ISNUMBER(L293),
   IF(CEILING(ROUND(L293*1.07,2),5)=420,
      425,
      CEILING(ROUND(L293*1.07,2),5)
   ),
   ""
)</f>
        <v>2055</v>
      </c>
      <c r="P293" s="4"/>
      <c r="Q293" s="4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2400</v>
      </c>
    </row>
    <row r="294" spans="1:17" x14ac:dyDescent="0.25">
      <c r="A294" s="1"/>
      <c r="B294" s="18"/>
      <c r="C294" s="19"/>
      <c r="D294" s="19"/>
      <c r="E294" s="19"/>
      <c r="F294" s="19"/>
      <c r="J294" s="4" t="str">
        <f>IF(SUMIF(G294:I294,"&lt;&gt;")=0,"",SUM(G294:I294))</f>
        <v/>
      </c>
      <c r="K294" s="4" t="str">
        <f>IF(ISNUMBER(L294),
   IF(CEILING(ROUND(L294*0.95,2),5)=420,
      425,
      CEILING(ROUND(L294*0.95,2),5)
   ),
   ""
)</f>
        <v/>
      </c>
      <c r="L294" s="4" t="str">
        <f>IF(AND(ISNUMBER(J294),ISNUMBER(G294)),
   IF(CEILING(ROUND(J294*1.3,2),5)=420,
      425,
      CEILING(ROUND(J294*1.3,2),5)
   ),
   ""
)</f>
        <v/>
      </c>
      <c r="M294" s="4" t="str">
        <f>IF(AND(ISNUMBER(J294),ISNUMBER(G294)),
   IF(
      CEILING(
         ROUND((J294*1.5) * IF(J294*1.5 &lt;= 2500, 1.05, 1.18), 2),
         IF(ROUND((J294*1.5) * IF(J294*1.5 &lt;= 2500, 1.05, 1.18), 2) &lt; 2500, 25, 50)
      )=420,
      425,
      CEILING(
         ROUND((J294*1.5) * IF(J294*1.5 &lt;= 2500, 1.05, 1.18), 2),
         IF(ROUND((J294*1.5) * IF(J294*1.5 &lt;= 2500, 1.05, 1.18), 2) &lt; 2500, 25, 50)
      )
   ),
   ""
)</f>
        <v/>
      </c>
      <c r="N294" s="4" t="str">
        <f>IF(ISNUMBER(G294),
   IF(CEILING(ROUND(L294*0.92,2),5)=420,
      425,
      CEILING(ROUND(L294*0.92,2),5)
   ),
   ""
)</f>
        <v/>
      </c>
      <c r="O294" s="4" t="str">
        <f>IF(ISNUMBER(L294),
   IF(CEILING(ROUND(L294*1.07,2),5)=420,
      425,
      CEILING(ROUND(L294*1.07,2),5)
   ),
   ""
)</f>
        <v/>
      </c>
      <c r="P294" s="4">
        <f>IF((((Price30[Cost]*1.5)+50)/0.835)&lt;2500,
MROUND((((( Price30[Cost]*1.5)+50)/0.835)*1.05)*2,10),
MROUND((((( Price30[Cost]*1.5)+50)/0.835)*1.18)*2,10))</f>
        <v>130</v>
      </c>
      <c r="Q294" s="4" t="e">
        <f>IF($S$3="","",
MROUND(
  IF($S$3="m",
     IF($T$3=1, Price30[[#This Row],[Mrp]]+$W$4, Price30[[#This Row],[Mrp]]+$X$4),
  IF($S$3="nc",
     IF($T$3=1, Price30[[#This Row],[Net Cash]]+$W$5, Price30[[#This Row],[Net Cash]]+$X$5),
  IF($S$3="npc",
     IF($T$3=1, Price30[[#This Row],[Net Price Credit]]+$W$6, Price30[[#This Row],[Net Price Credit]]+$X$6),
  IF($S$3="w",
     IF($T$3=1, Price30[[#This Row],[Wsp]]+$W$6, Price30[[#This Row],[Wsp]]+$X$6),
  "")))),
10))</f>
        <v>#VALUE!</v>
      </c>
    </row>
    <row r="295" spans="1:17" x14ac:dyDescent="0.25">
      <c r="A295" s="1" t="s">
        <v>697</v>
      </c>
      <c r="B295" s="18" t="s">
        <v>696</v>
      </c>
      <c r="C295" s="19" t="s">
        <v>427</v>
      </c>
      <c r="D295" s="19" t="s">
        <v>503</v>
      </c>
      <c r="E295" s="19" t="s">
        <v>123</v>
      </c>
      <c r="F295" s="19" t="s">
        <v>747</v>
      </c>
      <c r="G295" s="20" t="s">
        <v>748</v>
      </c>
      <c r="H295" s="20" t="s">
        <v>749</v>
      </c>
      <c r="I295" s="20" t="s">
        <v>750</v>
      </c>
      <c r="J295" s="4" t="s">
        <v>703</v>
      </c>
      <c r="K295" s="4" t="s">
        <v>751</v>
      </c>
      <c r="L295" s="4" t="s">
        <v>752</v>
      </c>
      <c r="M295" s="4" t="s">
        <v>432</v>
      </c>
      <c r="N295" s="4" t="s">
        <v>753</v>
      </c>
      <c r="O295" s="4" t="s">
        <v>754</v>
      </c>
      <c r="P295" s="4" t="s">
        <v>918</v>
      </c>
      <c r="Q295" s="72" t="s">
        <v>951</v>
      </c>
    </row>
    <row r="296" spans="1:17" x14ac:dyDescent="0.25">
      <c r="A296" s="1">
        <v>2026</v>
      </c>
      <c r="B296" s="18">
        <v>223</v>
      </c>
      <c r="C296" s="19" t="s">
        <v>277</v>
      </c>
      <c r="D296" s="19" t="s">
        <v>494</v>
      </c>
      <c r="E296" s="19" t="s">
        <v>249</v>
      </c>
      <c r="F296" s="19" t="s">
        <v>226</v>
      </c>
      <c r="G296" s="20">
        <v>215</v>
      </c>
      <c r="I296" s="20">
        <v>15</v>
      </c>
      <c r="J296" s="4">
        <f t="shared" ref="J296:J374" si="60">IF(SUMIF(G296:I296,"&lt;&gt;")=0,"",SUM(G296:I296))</f>
        <v>230</v>
      </c>
      <c r="K296" s="4">
        <f t="shared" ref="K296:K373" si="61">IF(ISNUMBER(L296),
   IF(CEILING(ROUND(L296*0.95,2),5)=420,
      425,
      CEILING(ROUND(L296*0.95,2),5)
   ),
   ""
)</f>
        <v>280</v>
      </c>
      <c r="L296" s="4">
        <f t="shared" ref="L296:L373" si="62">IF(AND(ISNUMBER(J296),ISNUMBER(G296)),
   IF(CEILING(ROUND(J296*1.25,2),5)=420,
      425,
      CEILING(ROUND(J296*1.25,2),5)
   ),
   ""
)</f>
        <v>290</v>
      </c>
      <c r="M296" s="4">
        <f t="shared" ref="M296:M373" si="63">IF(AND(ISNUMBER(J296),ISNUMBER(G296)),
   IF(
      CEILING(
         ROUND((J296*1.5) * IF(J296*1.5 &lt;= 2500, 1.05, 1.18), 2),
         IF(ROUND((J296*1.5) * IF(J296*1.5 &lt;= 2500, 1.05, 1.18), 2) &lt; 2500, 25, 50)
      )=420,
      425,
      CEILING(
         ROUND((J296*1.5) * IF(J296*1.5 &lt;= 2500, 1.05, 1.18), 2),
         IF(ROUND((J296*1.5) * IF(J296*1.5 &lt;= 2500, 1.05, 1.18), 2) &lt; 2500, 25, 50)
      )
   ),
   ""
)</f>
        <v>375</v>
      </c>
      <c r="N296" s="4">
        <f t="shared" ref="N296:N373" si="64">IF(ISNUMBER(G296),
   IF(CEILING(ROUND(L296*0.92,2),5)=420,
      425,
      CEILING(ROUND(L296*0.92,2),5)
   ),
   ""
)</f>
        <v>270</v>
      </c>
      <c r="O296" s="4">
        <f t="shared" ref="O296:O373" si="65">IF(ISNUMBER(L296),
   IF(CEILING(ROUND(L296*1.07,2),5)=420,
      425,
      CEILING(ROUND(L296*1.07,2),5)
   ),
   ""
)</f>
        <v>315</v>
      </c>
      <c r="P296" s="4">
        <f>IF((((Price25[Cost]*1.5)+50)/0.835)&lt;2500,
MROUND((((( Price25[Cost]*1.5)+50)/0.835)*1.05)*2,10),
MROUND((((( Price25[Cost]*1.5)+50)/0.835)*1.18)*2,10))</f>
        <v>940</v>
      </c>
      <c r="Q296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450</v>
      </c>
    </row>
    <row r="297" spans="1:17" x14ac:dyDescent="0.25">
      <c r="A297" s="1">
        <v>2026</v>
      </c>
      <c r="B297" s="18">
        <v>228</v>
      </c>
      <c r="C297" s="19" t="s">
        <v>277</v>
      </c>
      <c r="D297" s="19" t="s">
        <v>494</v>
      </c>
      <c r="E297" s="19" t="s">
        <v>872</v>
      </c>
      <c r="F297" s="19" t="s">
        <v>889</v>
      </c>
      <c r="G297" s="20">
        <v>295</v>
      </c>
      <c r="I297" s="20">
        <v>15</v>
      </c>
      <c r="J297" s="4">
        <f>IF(SUMIF(G297:I297,"&lt;&gt;")=0,"",SUM(G297:I297))</f>
        <v>310</v>
      </c>
      <c r="K297" s="4">
        <f>IF(ISNUMBER(L297),
   IF(CEILING(ROUND(L297*0.95,2),5)=420,
      425,
      CEILING(ROUND(L297*0.95,2),5)
   ),
   ""
)</f>
        <v>375</v>
      </c>
      <c r="L297" s="4">
        <f>IF(AND(ISNUMBER(J297),ISNUMBER(G297)),
   IF(CEILING(ROUND(J297*1.25,2),5)=420,
      425,
      CEILING(ROUND(J297*1.25,2),5)
   ),
   ""
)</f>
        <v>390</v>
      </c>
      <c r="M297" s="4">
        <f>IF(AND(ISNUMBER(J297),ISNUMBER(G297)),
   IF(
      CEILING(
         ROUND((J297*1.5) * IF(J297*1.5 &lt;= 2500, 1.05, 1.18), 2),
         IF(ROUND((J297*1.5) * IF(J297*1.5 &lt;= 2500, 1.05, 1.18), 2) &lt; 2500, 25, 50)
      )=420,
      425,
      CEILING(
         ROUND((J297*1.5) * IF(J297*1.5 &lt;= 2500, 1.05, 1.18), 2),
         IF(ROUND((J297*1.5) * IF(J297*1.5 &lt;= 2500, 1.05, 1.18), 2) &lt; 2500, 25, 50)
      )
   ),
   ""
)</f>
        <v>500</v>
      </c>
      <c r="N297" s="4">
        <f>IF(ISNUMBER(G297),
   IF(CEILING(ROUND(L297*0.92,2),5)=420,
      425,
      CEILING(ROUND(L297*0.92,2),5)
   ),
   ""
)</f>
        <v>360</v>
      </c>
      <c r="O297" s="4">
        <f>IF(ISNUMBER(L297),
   IF(CEILING(ROUND(L297*1.07,2),5)=420,
      425,
      CEILING(ROUND(L297*1.07,2),5)
   ),
   ""
)</f>
        <v>425</v>
      </c>
      <c r="P297" s="4">
        <f>IF((((Price25[Cost]*1.5)+50)/0.835)&lt;2500,
MROUND((((( Price25[Cost]*1.5)+50)/0.835)*1.05)*2,10),
MROUND((((( Price25[Cost]*1.5)+50)/0.835)*1.18)*2,10))</f>
        <v>1240</v>
      </c>
      <c r="Q297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570</v>
      </c>
    </row>
    <row r="298" spans="1:17" x14ac:dyDescent="0.25">
      <c r="A298" s="1"/>
      <c r="B298" s="18">
        <v>229</v>
      </c>
      <c r="C298" s="19" t="s">
        <v>277</v>
      </c>
      <c r="D298" s="19" t="s">
        <v>494</v>
      </c>
      <c r="E298" s="19" t="s">
        <v>186</v>
      </c>
      <c r="F298" s="19" t="s">
        <v>187</v>
      </c>
      <c r="G298" s="20">
        <v>275</v>
      </c>
      <c r="I298" s="20">
        <v>15</v>
      </c>
      <c r="J298" s="4">
        <f t="shared" si="60"/>
        <v>290</v>
      </c>
      <c r="K298" s="4">
        <f t="shared" si="61"/>
        <v>350</v>
      </c>
      <c r="L298" s="4">
        <f t="shared" si="62"/>
        <v>365</v>
      </c>
      <c r="M298" s="4">
        <f t="shared" si="63"/>
        <v>475</v>
      </c>
      <c r="N298" s="4">
        <f t="shared" si="64"/>
        <v>340</v>
      </c>
      <c r="O298" s="4">
        <f t="shared" si="65"/>
        <v>395</v>
      </c>
      <c r="P298" s="4">
        <f>IF((((Price25[Cost]*1.5)+50)/0.835)&lt;2500,
MROUND((((( Price25[Cost]*1.5)+50)/0.835)*1.05)*2,10),
MROUND((((( Price25[Cost]*1.5)+50)/0.835)*1.18)*2,10))</f>
        <v>1160</v>
      </c>
      <c r="Q298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550</v>
      </c>
    </row>
    <row r="299" spans="1:17" x14ac:dyDescent="0.25">
      <c r="A299" s="1">
        <v>2026</v>
      </c>
      <c r="B299" s="18">
        <v>2291</v>
      </c>
      <c r="C299" s="19" t="s">
        <v>277</v>
      </c>
      <c r="D299" s="19" t="s">
        <v>494</v>
      </c>
      <c r="E299" s="19" t="s">
        <v>195</v>
      </c>
      <c r="F299" s="19" t="s">
        <v>992</v>
      </c>
      <c r="G299" s="20">
        <v>260</v>
      </c>
      <c r="I299" s="20">
        <v>15</v>
      </c>
      <c r="J299" s="4">
        <f t="shared" si="60"/>
        <v>275</v>
      </c>
      <c r="K299" s="4">
        <f t="shared" si="61"/>
        <v>330</v>
      </c>
      <c r="L299" s="4">
        <f t="shared" si="62"/>
        <v>345</v>
      </c>
      <c r="M299" s="4">
        <f t="shared" si="63"/>
        <v>450</v>
      </c>
      <c r="N299" s="4">
        <f t="shared" si="64"/>
        <v>320</v>
      </c>
      <c r="O299" s="4">
        <f t="shared" si="65"/>
        <v>370</v>
      </c>
      <c r="P299" s="4">
        <f>IF((((Price25[Cost]*1.5)+50)/0.835)&lt;2500,
MROUND((((( Price25[Cost]*1.5)+50)/0.835)*1.05)*2,10),
MROUND((((( Price25[Cost]*1.5)+50)/0.835)*1.18)*2,10))</f>
        <v>1110</v>
      </c>
      <c r="Q299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520</v>
      </c>
    </row>
    <row r="300" spans="1:17" x14ac:dyDescent="0.25">
      <c r="A300" s="1">
        <v>2025</v>
      </c>
      <c r="B300" s="18">
        <v>2292</v>
      </c>
      <c r="C300" s="19" t="s">
        <v>277</v>
      </c>
      <c r="D300" s="19" t="s">
        <v>494</v>
      </c>
      <c r="E300" s="19" t="s">
        <v>186</v>
      </c>
      <c r="F300" s="19" t="s">
        <v>431</v>
      </c>
      <c r="G300" s="20">
        <v>225</v>
      </c>
      <c r="H300" s="20">
        <v>10</v>
      </c>
      <c r="I300" s="20">
        <v>15</v>
      </c>
      <c r="J300" s="4">
        <f t="shared" si="60"/>
        <v>250</v>
      </c>
      <c r="K300" s="4">
        <f t="shared" si="61"/>
        <v>300</v>
      </c>
      <c r="L300" s="4">
        <f t="shared" si="62"/>
        <v>315</v>
      </c>
      <c r="M300" s="4">
        <f t="shared" si="63"/>
        <v>400</v>
      </c>
      <c r="N300" s="4">
        <f t="shared" si="64"/>
        <v>290</v>
      </c>
      <c r="O300" s="4">
        <f t="shared" si="65"/>
        <v>340</v>
      </c>
      <c r="P300" s="4">
        <f>IF((((Price25[Cost]*1.5)+50)/0.835)&lt;2500,
MROUND((((( Price25[Cost]*1.5)+50)/0.835)*1.05)*2,10),
MROUND((((( Price25[Cost]*1.5)+50)/0.835)*1.18)*2,10))</f>
        <v>970</v>
      </c>
      <c r="Q300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470</v>
      </c>
    </row>
    <row r="301" spans="1:17" x14ac:dyDescent="0.25">
      <c r="A301" s="1"/>
      <c r="B301" s="18">
        <v>2301</v>
      </c>
      <c r="C301" s="19" t="s">
        <v>277</v>
      </c>
      <c r="D301" s="19" t="s">
        <v>494</v>
      </c>
      <c r="E301" s="19" t="s">
        <v>379</v>
      </c>
      <c r="F301" s="19" t="s">
        <v>380</v>
      </c>
      <c r="G301" s="20">
        <v>310</v>
      </c>
      <c r="I301" s="20">
        <v>15</v>
      </c>
      <c r="J301" s="4">
        <f t="shared" si="60"/>
        <v>325</v>
      </c>
      <c r="K301" s="4">
        <f t="shared" si="61"/>
        <v>390</v>
      </c>
      <c r="L301" s="4">
        <f t="shared" si="62"/>
        <v>410</v>
      </c>
      <c r="M301" s="4">
        <f t="shared" si="63"/>
        <v>525</v>
      </c>
      <c r="N301" s="4">
        <f t="shared" si="64"/>
        <v>380</v>
      </c>
      <c r="O301" s="4">
        <f t="shared" si="65"/>
        <v>440</v>
      </c>
      <c r="P301" s="4">
        <f>IF((((Price25[Cost]*1.5)+50)/0.835)&lt;2500,
MROUND((((( Price25[Cost]*1.5)+50)/0.835)*1.05)*2,10),
MROUND((((( Price25[Cost]*1.5)+50)/0.835)*1.18)*2,10))</f>
        <v>1300</v>
      </c>
      <c r="Q301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600</v>
      </c>
    </row>
    <row r="302" spans="1:17" x14ac:dyDescent="0.25">
      <c r="A302" s="1"/>
      <c r="B302" s="18">
        <v>2302</v>
      </c>
      <c r="C302" s="19" t="s">
        <v>277</v>
      </c>
      <c r="D302" s="19" t="s">
        <v>494</v>
      </c>
      <c r="E302" s="19" t="s">
        <v>379</v>
      </c>
      <c r="F302" s="19" t="s">
        <v>381</v>
      </c>
      <c r="G302" s="20">
        <v>325</v>
      </c>
      <c r="I302" s="20">
        <v>15</v>
      </c>
      <c r="J302" s="4">
        <f t="shared" si="60"/>
        <v>340</v>
      </c>
      <c r="K302" s="4">
        <f t="shared" si="61"/>
        <v>405</v>
      </c>
      <c r="L302" s="4">
        <f t="shared" si="62"/>
        <v>425</v>
      </c>
      <c r="M302" s="4">
        <f t="shared" si="63"/>
        <v>550</v>
      </c>
      <c r="N302" s="4">
        <f t="shared" si="64"/>
        <v>395</v>
      </c>
      <c r="O302" s="4">
        <f t="shared" si="65"/>
        <v>455</v>
      </c>
      <c r="P302" s="4">
        <f>IF((((Price25[Cost]*1.5)+50)/0.835)&lt;2500,
MROUND((((( Price25[Cost]*1.5)+50)/0.835)*1.05)*2,10),
MROUND((((( Price25[Cost]*1.5)+50)/0.835)*1.18)*2,10))</f>
        <v>1350</v>
      </c>
      <c r="Q302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620</v>
      </c>
    </row>
    <row r="303" spans="1:17" x14ac:dyDescent="0.25">
      <c r="A303" s="1">
        <v>2026</v>
      </c>
      <c r="B303" s="18">
        <v>231</v>
      </c>
      <c r="C303" s="19" t="s">
        <v>277</v>
      </c>
      <c r="D303" s="19" t="s">
        <v>494</v>
      </c>
      <c r="E303" s="19" t="s">
        <v>137</v>
      </c>
      <c r="F303" s="19" t="s">
        <v>526</v>
      </c>
      <c r="G303" s="20">
        <v>225</v>
      </c>
      <c r="I303" s="20">
        <v>15</v>
      </c>
      <c r="J303" s="4">
        <f t="shared" si="60"/>
        <v>240</v>
      </c>
      <c r="K303" s="4">
        <f t="shared" si="61"/>
        <v>285</v>
      </c>
      <c r="L303" s="4">
        <f t="shared" si="62"/>
        <v>300</v>
      </c>
      <c r="M303" s="4">
        <f t="shared" si="63"/>
        <v>400</v>
      </c>
      <c r="N303" s="4">
        <f t="shared" si="64"/>
        <v>280</v>
      </c>
      <c r="O303" s="4">
        <f t="shared" si="65"/>
        <v>325</v>
      </c>
      <c r="P303" s="4">
        <f>IF((((Price25[Cost]*1.5)+50)/0.835)&lt;2500,
MROUND((((( Price25[Cost]*1.5)+50)/0.835)*1.05)*2,10),
MROUND((((( Price25[Cost]*1.5)+50)/0.835)*1.18)*2,10))</f>
        <v>970</v>
      </c>
      <c r="Q303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470</v>
      </c>
    </row>
    <row r="304" spans="1:17" x14ac:dyDescent="0.25">
      <c r="A304" s="1"/>
      <c r="B304" s="18">
        <v>2311</v>
      </c>
      <c r="C304" s="19" t="s">
        <v>277</v>
      </c>
      <c r="D304" s="19" t="s">
        <v>494</v>
      </c>
      <c r="E304" s="19"/>
      <c r="F304" s="19" t="s">
        <v>54</v>
      </c>
      <c r="G304" s="20">
        <v>225</v>
      </c>
      <c r="I304" s="20">
        <v>65</v>
      </c>
      <c r="J304" s="4">
        <f t="shared" si="60"/>
        <v>290</v>
      </c>
      <c r="K304" s="4">
        <f t="shared" si="61"/>
        <v>350</v>
      </c>
      <c r="L304" s="4">
        <f t="shared" si="62"/>
        <v>365</v>
      </c>
      <c r="M304" s="4">
        <f t="shared" si="63"/>
        <v>475</v>
      </c>
      <c r="N304" s="4">
        <f t="shared" si="64"/>
        <v>340</v>
      </c>
      <c r="O304" s="4">
        <f t="shared" si="65"/>
        <v>395</v>
      </c>
      <c r="P304" s="4">
        <f>IF((((Price25[Cost]*1.5)+50)/0.835)&lt;2500,
MROUND((((( Price25[Cost]*1.5)+50)/0.835)*1.05)*2,10),
MROUND((((( Price25[Cost]*1.5)+50)/0.835)*1.18)*2,10))</f>
        <v>970</v>
      </c>
      <c r="Q304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550</v>
      </c>
    </row>
    <row r="305" spans="1:17" x14ac:dyDescent="0.25">
      <c r="A305" s="1">
        <v>2025</v>
      </c>
      <c r="B305" s="18">
        <v>2312</v>
      </c>
      <c r="C305" s="19" t="s">
        <v>277</v>
      </c>
      <c r="D305" s="19" t="s">
        <v>494</v>
      </c>
      <c r="E305" s="19" t="s">
        <v>191</v>
      </c>
      <c r="F305" s="19" t="s">
        <v>433</v>
      </c>
      <c r="G305" s="20">
        <v>220</v>
      </c>
      <c r="H305" s="20">
        <v>5</v>
      </c>
      <c r="I305" s="20">
        <v>345</v>
      </c>
      <c r="J305" s="4">
        <f t="shared" si="60"/>
        <v>570</v>
      </c>
      <c r="K305" s="4">
        <f t="shared" si="61"/>
        <v>680</v>
      </c>
      <c r="L305" s="4">
        <f t="shared" si="62"/>
        <v>715</v>
      </c>
      <c r="M305" s="4">
        <f t="shared" si="63"/>
        <v>900</v>
      </c>
      <c r="N305" s="4">
        <f t="shared" si="64"/>
        <v>660</v>
      </c>
      <c r="O305" s="4">
        <f t="shared" si="65"/>
        <v>770</v>
      </c>
      <c r="P305" s="4">
        <f>IF((((Price25[Cost]*1.5)+50)/0.835)&lt;2500,
MROUND((((( Price25[Cost]*1.5)+50)/0.835)*1.05)*2,10),
MROUND((((( Price25[Cost]*1.5)+50)/0.835)*1.18)*2,10))</f>
        <v>960</v>
      </c>
      <c r="Q305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970</v>
      </c>
    </row>
    <row r="306" spans="1:17" x14ac:dyDescent="0.25">
      <c r="A306" s="1">
        <v>2026</v>
      </c>
      <c r="B306" s="18">
        <v>2313</v>
      </c>
      <c r="C306" s="19" t="s">
        <v>277</v>
      </c>
      <c r="D306" s="19" t="s">
        <v>494</v>
      </c>
      <c r="E306" s="19" t="s">
        <v>190</v>
      </c>
      <c r="F306" s="19" t="s">
        <v>956</v>
      </c>
      <c r="G306" s="20">
        <v>225</v>
      </c>
      <c r="I306" s="20">
        <v>135</v>
      </c>
      <c r="J306" s="4">
        <f t="shared" si="60"/>
        <v>360</v>
      </c>
      <c r="K306" s="4">
        <f t="shared" si="61"/>
        <v>430</v>
      </c>
      <c r="L306" s="4">
        <f t="shared" si="62"/>
        <v>450</v>
      </c>
      <c r="M306" s="4">
        <f t="shared" si="63"/>
        <v>575</v>
      </c>
      <c r="N306" s="4">
        <f t="shared" si="64"/>
        <v>415</v>
      </c>
      <c r="O306" s="4">
        <f t="shared" si="65"/>
        <v>485</v>
      </c>
      <c r="P306" s="4">
        <f>IF((((Price25[Cost]*1.5)+50)/0.835)&lt;2500,
MROUND((((( Price25[Cost]*1.5)+50)/0.835)*1.05)*2,10),
MROUND((((( Price25[Cost]*1.5)+50)/0.835)*1.18)*2,10))</f>
        <v>970</v>
      </c>
      <c r="Q306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650</v>
      </c>
    </row>
    <row r="307" spans="1:17" x14ac:dyDescent="0.25">
      <c r="A307" s="1">
        <v>2026</v>
      </c>
      <c r="B307" s="18">
        <v>2314</v>
      </c>
      <c r="C307" s="19" t="s">
        <v>277</v>
      </c>
      <c r="D307" s="19" t="s">
        <v>494</v>
      </c>
      <c r="E307" s="19" t="s">
        <v>190</v>
      </c>
      <c r="F307" s="19" t="s">
        <v>958</v>
      </c>
      <c r="G307" s="20">
        <v>225</v>
      </c>
      <c r="I307" s="20">
        <v>105</v>
      </c>
      <c r="J307" s="4">
        <f t="shared" si="60"/>
        <v>330</v>
      </c>
      <c r="K307" s="4">
        <f t="shared" si="61"/>
        <v>395</v>
      </c>
      <c r="L307" s="4">
        <f t="shared" si="62"/>
        <v>415</v>
      </c>
      <c r="M307" s="4">
        <f t="shared" si="63"/>
        <v>525</v>
      </c>
      <c r="N307" s="4">
        <f t="shared" si="64"/>
        <v>385</v>
      </c>
      <c r="O307" s="4">
        <f t="shared" si="65"/>
        <v>445</v>
      </c>
      <c r="P307" s="4">
        <f>IF((((Price25[Cost]*1.5)+50)/0.835)&lt;2500,
MROUND((((( Price25[Cost]*1.5)+50)/0.835)*1.05)*2,10),
MROUND((((( Price25[Cost]*1.5)+50)/0.835)*1.18)*2,10))</f>
        <v>970</v>
      </c>
      <c r="Q307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600</v>
      </c>
    </row>
    <row r="308" spans="1:17" x14ac:dyDescent="0.25">
      <c r="A308" s="1">
        <v>2026</v>
      </c>
      <c r="B308" s="18">
        <v>2315</v>
      </c>
      <c r="C308" s="19" t="s">
        <v>277</v>
      </c>
      <c r="D308" s="19" t="s">
        <v>494</v>
      </c>
      <c r="E308" s="19" t="s">
        <v>190</v>
      </c>
      <c r="F308" s="19" t="s">
        <v>959</v>
      </c>
      <c r="G308" s="20">
        <v>225</v>
      </c>
      <c r="I308" s="20">
        <v>145</v>
      </c>
      <c r="J308" s="4">
        <f t="shared" si="60"/>
        <v>370</v>
      </c>
      <c r="K308" s="4">
        <f t="shared" si="61"/>
        <v>445</v>
      </c>
      <c r="L308" s="4">
        <f t="shared" si="62"/>
        <v>465</v>
      </c>
      <c r="M308" s="4">
        <f t="shared" si="63"/>
        <v>600</v>
      </c>
      <c r="N308" s="4">
        <f t="shared" si="64"/>
        <v>430</v>
      </c>
      <c r="O308" s="4">
        <f t="shared" si="65"/>
        <v>500</v>
      </c>
      <c r="P308" s="4">
        <f>IF((((Price25[Cost]*1.5)+50)/0.835)&lt;2500,
MROUND((((( Price25[Cost]*1.5)+50)/0.835)*1.05)*2,10),
MROUND((((( Price25[Cost]*1.5)+50)/0.835)*1.18)*2,10))</f>
        <v>970</v>
      </c>
      <c r="Q308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670</v>
      </c>
    </row>
    <row r="309" spans="1:17" x14ac:dyDescent="0.25">
      <c r="A309" s="1">
        <v>2026</v>
      </c>
      <c r="B309" s="18">
        <v>2316</v>
      </c>
      <c r="C309" s="19" t="s">
        <v>277</v>
      </c>
      <c r="D309" s="19" t="s">
        <v>494</v>
      </c>
      <c r="E309" s="19" t="s">
        <v>190</v>
      </c>
      <c r="F309" s="19" t="s">
        <v>905</v>
      </c>
      <c r="G309" s="20">
        <v>230</v>
      </c>
      <c r="I309" s="20">
        <v>225</v>
      </c>
      <c r="J309" s="4">
        <f t="shared" si="60"/>
        <v>455</v>
      </c>
      <c r="K309" s="4">
        <f t="shared" si="61"/>
        <v>545</v>
      </c>
      <c r="L309" s="4">
        <f t="shared" si="62"/>
        <v>570</v>
      </c>
      <c r="M309" s="4">
        <f t="shared" si="63"/>
        <v>725</v>
      </c>
      <c r="N309" s="4">
        <f t="shared" si="64"/>
        <v>525</v>
      </c>
      <c r="O309" s="4">
        <f t="shared" si="65"/>
        <v>610</v>
      </c>
      <c r="P309" s="4">
        <f>IF((((Price25[Cost]*1.5)+50)/0.835)&lt;2500,
MROUND((((( Price25[Cost]*1.5)+50)/0.835)*1.05)*2,10),
MROUND((((( Price25[Cost]*1.5)+50)/0.835)*1.18)*2,10))</f>
        <v>990</v>
      </c>
      <c r="Q309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800</v>
      </c>
    </row>
    <row r="310" spans="1:17" x14ac:dyDescent="0.25">
      <c r="A310" s="1">
        <v>2025</v>
      </c>
      <c r="B310" s="18">
        <v>2317</v>
      </c>
      <c r="C310" s="19" t="s">
        <v>277</v>
      </c>
      <c r="D310" s="19" t="s">
        <v>494</v>
      </c>
      <c r="E310" s="19" t="s">
        <v>178</v>
      </c>
      <c r="F310" s="19" t="s">
        <v>288</v>
      </c>
      <c r="G310" s="20">
        <v>220</v>
      </c>
      <c r="H310" s="20">
        <v>5</v>
      </c>
      <c r="I310" s="20">
        <v>215</v>
      </c>
      <c r="J310" s="4">
        <f t="shared" si="60"/>
        <v>440</v>
      </c>
      <c r="K310" s="4">
        <f t="shared" si="61"/>
        <v>525</v>
      </c>
      <c r="L310" s="4">
        <f t="shared" si="62"/>
        <v>550</v>
      </c>
      <c r="M310" s="4">
        <f t="shared" si="63"/>
        <v>700</v>
      </c>
      <c r="N310" s="4">
        <f t="shared" si="64"/>
        <v>510</v>
      </c>
      <c r="O310" s="4">
        <f t="shared" si="65"/>
        <v>590</v>
      </c>
      <c r="P310" s="4">
        <f>IF((((Price25[Cost]*1.5)+50)/0.835)&lt;2500,
MROUND((((( Price25[Cost]*1.5)+50)/0.835)*1.05)*2,10),
MROUND((((( Price25[Cost]*1.5)+50)/0.835)*1.18)*2,10))</f>
        <v>960</v>
      </c>
      <c r="Q310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770</v>
      </c>
    </row>
    <row r="311" spans="1:17" x14ac:dyDescent="0.25">
      <c r="A311" s="1">
        <v>2025</v>
      </c>
      <c r="B311" s="18">
        <v>2318</v>
      </c>
      <c r="C311" s="19" t="s">
        <v>277</v>
      </c>
      <c r="D311" s="19" t="s">
        <v>494</v>
      </c>
      <c r="E311" s="19" t="s">
        <v>190</v>
      </c>
      <c r="F311" s="19" t="s">
        <v>448</v>
      </c>
      <c r="G311" s="20">
        <v>220</v>
      </c>
      <c r="H311" s="20">
        <v>5</v>
      </c>
      <c r="I311" s="20">
        <v>215</v>
      </c>
      <c r="J311" s="4">
        <f t="shared" si="60"/>
        <v>440</v>
      </c>
      <c r="K311" s="4">
        <f t="shared" si="61"/>
        <v>525</v>
      </c>
      <c r="L311" s="4">
        <f t="shared" si="62"/>
        <v>550</v>
      </c>
      <c r="M311" s="4">
        <f t="shared" si="63"/>
        <v>700</v>
      </c>
      <c r="N311" s="4">
        <f t="shared" si="64"/>
        <v>510</v>
      </c>
      <c r="O311" s="4">
        <f t="shared" si="65"/>
        <v>590</v>
      </c>
      <c r="P311" s="4">
        <f>IF((((Price25[Cost]*1.5)+50)/0.835)&lt;2500,
MROUND((((( Price25[Cost]*1.5)+50)/0.835)*1.05)*2,10),
MROUND((((( Price25[Cost]*1.5)+50)/0.835)*1.18)*2,10))</f>
        <v>960</v>
      </c>
      <c r="Q311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770</v>
      </c>
    </row>
    <row r="312" spans="1:17" x14ac:dyDescent="0.25">
      <c r="A312" s="1">
        <v>2026</v>
      </c>
      <c r="B312" s="18">
        <v>2320</v>
      </c>
      <c r="C312" s="19" t="s">
        <v>277</v>
      </c>
      <c r="D312" s="19" t="s">
        <v>494</v>
      </c>
      <c r="E312" s="19" t="s">
        <v>190</v>
      </c>
      <c r="F312" s="19" t="s">
        <v>960</v>
      </c>
      <c r="G312" s="20">
        <v>225</v>
      </c>
      <c r="I312" s="20">
        <v>160</v>
      </c>
      <c r="J312" s="4">
        <f t="shared" si="60"/>
        <v>385</v>
      </c>
      <c r="K312" s="4">
        <f t="shared" si="61"/>
        <v>465</v>
      </c>
      <c r="L312" s="4">
        <f t="shared" si="62"/>
        <v>485</v>
      </c>
      <c r="M312" s="4">
        <f t="shared" si="63"/>
        <v>625</v>
      </c>
      <c r="N312" s="4">
        <f t="shared" si="64"/>
        <v>450</v>
      </c>
      <c r="O312" s="4">
        <f t="shared" si="65"/>
        <v>520</v>
      </c>
      <c r="P312" s="4">
        <f>IF((((Price25[Cost]*1.5)+50)/0.835)&lt;2500,
MROUND((((( Price25[Cost]*1.5)+50)/0.835)*1.05)*2,10),
MROUND((((( Price25[Cost]*1.5)+50)/0.835)*1.18)*2,10))</f>
        <v>970</v>
      </c>
      <c r="Q312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700</v>
      </c>
    </row>
    <row r="313" spans="1:17" x14ac:dyDescent="0.25">
      <c r="A313" s="1">
        <v>2026</v>
      </c>
      <c r="B313" s="18">
        <v>232</v>
      </c>
      <c r="C313" s="19" t="s">
        <v>277</v>
      </c>
      <c r="D313" s="19" t="s">
        <v>494</v>
      </c>
      <c r="E313" s="19" t="s">
        <v>186</v>
      </c>
      <c r="F313" s="19" t="s">
        <v>861</v>
      </c>
      <c r="G313" s="20">
        <v>300</v>
      </c>
      <c r="H313" s="20">
        <v>10</v>
      </c>
      <c r="I313" s="20">
        <v>15</v>
      </c>
      <c r="J313" s="4">
        <f t="shared" si="60"/>
        <v>325</v>
      </c>
      <c r="K313" s="4">
        <f t="shared" si="61"/>
        <v>390</v>
      </c>
      <c r="L313" s="4">
        <f t="shared" si="62"/>
        <v>410</v>
      </c>
      <c r="M313" s="4">
        <f t="shared" si="63"/>
        <v>525</v>
      </c>
      <c r="N313" s="4">
        <f t="shared" si="64"/>
        <v>380</v>
      </c>
      <c r="O313" s="4">
        <f t="shared" si="65"/>
        <v>440</v>
      </c>
      <c r="P313" s="4">
        <f>IF((((Price25[Cost]*1.5)+50)/0.835)&lt;2500,
MROUND((((( Price25[Cost]*1.5)+50)/0.835)*1.05)*2,10),
MROUND((((( Price25[Cost]*1.5)+50)/0.835)*1.18)*2,10))</f>
        <v>1260</v>
      </c>
      <c r="Q313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600</v>
      </c>
    </row>
    <row r="314" spans="1:17" x14ac:dyDescent="0.25">
      <c r="A314" s="1">
        <v>2025</v>
      </c>
      <c r="B314" s="18">
        <v>233</v>
      </c>
      <c r="C314" s="19" t="s">
        <v>277</v>
      </c>
      <c r="D314" s="19" t="s">
        <v>494</v>
      </c>
      <c r="E314" s="19" t="s">
        <v>186</v>
      </c>
      <c r="F314" s="19" t="s">
        <v>430</v>
      </c>
      <c r="G314" s="20">
        <v>290</v>
      </c>
      <c r="H314" s="20">
        <v>10</v>
      </c>
      <c r="I314" s="20">
        <v>15</v>
      </c>
      <c r="J314" s="4">
        <f t="shared" si="60"/>
        <v>315</v>
      </c>
      <c r="K314" s="4">
        <f t="shared" si="61"/>
        <v>380</v>
      </c>
      <c r="L314" s="4">
        <f t="shared" si="62"/>
        <v>395</v>
      </c>
      <c r="M314" s="4">
        <f t="shared" si="63"/>
        <v>500</v>
      </c>
      <c r="N314" s="4">
        <f t="shared" si="64"/>
        <v>365</v>
      </c>
      <c r="O314" s="4">
        <f t="shared" si="65"/>
        <v>425</v>
      </c>
      <c r="P314" s="4">
        <f>IF((((Price25[Cost]*1.5)+50)/0.835)&lt;2500,
MROUND((((( Price25[Cost]*1.5)+50)/0.835)*1.05)*2,10),
MROUND((((( Price25[Cost]*1.5)+50)/0.835)*1.18)*2,10))</f>
        <v>1220</v>
      </c>
      <c r="Q314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570</v>
      </c>
    </row>
    <row r="315" spans="1:17" x14ac:dyDescent="0.25">
      <c r="A315" s="1"/>
      <c r="B315" s="18">
        <v>2331</v>
      </c>
      <c r="C315" s="19" t="s">
        <v>277</v>
      </c>
      <c r="D315" s="19" t="s">
        <v>494</v>
      </c>
      <c r="E315" s="19"/>
      <c r="F315" s="19" t="s">
        <v>285</v>
      </c>
      <c r="G315" s="20">
        <v>225</v>
      </c>
      <c r="I315" s="20">
        <v>40</v>
      </c>
      <c r="J315" s="4">
        <f t="shared" si="60"/>
        <v>265</v>
      </c>
      <c r="K315" s="4">
        <f t="shared" si="61"/>
        <v>320</v>
      </c>
      <c r="L315" s="4">
        <f t="shared" si="62"/>
        <v>335</v>
      </c>
      <c r="M315" s="4">
        <f t="shared" si="63"/>
        <v>425</v>
      </c>
      <c r="N315" s="4">
        <f t="shared" si="64"/>
        <v>310</v>
      </c>
      <c r="O315" s="4">
        <f t="shared" si="65"/>
        <v>360</v>
      </c>
      <c r="P315" s="4">
        <f>IF((((Price25[Cost]*1.5)+50)/0.835)&lt;2500,
MROUND((((( Price25[Cost]*1.5)+50)/0.835)*1.05)*2,10),
MROUND((((( Price25[Cost]*1.5)+50)/0.835)*1.18)*2,10))</f>
        <v>970</v>
      </c>
      <c r="Q315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500</v>
      </c>
    </row>
    <row r="316" spans="1:17" x14ac:dyDescent="0.25">
      <c r="A316" s="1">
        <v>2026</v>
      </c>
      <c r="B316" s="18">
        <v>2332</v>
      </c>
      <c r="C316" s="19" t="s">
        <v>277</v>
      </c>
      <c r="D316" s="19" t="s">
        <v>494</v>
      </c>
      <c r="E316" s="19" t="s">
        <v>190</v>
      </c>
      <c r="F316" s="19" t="s">
        <v>1004</v>
      </c>
      <c r="G316" s="20">
        <v>225</v>
      </c>
      <c r="I316" s="20">
        <v>85</v>
      </c>
      <c r="J316" s="4">
        <f t="shared" si="60"/>
        <v>310</v>
      </c>
      <c r="K316" s="4">
        <f t="shared" si="61"/>
        <v>375</v>
      </c>
      <c r="L316" s="4">
        <f t="shared" si="62"/>
        <v>390</v>
      </c>
      <c r="M316" s="4">
        <f t="shared" si="63"/>
        <v>500</v>
      </c>
      <c r="N316" s="4">
        <f t="shared" si="64"/>
        <v>360</v>
      </c>
      <c r="O316" s="4">
        <f t="shared" si="65"/>
        <v>425</v>
      </c>
      <c r="P316" s="4">
        <f>IF((((Price25[Cost]*1.5)+50)/0.835)&lt;2500,
MROUND((((( Price25[Cost]*1.5)+50)/0.835)*1.05)*2,10),
MROUND((((( Price25[Cost]*1.5)+50)/0.835)*1.18)*2,10))</f>
        <v>970</v>
      </c>
      <c r="Q316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570</v>
      </c>
    </row>
    <row r="317" spans="1:17" x14ac:dyDescent="0.25">
      <c r="A317" s="1">
        <v>2026</v>
      </c>
      <c r="B317" s="18">
        <v>2334</v>
      </c>
      <c r="C317" s="19" t="s">
        <v>277</v>
      </c>
      <c r="D317" s="19" t="s">
        <v>494</v>
      </c>
      <c r="E317" s="19" t="s">
        <v>190</v>
      </c>
      <c r="F317" s="19" t="s">
        <v>971</v>
      </c>
      <c r="G317" s="20">
        <v>225</v>
      </c>
      <c r="I317" s="20">
        <v>160</v>
      </c>
      <c r="J317" s="4">
        <f t="shared" si="60"/>
        <v>385</v>
      </c>
      <c r="K317" s="4">
        <f t="shared" si="61"/>
        <v>465</v>
      </c>
      <c r="L317" s="4">
        <f t="shared" si="62"/>
        <v>485</v>
      </c>
      <c r="M317" s="4">
        <f t="shared" si="63"/>
        <v>625</v>
      </c>
      <c r="N317" s="4">
        <f t="shared" si="64"/>
        <v>450</v>
      </c>
      <c r="O317" s="4">
        <f t="shared" si="65"/>
        <v>520</v>
      </c>
      <c r="P317" s="4">
        <f>IF((((Price25[Cost]*1.5)+50)/0.835)&lt;2500,
MROUND((((( Price25[Cost]*1.5)+50)/0.835)*1.05)*2,10),
MROUND((((( Price25[Cost]*1.5)+50)/0.835)*1.18)*2,10))</f>
        <v>970</v>
      </c>
      <c r="Q317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700</v>
      </c>
    </row>
    <row r="318" spans="1:17" x14ac:dyDescent="0.25">
      <c r="A318" s="1">
        <v>2026</v>
      </c>
      <c r="B318" s="18">
        <v>2335</v>
      </c>
      <c r="C318" s="19" t="s">
        <v>277</v>
      </c>
      <c r="D318" s="19" t="s">
        <v>494</v>
      </c>
      <c r="E318" s="19" t="s">
        <v>129</v>
      </c>
      <c r="F318" s="19" t="s">
        <v>456</v>
      </c>
      <c r="G318" s="20">
        <v>155</v>
      </c>
      <c r="H318" s="20">
        <v>5</v>
      </c>
      <c r="I318" s="20">
        <v>75</v>
      </c>
      <c r="J318" s="4">
        <f t="shared" si="60"/>
        <v>235</v>
      </c>
      <c r="K318" s="4">
        <f t="shared" si="61"/>
        <v>285</v>
      </c>
      <c r="L318" s="4">
        <f t="shared" si="62"/>
        <v>295</v>
      </c>
      <c r="M318" s="4">
        <f t="shared" si="63"/>
        <v>375</v>
      </c>
      <c r="N318" s="4">
        <f t="shared" si="64"/>
        <v>275</v>
      </c>
      <c r="O318" s="4">
        <f t="shared" si="65"/>
        <v>320</v>
      </c>
      <c r="P318" s="4">
        <f>IF((((Price25[Cost]*1.5)+50)/0.835)&lt;2500,
MROUND((((( Price25[Cost]*1.5)+50)/0.835)*1.05)*2,10),
MROUND((((( Price25[Cost]*1.5)+50)/0.835)*1.18)*2,10))</f>
        <v>710</v>
      </c>
      <c r="Q318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450</v>
      </c>
    </row>
    <row r="319" spans="1:17" x14ac:dyDescent="0.25">
      <c r="A319" s="1">
        <v>2025</v>
      </c>
      <c r="B319" s="18">
        <v>2336</v>
      </c>
      <c r="C319" s="19" t="s">
        <v>284</v>
      </c>
      <c r="D319" s="19" t="s">
        <v>494</v>
      </c>
      <c r="E319" s="19" t="s">
        <v>190</v>
      </c>
      <c r="F319" s="19" t="s">
        <v>502</v>
      </c>
      <c r="G319" s="20">
        <v>220</v>
      </c>
      <c r="H319" s="20">
        <v>5</v>
      </c>
      <c r="I319" s="20">
        <v>220</v>
      </c>
      <c r="J319" s="4">
        <f t="shared" si="60"/>
        <v>445</v>
      </c>
      <c r="K319" s="4">
        <f t="shared" si="61"/>
        <v>535</v>
      </c>
      <c r="L319" s="4">
        <f t="shared" si="62"/>
        <v>560</v>
      </c>
      <c r="M319" s="4">
        <f t="shared" si="63"/>
        <v>725</v>
      </c>
      <c r="N319" s="4">
        <f t="shared" si="64"/>
        <v>520</v>
      </c>
      <c r="O319" s="4">
        <f t="shared" si="65"/>
        <v>600</v>
      </c>
      <c r="P319" s="4">
        <f>IF((((Price25[Cost]*1.5)+50)/0.835)&lt;2500,
MROUND((((( Price25[Cost]*1.5)+50)/0.835)*1.05)*2,10),
MROUND((((( Price25[Cost]*1.5)+50)/0.835)*1.18)*2,10))</f>
        <v>960</v>
      </c>
      <c r="Q319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800</v>
      </c>
    </row>
    <row r="320" spans="1:17" x14ac:dyDescent="0.25">
      <c r="A320" s="1">
        <v>2026</v>
      </c>
      <c r="B320" s="18">
        <v>2337</v>
      </c>
      <c r="C320" s="19" t="s">
        <v>277</v>
      </c>
      <c r="D320" s="19" t="s">
        <v>494</v>
      </c>
      <c r="E320" s="19" t="s">
        <v>190</v>
      </c>
      <c r="F320" s="19" t="s">
        <v>972</v>
      </c>
      <c r="G320" s="20">
        <v>225</v>
      </c>
      <c r="I320" s="20">
        <v>185</v>
      </c>
      <c r="J320" s="4">
        <f>IF(SUMIF(G320:I320,"&lt;&gt;")=0,"",SUM(G320:I320))</f>
        <v>410</v>
      </c>
      <c r="K320" s="4">
        <f>IF(ISNUMBER(L320),
   IF(CEILING(ROUND(L320*0.95,2),5)=420,
      425,
      CEILING(ROUND(L320*0.95,2),5)
   ),
   ""
)</f>
        <v>490</v>
      </c>
      <c r="L320" s="4">
        <f>IF(AND(ISNUMBER(J320),ISNUMBER(G320)),
   IF(CEILING(ROUND(J320*1.25,2),5)=420,
      425,
      CEILING(ROUND(J320*1.25,2),5)
   ),
   ""
)</f>
        <v>515</v>
      </c>
      <c r="M320" s="4">
        <f>IF(AND(ISNUMBER(J320),ISNUMBER(G320)),
   IF(
      CEILING(
         ROUND((J320*1.5) * IF(J320*1.5 &lt;= 2500, 1.05, 1.18), 2),
         IF(ROUND((J320*1.5) * IF(J320*1.5 &lt;= 2500, 1.05, 1.18), 2) &lt; 2500, 25, 50)
      )=420,
      425,
      CEILING(
         ROUND((J320*1.5) * IF(J320*1.5 &lt;= 2500, 1.05, 1.18), 2),
         IF(ROUND((J320*1.5) * IF(J320*1.5 &lt;= 2500, 1.05, 1.18), 2) &lt; 2500, 25, 50)
      )
   ),
   ""
)</f>
        <v>650</v>
      </c>
      <c r="N320" s="4">
        <f>IF(ISNUMBER(G320),
   IF(CEILING(ROUND(L320*0.92,2),5)=420,
      425,
      CEILING(ROUND(L320*0.92,2),5)
   ),
   ""
)</f>
        <v>475</v>
      </c>
      <c r="O320" s="4">
        <f>IF(ISNUMBER(L320),
   IF(CEILING(ROUND(L320*1.07,2),5)=420,
      425,
      CEILING(ROUND(L320*1.07,2),5)
   ),
   ""
)</f>
        <v>555</v>
      </c>
      <c r="P320" s="4">
        <f>IF((((Price25[Cost]*1.5)+50)/0.835)&lt;2500,
MROUND((((( Price25[Cost]*1.5)+50)/0.835)*1.05)*2,10),
MROUND((((( Price25[Cost]*1.5)+50)/0.835)*1.18)*2,10))</f>
        <v>970</v>
      </c>
      <c r="Q320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720</v>
      </c>
    </row>
    <row r="321" spans="1:17" x14ac:dyDescent="0.25">
      <c r="A321" s="1">
        <v>2026</v>
      </c>
      <c r="B321" s="18">
        <v>234</v>
      </c>
      <c r="C321" s="19" t="s">
        <v>277</v>
      </c>
      <c r="D321" s="19" t="s">
        <v>494</v>
      </c>
      <c r="E321" s="19" t="s">
        <v>872</v>
      </c>
      <c r="F321" s="19" t="s">
        <v>873</v>
      </c>
      <c r="G321" s="20">
        <v>210</v>
      </c>
      <c r="I321" s="20">
        <v>20</v>
      </c>
      <c r="J321" s="4">
        <f t="shared" si="60"/>
        <v>230</v>
      </c>
      <c r="K321" s="4">
        <f t="shared" si="61"/>
        <v>280</v>
      </c>
      <c r="L321" s="4">
        <f t="shared" si="62"/>
        <v>290</v>
      </c>
      <c r="M321" s="4">
        <f t="shared" si="63"/>
        <v>375</v>
      </c>
      <c r="N321" s="4">
        <f t="shared" si="64"/>
        <v>270</v>
      </c>
      <c r="O321" s="4">
        <f t="shared" si="65"/>
        <v>315</v>
      </c>
      <c r="P321" s="4">
        <f>IF((((Price25[Cost]*1.5)+50)/0.835)&lt;2500,
MROUND((((( Price25[Cost]*1.5)+50)/0.835)*1.05)*2,10),
MROUND((((( Price25[Cost]*1.5)+50)/0.835)*1.18)*2,10))</f>
        <v>920</v>
      </c>
      <c r="Q321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450</v>
      </c>
    </row>
    <row r="322" spans="1:17" x14ac:dyDescent="0.25">
      <c r="A322" s="1"/>
      <c r="B322" s="18">
        <v>235</v>
      </c>
      <c r="C322" s="19" t="s">
        <v>277</v>
      </c>
      <c r="D322" s="19" t="s">
        <v>494</v>
      </c>
      <c r="E322" s="19" t="s">
        <v>186</v>
      </c>
      <c r="F322" s="19" t="s">
        <v>188</v>
      </c>
      <c r="G322" s="20">
        <v>275</v>
      </c>
      <c r="I322" s="20">
        <v>15</v>
      </c>
      <c r="J322" s="4">
        <f t="shared" si="60"/>
        <v>290</v>
      </c>
      <c r="K322" s="4">
        <f t="shared" si="61"/>
        <v>350</v>
      </c>
      <c r="L322" s="4">
        <f t="shared" si="62"/>
        <v>365</v>
      </c>
      <c r="M322" s="4">
        <f t="shared" si="63"/>
        <v>475</v>
      </c>
      <c r="N322" s="4">
        <f t="shared" si="64"/>
        <v>340</v>
      </c>
      <c r="O322" s="4">
        <f t="shared" si="65"/>
        <v>395</v>
      </c>
      <c r="P322" s="4">
        <f>IF((((Price25[Cost]*1.5)+50)/0.835)&lt;2500,
MROUND((((( Price25[Cost]*1.5)+50)/0.835)*1.05)*2,10),
MROUND((((( Price25[Cost]*1.5)+50)/0.835)*1.18)*2,10))</f>
        <v>1160</v>
      </c>
      <c r="Q322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550</v>
      </c>
    </row>
    <row r="323" spans="1:17" x14ac:dyDescent="0.25">
      <c r="A323" s="1">
        <v>2026</v>
      </c>
      <c r="B323" s="18">
        <v>2351</v>
      </c>
      <c r="C323" s="19" t="s">
        <v>277</v>
      </c>
      <c r="D323" s="19" t="s">
        <v>494</v>
      </c>
      <c r="E323" s="19" t="s">
        <v>186</v>
      </c>
      <c r="F323" s="19" t="s">
        <v>917</v>
      </c>
      <c r="G323" s="20">
        <v>245</v>
      </c>
      <c r="H323" s="20">
        <v>5</v>
      </c>
      <c r="I323" s="20">
        <v>90</v>
      </c>
      <c r="J323" s="4">
        <f t="shared" si="60"/>
        <v>340</v>
      </c>
      <c r="K323" s="4">
        <f t="shared" si="61"/>
        <v>405</v>
      </c>
      <c r="L323" s="4">
        <f t="shared" si="62"/>
        <v>425</v>
      </c>
      <c r="M323" s="4">
        <f t="shared" si="63"/>
        <v>550</v>
      </c>
      <c r="N323" s="4">
        <f t="shared" si="64"/>
        <v>395</v>
      </c>
      <c r="O323" s="4">
        <f t="shared" si="65"/>
        <v>455</v>
      </c>
      <c r="P323" s="4">
        <f>IF((((Price25[Cost]*1.5)+50)/0.835)&lt;2500,
MROUND((((( Price25[Cost]*1.5)+50)/0.835)*1.05)*2,10),
MROUND((((( Price25[Cost]*1.5)+50)/0.835)*1.18)*2,10))</f>
        <v>1050</v>
      </c>
      <c r="Q323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620</v>
      </c>
    </row>
    <row r="324" spans="1:17" x14ac:dyDescent="0.25">
      <c r="A324" s="1">
        <v>2025</v>
      </c>
      <c r="B324" s="18">
        <v>238</v>
      </c>
      <c r="C324" s="19" t="s">
        <v>277</v>
      </c>
      <c r="D324" s="19" t="s">
        <v>494</v>
      </c>
      <c r="E324" s="19" t="s">
        <v>251</v>
      </c>
      <c r="F324" s="19" t="s">
        <v>550</v>
      </c>
      <c r="G324" s="20">
        <v>198</v>
      </c>
      <c r="H324" s="20">
        <v>5</v>
      </c>
      <c r="I324" s="20">
        <v>25</v>
      </c>
      <c r="J324" s="4">
        <f t="shared" si="60"/>
        <v>228</v>
      </c>
      <c r="K324" s="4">
        <f t="shared" si="61"/>
        <v>275</v>
      </c>
      <c r="L324" s="4">
        <f t="shared" si="62"/>
        <v>285</v>
      </c>
      <c r="M324" s="4">
        <f t="shared" si="63"/>
        <v>375</v>
      </c>
      <c r="N324" s="4">
        <f t="shared" si="64"/>
        <v>265</v>
      </c>
      <c r="O324" s="4">
        <f t="shared" si="65"/>
        <v>305</v>
      </c>
      <c r="P324" s="4">
        <f>IF((((Price25[Cost]*1.5)+50)/0.835)&lt;2500,
MROUND((((( Price25[Cost]*1.5)+50)/0.835)*1.05)*2,10),
MROUND((((( Price25[Cost]*1.5)+50)/0.835)*1.18)*2,10))</f>
        <v>870</v>
      </c>
      <c r="Q324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450</v>
      </c>
    </row>
    <row r="325" spans="1:17" x14ac:dyDescent="0.25">
      <c r="A325" s="1">
        <v>2025</v>
      </c>
      <c r="B325" s="18">
        <v>240</v>
      </c>
      <c r="C325" s="19" t="s">
        <v>277</v>
      </c>
      <c r="D325" s="19" t="s">
        <v>498</v>
      </c>
      <c r="E325" s="19" t="s">
        <v>241</v>
      </c>
      <c r="F325" s="19" t="s">
        <v>157</v>
      </c>
      <c r="G325" s="20">
        <v>100</v>
      </c>
      <c r="I325" s="20">
        <v>10</v>
      </c>
      <c r="J325" s="4">
        <f t="shared" si="60"/>
        <v>110</v>
      </c>
      <c r="K325" s="4">
        <f t="shared" si="61"/>
        <v>135</v>
      </c>
      <c r="L325" s="4">
        <f t="shared" si="62"/>
        <v>140</v>
      </c>
      <c r="M325" s="4">
        <f t="shared" si="63"/>
        <v>175</v>
      </c>
      <c r="N325" s="4">
        <f t="shared" si="64"/>
        <v>130</v>
      </c>
      <c r="O325" s="4">
        <f t="shared" si="65"/>
        <v>150</v>
      </c>
      <c r="P325" s="4">
        <f>IF((((Price25[Cost]*1.5)+50)/0.835)&lt;2500,
MROUND((((( Price25[Cost]*1.5)+50)/0.835)*1.05)*2,10),
MROUND((((( Price25[Cost]*1.5)+50)/0.835)*1.18)*2,10))</f>
        <v>500</v>
      </c>
      <c r="Q325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250</v>
      </c>
    </row>
    <row r="326" spans="1:17" x14ac:dyDescent="0.25">
      <c r="A326" s="1"/>
      <c r="B326" s="18">
        <v>2401</v>
      </c>
      <c r="C326" s="19" t="s">
        <v>277</v>
      </c>
      <c r="D326" s="19" t="s">
        <v>498</v>
      </c>
      <c r="E326" s="19" t="s">
        <v>241</v>
      </c>
      <c r="F326" s="19" t="s">
        <v>243</v>
      </c>
      <c r="G326" s="20">
        <v>130</v>
      </c>
      <c r="I326" s="20">
        <v>10</v>
      </c>
      <c r="J326" s="4">
        <f t="shared" si="60"/>
        <v>140</v>
      </c>
      <c r="K326" s="4">
        <f t="shared" si="61"/>
        <v>170</v>
      </c>
      <c r="L326" s="4">
        <f t="shared" si="62"/>
        <v>175</v>
      </c>
      <c r="M326" s="4">
        <f t="shared" si="63"/>
        <v>225</v>
      </c>
      <c r="N326" s="4">
        <f t="shared" si="64"/>
        <v>165</v>
      </c>
      <c r="O326" s="4">
        <f t="shared" si="65"/>
        <v>190</v>
      </c>
      <c r="P326" s="4">
        <f>IF((((Price25[Cost]*1.5)+50)/0.835)&lt;2500,
MROUND((((( Price25[Cost]*1.5)+50)/0.835)*1.05)*2,10),
MROUND((((( Price25[Cost]*1.5)+50)/0.835)*1.18)*2,10))</f>
        <v>620</v>
      </c>
      <c r="Q326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300</v>
      </c>
    </row>
    <row r="327" spans="1:17" x14ac:dyDescent="0.25">
      <c r="A327" s="1">
        <v>2025</v>
      </c>
      <c r="B327" s="18">
        <v>2402</v>
      </c>
      <c r="C327" s="19" t="s">
        <v>277</v>
      </c>
      <c r="D327" s="19" t="s">
        <v>498</v>
      </c>
      <c r="E327" s="19" t="s">
        <v>241</v>
      </c>
      <c r="F327" s="19" t="s">
        <v>156</v>
      </c>
      <c r="G327" s="20">
        <v>95</v>
      </c>
      <c r="I327" s="20">
        <v>10</v>
      </c>
      <c r="J327" s="4">
        <f t="shared" si="60"/>
        <v>105</v>
      </c>
      <c r="K327" s="4">
        <f t="shared" si="61"/>
        <v>130</v>
      </c>
      <c r="L327" s="4">
        <f t="shared" si="62"/>
        <v>135</v>
      </c>
      <c r="M327" s="4">
        <f t="shared" si="63"/>
        <v>175</v>
      </c>
      <c r="N327" s="4">
        <f t="shared" si="64"/>
        <v>125</v>
      </c>
      <c r="O327" s="4">
        <f t="shared" si="65"/>
        <v>145</v>
      </c>
      <c r="P327" s="4">
        <f>IF((((Price25[Cost]*1.5)+50)/0.835)&lt;2500,
MROUND((((( Price25[Cost]*1.5)+50)/0.835)*1.05)*2,10),
MROUND((((( Price25[Cost]*1.5)+50)/0.835)*1.18)*2,10))</f>
        <v>480</v>
      </c>
      <c r="Q327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250</v>
      </c>
    </row>
    <row r="328" spans="1:17" x14ac:dyDescent="0.25">
      <c r="A328" s="1">
        <v>2025</v>
      </c>
      <c r="B328" s="18">
        <v>2403</v>
      </c>
      <c r="C328" s="19" t="s">
        <v>277</v>
      </c>
      <c r="D328" s="19" t="s">
        <v>498</v>
      </c>
      <c r="E328" s="19" t="s">
        <v>241</v>
      </c>
      <c r="F328" s="19" t="s">
        <v>434</v>
      </c>
      <c r="G328" s="20">
        <v>115</v>
      </c>
      <c r="I328" s="20">
        <v>10</v>
      </c>
      <c r="J328" s="4">
        <f t="shared" si="60"/>
        <v>125</v>
      </c>
      <c r="K328" s="4">
        <f t="shared" si="61"/>
        <v>155</v>
      </c>
      <c r="L328" s="4">
        <f t="shared" si="62"/>
        <v>160</v>
      </c>
      <c r="M328" s="4">
        <f t="shared" si="63"/>
        <v>200</v>
      </c>
      <c r="N328" s="4">
        <f t="shared" si="64"/>
        <v>150</v>
      </c>
      <c r="O328" s="4">
        <f t="shared" si="65"/>
        <v>175</v>
      </c>
      <c r="P328" s="4">
        <f>IF((((Price25[Cost]*1.5)+50)/0.835)&lt;2500,
MROUND((((( Price25[Cost]*1.5)+50)/0.835)*1.05)*2,10),
MROUND((((( Price25[Cost]*1.5)+50)/0.835)*1.18)*2,10))</f>
        <v>560</v>
      </c>
      <c r="Q328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270</v>
      </c>
    </row>
    <row r="329" spans="1:17" x14ac:dyDescent="0.25">
      <c r="A329" s="1">
        <v>2025</v>
      </c>
      <c r="B329" s="18">
        <v>2404</v>
      </c>
      <c r="C329" s="19" t="s">
        <v>277</v>
      </c>
      <c r="D329" s="19" t="s">
        <v>498</v>
      </c>
      <c r="E329" s="19" t="s">
        <v>241</v>
      </c>
      <c r="F329" s="19" t="s">
        <v>435</v>
      </c>
      <c r="G329" s="20">
        <v>115</v>
      </c>
      <c r="I329" s="20">
        <v>10</v>
      </c>
      <c r="J329" s="4">
        <f t="shared" si="60"/>
        <v>125</v>
      </c>
      <c r="K329" s="4">
        <f t="shared" si="61"/>
        <v>155</v>
      </c>
      <c r="L329" s="4">
        <f t="shared" si="62"/>
        <v>160</v>
      </c>
      <c r="M329" s="4">
        <f t="shared" si="63"/>
        <v>200</v>
      </c>
      <c r="N329" s="4">
        <f t="shared" si="64"/>
        <v>150</v>
      </c>
      <c r="O329" s="4">
        <f t="shared" si="65"/>
        <v>175</v>
      </c>
      <c r="P329" s="4">
        <f>IF((((Price25[Cost]*1.5)+50)/0.835)&lt;2500,
MROUND((((( Price25[Cost]*1.5)+50)/0.835)*1.05)*2,10),
MROUND((((( Price25[Cost]*1.5)+50)/0.835)*1.18)*2,10))</f>
        <v>560</v>
      </c>
      <c r="Q329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270</v>
      </c>
    </row>
    <row r="330" spans="1:17" x14ac:dyDescent="0.25">
      <c r="A330" s="1">
        <v>2026</v>
      </c>
      <c r="B330" s="18">
        <v>2405</v>
      </c>
      <c r="C330" s="19" t="s">
        <v>277</v>
      </c>
      <c r="D330" s="19" t="s">
        <v>498</v>
      </c>
      <c r="E330" s="19" t="s">
        <v>241</v>
      </c>
      <c r="F330" s="19" t="s">
        <v>966</v>
      </c>
      <c r="G330" s="20">
        <v>140</v>
      </c>
      <c r="I330" s="20">
        <v>10</v>
      </c>
      <c r="J330" s="4">
        <f t="shared" si="60"/>
        <v>150</v>
      </c>
      <c r="K330" s="4">
        <f t="shared" si="61"/>
        <v>185</v>
      </c>
      <c r="L330" s="4">
        <f t="shared" si="62"/>
        <v>190</v>
      </c>
      <c r="M330" s="4">
        <f t="shared" si="63"/>
        <v>250</v>
      </c>
      <c r="N330" s="4">
        <f t="shared" si="64"/>
        <v>175</v>
      </c>
      <c r="O330" s="4">
        <f t="shared" si="65"/>
        <v>205</v>
      </c>
      <c r="P330" s="4">
        <f>IF((((Price25[Cost]*1.5)+50)/0.835)&lt;2500,
MROUND((((( Price25[Cost]*1.5)+50)/0.835)*1.05)*2,10),
MROUND((((( Price25[Cost]*1.5)+50)/0.835)*1.18)*2,10))</f>
        <v>650</v>
      </c>
      <c r="Q330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320</v>
      </c>
    </row>
    <row r="331" spans="1:17" x14ac:dyDescent="0.25">
      <c r="A331" s="1">
        <v>2026</v>
      </c>
      <c r="B331" s="18">
        <v>2406</v>
      </c>
      <c r="C331" s="19" t="s">
        <v>277</v>
      </c>
      <c r="D331" s="19" t="s">
        <v>498</v>
      </c>
      <c r="E331" s="19" t="s">
        <v>241</v>
      </c>
      <c r="F331" s="19" t="s">
        <v>244</v>
      </c>
      <c r="G331" s="20">
        <v>165</v>
      </c>
      <c r="I331" s="20">
        <v>10</v>
      </c>
      <c r="J331" s="4">
        <f t="shared" si="60"/>
        <v>175</v>
      </c>
      <c r="K331" s="4">
        <f t="shared" si="61"/>
        <v>210</v>
      </c>
      <c r="L331" s="4">
        <f t="shared" si="62"/>
        <v>220</v>
      </c>
      <c r="M331" s="4">
        <f t="shared" si="63"/>
        <v>300</v>
      </c>
      <c r="N331" s="4">
        <f t="shared" si="64"/>
        <v>205</v>
      </c>
      <c r="O331" s="4">
        <f t="shared" si="65"/>
        <v>240</v>
      </c>
      <c r="P331" s="4">
        <f>IF((((Price25[Cost]*1.5)+50)/0.835)&lt;2500,
MROUND((((( Price25[Cost]*1.5)+50)/0.835)*1.05)*2,10),
MROUND((((( Price25[Cost]*1.5)+50)/0.835)*1.18)*2,10))</f>
        <v>750</v>
      </c>
      <c r="Q331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370</v>
      </c>
    </row>
    <row r="332" spans="1:17" x14ac:dyDescent="0.25">
      <c r="A332" s="1">
        <v>2026</v>
      </c>
      <c r="B332" s="18">
        <v>2407</v>
      </c>
      <c r="C332" s="19" t="s">
        <v>277</v>
      </c>
      <c r="D332" s="19" t="s">
        <v>498</v>
      </c>
      <c r="E332" s="19" t="s">
        <v>241</v>
      </c>
      <c r="F332" s="19" t="s">
        <v>155</v>
      </c>
      <c r="G332" s="20">
        <v>125</v>
      </c>
      <c r="I332" s="20">
        <v>10</v>
      </c>
      <c r="J332" s="4">
        <f t="shared" si="60"/>
        <v>135</v>
      </c>
      <c r="K332" s="4">
        <f t="shared" si="61"/>
        <v>165</v>
      </c>
      <c r="L332" s="4">
        <f t="shared" si="62"/>
        <v>170</v>
      </c>
      <c r="M332" s="4">
        <f t="shared" si="63"/>
        <v>225</v>
      </c>
      <c r="N332" s="4">
        <f t="shared" si="64"/>
        <v>160</v>
      </c>
      <c r="O332" s="4">
        <f t="shared" si="65"/>
        <v>185</v>
      </c>
      <c r="P332" s="4">
        <f>IF((((Price25[Cost]*1.5)+50)/0.835)&lt;2500,
MROUND((((( Price25[Cost]*1.5)+50)/0.835)*1.05)*2,10),
MROUND((((( Price25[Cost]*1.5)+50)/0.835)*1.18)*2,10))</f>
        <v>600</v>
      </c>
      <c r="Q332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300</v>
      </c>
    </row>
    <row r="333" spans="1:17" x14ac:dyDescent="0.25">
      <c r="A333" s="1">
        <v>2026</v>
      </c>
      <c r="B333" s="18">
        <v>2408</v>
      </c>
      <c r="C333" s="19" t="s">
        <v>277</v>
      </c>
      <c r="D333" s="19" t="s">
        <v>498</v>
      </c>
      <c r="E333" s="19" t="s">
        <v>241</v>
      </c>
      <c r="F333" s="19" t="s">
        <v>968</v>
      </c>
      <c r="G333" s="20">
        <v>145</v>
      </c>
      <c r="I333" s="20">
        <v>10</v>
      </c>
      <c r="J333" s="4">
        <f t="shared" si="60"/>
        <v>155</v>
      </c>
      <c r="K333" s="4">
        <f t="shared" si="61"/>
        <v>190</v>
      </c>
      <c r="L333" s="4">
        <f t="shared" si="62"/>
        <v>195</v>
      </c>
      <c r="M333" s="4">
        <f t="shared" si="63"/>
        <v>250</v>
      </c>
      <c r="N333" s="4">
        <f t="shared" si="64"/>
        <v>180</v>
      </c>
      <c r="O333" s="4">
        <f t="shared" si="65"/>
        <v>210</v>
      </c>
      <c r="P333" s="4">
        <f>IF((((Price25[Cost]*1.5)+50)/0.835)&lt;2500,
MROUND((((( Price25[Cost]*1.5)+50)/0.835)*1.05)*2,10),
MROUND((((( Price25[Cost]*1.5)+50)/0.835)*1.18)*2,10))</f>
        <v>670</v>
      </c>
      <c r="Q333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320</v>
      </c>
    </row>
    <row r="334" spans="1:17" x14ac:dyDescent="0.25">
      <c r="A334" s="1"/>
      <c r="B334" s="18">
        <v>2409</v>
      </c>
      <c r="C334" s="19" t="s">
        <v>277</v>
      </c>
      <c r="D334" s="19" t="s">
        <v>498</v>
      </c>
      <c r="E334" s="19" t="s">
        <v>241</v>
      </c>
      <c r="F334" s="19" t="s">
        <v>421</v>
      </c>
      <c r="G334" s="20">
        <v>135</v>
      </c>
      <c r="I334" s="20">
        <v>10</v>
      </c>
      <c r="J334" s="4">
        <f t="shared" si="60"/>
        <v>145</v>
      </c>
      <c r="K334" s="4">
        <f t="shared" si="61"/>
        <v>180</v>
      </c>
      <c r="L334" s="4">
        <f t="shared" si="62"/>
        <v>185</v>
      </c>
      <c r="M334" s="4">
        <f t="shared" si="63"/>
        <v>250</v>
      </c>
      <c r="N334" s="4">
        <f t="shared" si="64"/>
        <v>175</v>
      </c>
      <c r="O334" s="4">
        <f t="shared" si="65"/>
        <v>200</v>
      </c>
      <c r="P334" s="4">
        <f>IF((((Price25[Cost]*1.5)+50)/0.835)&lt;2500,
MROUND((((( Price25[Cost]*1.5)+50)/0.835)*1.05)*2,10),
MROUND((((( Price25[Cost]*1.5)+50)/0.835)*1.18)*2,10))</f>
        <v>640</v>
      </c>
      <c r="Q334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320</v>
      </c>
    </row>
    <row r="335" spans="1:17" x14ac:dyDescent="0.25">
      <c r="A335" s="1">
        <v>2025</v>
      </c>
      <c r="B335" s="18">
        <v>2410</v>
      </c>
      <c r="C335" s="19" t="s">
        <v>277</v>
      </c>
      <c r="D335" s="19" t="s">
        <v>498</v>
      </c>
      <c r="E335" s="19" t="s">
        <v>241</v>
      </c>
      <c r="F335" s="19" t="s">
        <v>439</v>
      </c>
      <c r="G335" s="20">
        <v>100</v>
      </c>
      <c r="I335" s="20">
        <v>10</v>
      </c>
      <c r="J335" s="4">
        <f t="shared" si="60"/>
        <v>110</v>
      </c>
      <c r="K335" s="4">
        <f t="shared" si="61"/>
        <v>135</v>
      </c>
      <c r="L335" s="4">
        <f t="shared" si="62"/>
        <v>140</v>
      </c>
      <c r="M335" s="4">
        <f t="shared" si="63"/>
        <v>175</v>
      </c>
      <c r="N335" s="4">
        <f t="shared" si="64"/>
        <v>130</v>
      </c>
      <c r="O335" s="4">
        <f t="shared" si="65"/>
        <v>150</v>
      </c>
      <c r="P335" s="4">
        <f>IF((((Price25[Cost]*1.5)+50)/0.835)&lt;2500,
MROUND((((( Price25[Cost]*1.5)+50)/0.835)*1.05)*2,10),
MROUND((((( Price25[Cost]*1.5)+50)/0.835)*1.18)*2,10))</f>
        <v>500</v>
      </c>
      <c r="Q335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250</v>
      </c>
    </row>
    <row r="336" spans="1:17" x14ac:dyDescent="0.25">
      <c r="A336" s="1"/>
      <c r="B336" s="18">
        <v>2411</v>
      </c>
      <c r="C336" s="19" t="s">
        <v>277</v>
      </c>
      <c r="D336" s="19" t="s">
        <v>498</v>
      </c>
      <c r="E336" s="19" t="s">
        <v>129</v>
      </c>
      <c r="F336" s="19" t="s">
        <v>158</v>
      </c>
      <c r="G336" s="20">
        <v>85</v>
      </c>
      <c r="I336" s="20">
        <v>10</v>
      </c>
      <c r="J336" s="4">
        <f t="shared" si="60"/>
        <v>95</v>
      </c>
      <c r="K336" s="4">
        <f t="shared" si="61"/>
        <v>115</v>
      </c>
      <c r="L336" s="4">
        <f t="shared" si="62"/>
        <v>120</v>
      </c>
      <c r="M336" s="4">
        <f t="shared" si="63"/>
        <v>150</v>
      </c>
      <c r="N336" s="4">
        <f t="shared" si="64"/>
        <v>115</v>
      </c>
      <c r="O336" s="4">
        <f t="shared" si="65"/>
        <v>130</v>
      </c>
      <c r="P336" s="4">
        <f>IF((((Price25[Cost]*1.5)+50)/0.835)&lt;2500,
MROUND((((( Price25[Cost]*1.5)+50)/0.835)*1.05)*2,10),
MROUND((((( Price25[Cost]*1.5)+50)/0.835)*1.18)*2,10))</f>
        <v>450</v>
      </c>
      <c r="Q336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220</v>
      </c>
    </row>
    <row r="337" spans="1:17" x14ac:dyDescent="0.25">
      <c r="A337" s="1">
        <v>2025</v>
      </c>
      <c r="B337" s="18">
        <v>2412</v>
      </c>
      <c r="C337" s="19" t="s">
        <v>277</v>
      </c>
      <c r="D337" s="19" t="s">
        <v>498</v>
      </c>
      <c r="E337" s="19" t="s">
        <v>241</v>
      </c>
      <c r="F337" s="19" t="s">
        <v>436</v>
      </c>
      <c r="G337" s="20">
        <v>105</v>
      </c>
      <c r="I337" s="20">
        <v>10</v>
      </c>
      <c r="J337" s="4">
        <f t="shared" si="60"/>
        <v>115</v>
      </c>
      <c r="K337" s="4">
        <f t="shared" si="61"/>
        <v>140</v>
      </c>
      <c r="L337" s="4">
        <f t="shared" si="62"/>
        <v>145</v>
      </c>
      <c r="M337" s="4">
        <f t="shared" si="63"/>
        <v>200</v>
      </c>
      <c r="N337" s="4">
        <f t="shared" si="64"/>
        <v>135</v>
      </c>
      <c r="O337" s="4">
        <f t="shared" si="65"/>
        <v>160</v>
      </c>
      <c r="P337" s="4">
        <f>IF((((Price25[Cost]*1.5)+50)/0.835)&lt;2500,
MROUND((((( Price25[Cost]*1.5)+50)/0.835)*1.05)*2,10),
MROUND((((( Price25[Cost]*1.5)+50)/0.835)*1.18)*2,10))</f>
        <v>520</v>
      </c>
      <c r="Q337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270</v>
      </c>
    </row>
    <row r="338" spans="1:17" x14ac:dyDescent="0.25">
      <c r="A338" s="1">
        <v>2025</v>
      </c>
      <c r="B338" s="18">
        <v>2413</v>
      </c>
      <c r="C338" s="19" t="s">
        <v>277</v>
      </c>
      <c r="D338" s="19" t="s">
        <v>498</v>
      </c>
      <c r="E338" s="19" t="s">
        <v>241</v>
      </c>
      <c r="F338" s="19" t="s">
        <v>437</v>
      </c>
      <c r="G338" s="20">
        <v>83</v>
      </c>
      <c r="I338" s="20">
        <v>10</v>
      </c>
      <c r="J338" s="4">
        <f t="shared" si="60"/>
        <v>93</v>
      </c>
      <c r="K338" s="4">
        <f t="shared" si="61"/>
        <v>115</v>
      </c>
      <c r="L338" s="4">
        <f t="shared" si="62"/>
        <v>120</v>
      </c>
      <c r="M338" s="4">
        <f t="shared" si="63"/>
        <v>150</v>
      </c>
      <c r="N338" s="4">
        <f t="shared" si="64"/>
        <v>115</v>
      </c>
      <c r="O338" s="4">
        <f t="shared" si="65"/>
        <v>130</v>
      </c>
      <c r="P338" s="4">
        <f>IF((((Price25[Cost]*1.5)+50)/0.835)&lt;2500,
MROUND((((( Price25[Cost]*1.5)+50)/0.835)*1.05)*2,10),
MROUND((((( Price25[Cost]*1.5)+50)/0.835)*1.18)*2,10))</f>
        <v>440</v>
      </c>
      <c r="Q338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220</v>
      </c>
    </row>
    <row r="339" spans="1:17" x14ac:dyDescent="0.25">
      <c r="A339" s="1">
        <v>2025</v>
      </c>
      <c r="B339" s="18">
        <v>2414</v>
      </c>
      <c r="C339" s="19" t="s">
        <v>277</v>
      </c>
      <c r="D339" s="19" t="s">
        <v>498</v>
      </c>
      <c r="E339" s="19" t="s">
        <v>241</v>
      </c>
      <c r="F339" s="19" t="s">
        <v>438</v>
      </c>
      <c r="G339" s="20">
        <v>90</v>
      </c>
      <c r="I339" s="20">
        <v>10</v>
      </c>
      <c r="J339" s="4">
        <f t="shared" si="60"/>
        <v>100</v>
      </c>
      <c r="K339" s="4">
        <f t="shared" si="61"/>
        <v>120</v>
      </c>
      <c r="L339" s="4">
        <f t="shared" si="62"/>
        <v>125</v>
      </c>
      <c r="M339" s="4">
        <f t="shared" si="63"/>
        <v>175</v>
      </c>
      <c r="N339" s="4">
        <f t="shared" si="64"/>
        <v>115</v>
      </c>
      <c r="O339" s="4">
        <f t="shared" si="65"/>
        <v>135</v>
      </c>
      <c r="P339" s="4">
        <f>IF((((Price25[Cost]*1.5)+50)/0.835)&lt;2500,
MROUND((((( Price25[Cost]*1.5)+50)/0.835)*1.05)*2,10),
MROUND((((( Price25[Cost]*1.5)+50)/0.835)*1.18)*2,10))</f>
        <v>470</v>
      </c>
      <c r="Q339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250</v>
      </c>
    </row>
    <row r="340" spans="1:17" x14ac:dyDescent="0.25">
      <c r="A340" s="1">
        <v>2026</v>
      </c>
      <c r="B340" s="18">
        <v>2415</v>
      </c>
      <c r="C340" s="19" t="s">
        <v>284</v>
      </c>
      <c r="D340" s="19" t="s">
        <v>498</v>
      </c>
      <c r="E340" s="19" t="s">
        <v>539</v>
      </c>
      <c r="F340" s="19" t="s">
        <v>540</v>
      </c>
      <c r="G340" s="20">
        <v>195</v>
      </c>
      <c r="I340" s="20">
        <v>15</v>
      </c>
      <c r="J340" s="4">
        <f t="shared" si="60"/>
        <v>210</v>
      </c>
      <c r="K340" s="4">
        <f t="shared" si="61"/>
        <v>255</v>
      </c>
      <c r="L340" s="4">
        <f t="shared" si="62"/>
        <v>265</v>
      </c>
      <c r="M340" s="4">
        <f t="shared" si="63"/>
        <v>350</v>
      </c>
      <c r="N340" s="4">
        <f t="shared" si="64"/>
        <v>245</v>
      </c>
      <c r="O340" s="4">
        <f t="shared" si="65"/>
        <v>285</v>
      </c>
      <c r="P340" s="4">
        <f>IF((((Price25[Cost]*1.5)+50)/0.835)&lt;2500,
MROUND((((( Price25[Cost]*1.5)+50)/0.835)*1.05)*2,10),
MROUND((((( Price25[Cost]*1.5)+50)/0.835)*1.18)*2,10))</f>
        <v>860</v>
      </c>
      <c r="Q340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420</v>
      </c>
    </row>
    <row r="341" spans="1:17" x14ac:dyDescent="0.25">
      <c r="A341" s="1">
        <v>2026</v>
      </c>
      <c r="B341" s="18">
        <v>242</v>
      </c>
      <c r="C341" s="19" t="s">
        <v>284</v>
      </c>
      <c r="D341" s="19" t="s">
        <v>498</v>
      </c>
      <c r="E341" s="19" t="s">
        <v>879</v>
      </c>
      <c r="F341" s="19" t="s">
        <v>880</v>
      </c>
      <c r="G341" s="20">
        <v>120</v>
      </c>
      <c r="I341" s="20">
        <v>10</v>
      </c>
      <c r="J341" s="4">
        <f t="shared" ref="J341:J349" si="66">IF(SUMIF(G341:I341,"&lt;&gt;")=0,"",SUM(G341:I341))</f>
        <v>130</v>
      </c>
      <c r="K341" s="4">
        <f t="shared" ref="K341:K349" si="67">IF(ISNUMBER(L341),
   IF(CEILING(ROUND(L341*0.95,2),5)=420,
      425,
      CEILING(ROUND(L341*0.95,2),5)
   ),
   ""
)</f>
        <v>160</v>
      </c>
      <c r="L341" s="4">
        <f t="shared" ref="L341:L349" si="68">IF(AND(ISNUMBER(J341),ISNUMBER(G341)),
   IF(CEILING(ROUND(J341*1.25,2),5)=420,
      425,
      CEILING(ROUND(J341*1.25,2),5)
   ),
   ""
)</f>
        <v>165</v>
      </c>
      <c r="M341" s="4">
        <f t="shared" ref="M341:M349" si="69">IF(AND(ISNUMBER(J341),ISNUMBER(G341)),
   IF(
      CEILING(
         ROUND((J341*1.5) * IF(J341*1.5 &lt;= 2500, 1.05, 1.18), 2),
         IF(ROUND((J341*1.5) * IF(J341*1.5 &lt;= 2500, 1.05, 1.18), 2) &lt; 2500, 25, 50)
      )=420,
      425,
      CEILING(
         ROUND((J341*1.5) * IF(J341*1.5 &lt;= 2500, 1.05, 1.18), 2),
         IF(ROUND((J341*1.5) * IF(J341*1.5 &lt;= 2500, 1.05, 1.18), 2) &lt; 2500, 25, 50)
      )
   ),
   ""
)</f>
        <v>225</v>
      </c>
      <c r="N341" s="4">
        <f t="shared" ref="N341:N349" si="70">IF(ISNUMBER(G341),
   IF(CEILING(ROUND(L341*0.92,2),5)=420,
      425,
      CEILING(ROUND(L341*0.92,2),5)
   ),
   ""
)</f>
        <v>155</v>
      </c>
      <c r="O341" s="4">
        <f t="shared" ref="O341:O349" si="71">IF(ISNUMBER(L341),
   IF(CEILING(ROUND(L341*1.07,2),5)=420,
      425,
      CEILING(ROUND(L341*1.07,2),5)
   ),
   ""
)</f>
        <v>180</v>
      </c>
      <c r="P341" s="4">
        <f>IF((((Price25[Cost]*1.5)+50)/0.835)&lt;2500,
MROUND((((( Price25[Cost]*1.5)+50)/0.835)*1.05)*2,10),
MROUND((((( Price25[Cost]*1.5)+50)/0.835)*1.18)*2,10))</f>
        <v>580</v>
      </c>
      <c r="Q341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300</v>
      </c>
    </row>
    <row r="342" spans="1:17" x14ac:dyDescent="0.25">
      <c r="A342" s="1">
        <v>2026</v>
      </c>
      <c r="B342" s="18">
        <v>2421</v>
      </c>
      <c r="C342" s="19" t="s">
        <v>284</v>
      </c>
      <c r="D342" s="19" t="s">
        <v>498</v>
      </c>
      <c r="E342" s="19" t="s">
        <v>879</v>
      </c>
      <c r="F342" s="19" t="s">
        <v>881</v>
      </c>
      <c r="G342" s="20">
        <v>105</v>
      </c>
      <c r="I342" s="20">
        <v>10</v>
      </c>
      <c r="J342" s="4">
        <f t="shared" si="66"/>
        <v>115</v>
      </c>
      <c r="K342" s="4">
        <f t="shared" si="67"/>
        <v>140</v>
      </c>
      <c r="L342" s="4">
        <f t="shared" si="68"/>
        <v>145</v>
      </c>
      <c r="M342" s="4">
        <f t="shared" si="69"/>
        <v>200</v>
      </c>
      <c r="N342" s="4">
        <f t="shared" si="70"/>
        <v>135</v>
      </c>
      <c r="O342" s="4">
        <f t="shared" si="71"/>
        <v>160</v>
      </c>
      <c r="P342" s="4">
        <f>IF((((Price25[Cost]*1.5)+50)/0.835)&lt;2500,
MROUND((((( Price25[Cost]*1.5)+50)/0.835)*1.05)*2,10),
MROUND((((( Price25[Cost]*1.5)+50)/0.835)*1.18)*2,10))</f>
        <v>520</v>
      </c>
      <c r="Q342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270</v>
      </c>
    </row>
    <row r="343" spans="1:17" x14ac:dyDescent="0.25">
      <c r="A343" s="1">
        <v>2026</v>
      </c>
      <c r="B343" s="18">
        <v>2422</v>
      </c>
      <c r="C343" s="19" t="s">
        <v>284</v>
      </c>
      <c r="D343" s="19" t="s">
        <v>498</v>
      </c>
      <c r="E343" s="19" t="s">
        <v>879</v>
      </c>
      <c r="F343" s="19" t="s">
        <v>882</v>
      </c>
      <c r="G343" s="20">
        <v>108</v>
      </c>
      <c r="I343" s="20">
        <v>10</v>
      </c>
      <c r="J343" s="4">
        <f t="shared" si="66"/>
        <v>118</v>
      </c>
      <c r="K343" s="4">
        <f t="shared" si="67"/>
        <v>145</v>
      </c>
      <c r="L343" s="4">
        <f t="shared" si="68"/>
        <v>150</v>
      </c>
      <c r="M343" s="4">
        <f t="shared" si="69"/>
        <v>200</v>
      </c>
      <c r="N343" s="4">
        <f t="shared" si="70"/>
        <v>140</v>
      </c>
      <c r="O343" s="4">
        <f t="shared" si="71"/>
        <v>165</v>
      </c>
      <c r="P343" s="4">
        <f>IF((((Price25[Cost]*1.5)+50)/0.835)&lt;2500,
MROUND((((( Price25[Cost]*1.5)+50)/0.835)*1.05)*2,10),
MROUND((((( Price25[Cost]*1.5)+50)/0.835)*1.18)*2,10))</f>
        <v>530</v>
      </c>
      <c r="Q343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270</v>
      </c>
    </row>
    <row r="344" spans="1:17" x14ac:dyDescent="0.25">
      <c r="A344" s="1">
        <v>2026</v>
      </c>
      <c r="B344" s="18">
        <v>2423</v>
      </c>
      <c r="C344" s="19" t="s">
        <v>284</v>
      </c>
      <c r="D344" s="19" t="s">
        <v>498</v>
      </c>
      <c r="E344" s="19" t="s">
        <v>879</v>
      </c>
      <c r="F344" s="19" t="s">
        <v>883</v>
      </c>
      <c r="G344" s="20">
        <v>108</v>
      </c>
      <c r="I344" s="20">
        <v>10</v>
      </c>
      <c r="J344" s="4">
        <f t="shared" si="66"/>
        <v>118</v>
      </c>
      <c r="K344" s="4">
        <f t="shared" si="67"/>
        <v>145</v>
      </c>
      <c r="L344" s="4">
        <f t="shared" si="68"/>
        <v>150</v>
      </c>
      <c r="M344" s="4">
        <f t="shared" si="69"/>
        <v>200</v>
      </c>
      <c r="N344" s="4">
        <f t="shared" si="70"/>
        <v>140</v>
      </c>
      <c r="O344" s="4">
        <f t="shared" si="71"/>
        <v>165</v>
      </c>
      <c r="P344" s="4">
        <f>IF((((Price25[Cost]*1.5)+50)/0.835)&lt;2500,
MROUND((((( Price25[Cost]*1.5)+50)/0.835)*1.05)*2,10),
MROUND((((( Price25[Cost]*1.5)+50)/0.835)*1.18)*2,10))</f>
        <v>530</v>
      </c>
      <c r="Q344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270</v>
      </c>
    </row>
    <row r="345" spans="1:17" x14ac:dyDescent="0.25">
      <c r="A345" s="1">
        <v>2026</v>
      </c>
      <c r="B345" s="18">
        <v>2424</v>
      </c>
      <c r="C345" s="19" t="s">
        <v>284</v>
      </c>
      <c r="D345" s="19" t="s">
        <v>498</v>
      </c>
      <c r="E345" s="19" t="s">
        <v>879</v>
      </c>
      <c r="F345" s="19" t="s">
        <v>884</v>
      </c>
      <c r="G345" s="20">
        <v>92</v>
      </c>
      <c r="I345" s="20">
        <v>10</v>
      </c>
      <c r="J345" s="4">
        <f t="shared" si="66"/>
        <v>102</v>
      </c>
      <c r="K345" s="4">
        <f t="shared" si="67"/>
        <v>125</v>
      </c>
      <c r="L345" s="4">
        <f t="shared" si="68"/>
        <v>130</v>
      </c>
      <c r="M345" s="4">
        <f t="shared" si="69"/>
        <v>175</v>
      </c>
      <c r="N345" s="4">
        <f t="shared" si="70"/>
        <v>120</v>
      </c>
      <c r="O345" s="4">
        <f t="shared" si="71"/>
        <v>140</v>
      </c>
      <c r="P345" s="4">
        <f>IF((((Price25[Cost]*1.5)+50)/0.835)&lt;2500,
MROUND((((( Price25[Cost]*1.5)+50)/0.835)*1.05)*2,10),
MROUND((((( Price25[Cost]*1.5)+50)/0.835)*1.18)*2,10))</f>
        <v>470</v>
      </c>
      <c r="Q345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250</v>
      </c>
    </row>
    <row r="346" spans="1:17" x14ac:dyDescent="0.25">
      <c r="A346" s="1">
        <v>2026</v>
      </c>
      <c r="B346" s="18">
        <v>2425</v>
      </c>
      <c r="C346" s="19" t="s">
        <v>284</v>
      </c>
      <c r="D346" s="19" t="s">
        <v>498</v>
      </c>
      <c r="E346" s="19" t="s">
        <v>879</v>
      </c>
      <c r="F346" s="19" t="s">
        <v>885</v>
      </c>
      <c r="G346" s="20">
        <v>93</v>
      </c>
      <c r="I346" s="20">
        <v>10</v>
      </c>
      <c r="J346" s="4">
        <f t="shared" si="66"/>
        <v>103</v>
      </c>
      <c r="K346" s="4">
        <f t="shared" si="67"/>
        <v>125</v>
      </c>
      <c r="L346" s="4">
        <f t="shared" si="68"/>
        <v>130</v>
      </c>
      <c r="M346" s="4">
        <f t="shared" si="69"/>
        <v>175</v>
      </c>
      <c r="N346" s="4">
        <f t="shared" si="70"/>
        <v>120</v>
      </c>
      <c r="O346" s="4">
        <f t="shared" si="71"/>
        <v>140</v>
      </c>
      <c r="P346" s="4">
        <f>IF((((Price25[Cost]*1.5)+50)/0.835)&lt;2500,
MROUND((((( Price25[Cost]*1.5)+50)/0.835)*1.05)*2,10),
MROUND((((( Price25[Cost]*1.5)+50)/0.835)*1.18)*2,10))</f>
        <v>480</v>
      </c>
      <c r="Q346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250</v>
      </c>
    </row>
    <row r="347" spans="1:17" x14ac:dyDescent="0.25">
      <c r="A347" s="1">
        <v>2026</v>
      </c>
      <c r="B347" s="18">
        <v>2426</v>
      </c>
      <c r="C347" s="19" t="s">
        <v>284</v>
      </c>
      <c r="D347" s="19" t="s">
        <v>498</v>
      </c>
      <c r="E347" s="19" t="s">
        <v>879</v>
      </c>
      <c r="F347" s="19" t="s">
        <v>886</v>
      </c>
      <c r="G347" s="20">
        <v>102</v>
      </c>
      <c r="I347" s="20">
        <v>10</v>
      </c>
      <c r="J347" s="4">
        <f t="shared" si="66"/>
        <v>112</v>
      </c>
      <c r="K347" s="4">
        <f t="shared" si="67"/>
        <v>135</v>
      </c>
      <c r="L347" s="4">
        <f t="shared" si="68"/>
        <v>140</v>
      </c>
      <c r="M347" s="4">
        <f t="shared" si="69"/>
        <v>200</v>
      </c>
      <c r="N347" s="4">
        <f t="shared" si="70"/>
        <v>130</v>
      </c>
      <c r="O347" s="4">
        <f t="shared" si="71"/>
        <v>150</v>
      </c>
      <c r="P347" s="4">
        <f>IF((((Price25[Cost]*1.5)+50)/0.835)&lt;2500,
MROUND((((( Price25[Cost]*1.5)+50)/0.835)*1.05)*2,10),
MROUND((((( Price25[Cost]*1.5)+50)/0.835)*1.18)*2,10))</f>
        <v>510</v>
      </c>
      <c r="Q347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270</v>
      </c>
    </row>
    <row r="348" spans="1:17" x14ac:dyDescent="0.25">
      <c r="A348" s="1">
        <v>2026</v>
      </c>
      <c r="B348" s="18">
        <v>2427</v>
      </c>
      <c r="C348" s="19" t="s">
        <v>284</v>
      </c>
      <c r="D348" s="19" t="s">
        <v>498</v>
      </c>
      <c r="E348" s="19" t="s">
        <v>963</v>
      </c>
      <c r="F348" s="19" t="s">
        <v>887</v>
      </c>
      <c r="G348" s="20">
        <v>105</v>
      </c>
      <c r="I348" s="20">
        <v>10</v>
      </c>
      <c r="J348" s="4">
        <f t="shared" si="66"/>
        <v>115</v>
      </c>
      <c r="K348" s="4">
        <f t="shared" si="67"/>
        <v>140</v>
      </c>
      <c r="L348" s="4">
        <f t="shared" si="68"/>
        <v>145</v>
      </c>
      <c r="M348" s="4">
        <f t="shared" si="69"/>
        <v>200</v>
      </c>
      <c r="N348" s="4">
        <f t="shared" si="70"/>
        <v>135</v>
      </c>
      <c r="O348" s="4">
        <f t="shared" si="71"/>
        <v>160</v>
      </c>
      <c r="P348" s="4">
        <f>IF((((Price25[Cost]*1.5)+50)/0.835)&lt;2500,
MROUND((((( Price25[Cost]*1.5)+50)/0.835)*1.05)*2,10),
MROUND((((( Price25[Cost]*1.5)+50)/0.835)*1.18)*2,10))</f>
        <v>520</v>
      </c>
      <c r="Q348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270</v>
      </c>
    </row>
    <row r="349" spans="1:17" x14ac:dyDescent="0.25">
      <c r="A349" s="1">
        <v>2026</v>
      </c>
      <c r="B349" s="18">
        <v>2428</v>
      </c>
      <c r="C349" s="19" t="s">
        <v>284</v>
      </c>
      <c r="D349" s="19" t="s">
        <v>498</v>
      </c>
      <c r="E349" s="19" t="s">
        <v>879</v>
      </c>
      <c r="F349" s="19" t="s">
        <v>888</v>
      </c>
      <c r="G349" s="20">
        <v>102</v>
      </c>
      <c r="I349" s="20">
        <v>10</v>
      </c>
      <c r="J349" s="4">
        <f t="shared" si="66"/>
        <v>112</v>
      </c>
      <c r="K349" s="4">
        <f t="shared" si="67"/>
        <v>135</v>
      </c>
      <c r="L349" s="4">
        <f t="shared" si="68"/>
        <v>140</v>
      </c>
      <c r="M349" s="4">
        <f t="shared" si="69"/>
        <v>200</v>
      </c>
      <c r="N349" s="4">
        <f t="shared" si="70"/>
        <v>130</v>
      </c>
      <c r="O349" s="4">
        <f t="shared" si="71"/>
        <v>150</v>
      </c>
      <c r="P349" s="4">
        <f>IF((((Price25[Cost]*1.5)+50)/0.835)&lt;2500,
MROUND((((( Price25[Cost]*1.5)+50)/0.835)*1.05)*2,10),
MROUND((((( Price25[Cost]*1.5)+50)/0.835)*1.18)*2,10))</f>
        <v>510</v>
      </c>
      <c r="Q349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270</v>
      </c>
    </row>
    <row r="350" spans="1:17" x14ac:dyDescent="0.25">
      <c r="A350" s="1">
        <v>2025</v>
      </c>
      <c r="B350" s="18">
        <v>244</v>
      </c>
      <c r="C350" s="19" t="s">
        <v>284</v>
      </c>
      <c r="D350" s="19" t="s">
        <v>538</v>
      </c>
      <c r="E350" s="19"/>
      <c r="F350" s="19" t="s">
        <v>30</v>
      </c>
      <c r="G350" s="20">
        <v>310</v>
      </c>
      <c r="I350" s="20">
        <v>15</v>
      </c>
      <c r="J350" s="4">
        <f t="shared" si="60"/>
        <v>325</v>
      </c>
      <c r="K350" s="4">
        <f t="shared" si="61"/>
        <v>390</v>
      </c>
      <c r="L350" s="4">
        <f t="shared" si="62"/>
        <v>410</v>
      </c>
      <c r="M350" s="4">
        <f t="shared" si="63"/>
        <v>525</v>
      </c>
      <c r="N350" s="4">
        <f t="shared" si="64"/>
        <v>380</v>
      </c>
      <c r="O350" s="4">
        <f t="shared" si="65"/>
        <v>440</v>
      </c>
      <c r="P350" s="4">
        <f>IF((((Price25[Cost]*1.5)+50)/0.835)&lt;2500,
MROUND((((( Price25[Cost]*1.5)+50)/0.835)*1.05)*2,10),
MROUND((((( Price25[Cost]*1.5)+50)/0.835)*1.18)*2,10))</f>
        <v>1300</v>
      </c>
      <c r="Q350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600</v>
      </c>
    </row>
    <row r="351" spans="1:17" x14ac:dyDescent="0.25">
      <c r="A351" s="1">
        <v>2026</v>
      </c>
      <c r="B351" s="18">
        <v>2441</v>
      </c>
      <c r="C351" s="19" t="s">
        <v>277</v>
      </c>
      <c r="D351" s="19" t="s">
        <v>498</v>
      </c>
      <c r="E351" s="19" t="s">
        <v>241</v>
      </c>
      <c r="F351" s="19" t="s">
        <v>965</v>
      </c>
      <c r="G351" s="20">
        <v>110</v>
      </c>
      <c r="I351" s="20">
        <v>10</v>
      </c>
      <c r="J351" s="4">
        <f t="shared" si="60"/>
        <v>120</v>
      </c>
      <c r="K351" s="4">
        <f t="shared" si="61"/>
        <v>145</v>
      </c>
      <c r="L351" s="4">
        <f t="shared" si="62"/>
        <v>150</v>
      </c>
      <c r="M351" s="4">
        <f t="shared" si="63"/>
        <v>200</v>
      </c>
      <c r="N351" s="4">
        <f t="shared" si="64"/>
        <v>140</v>
      </c>
      <c r="O351" s="4">
        <f t="shared" si="65"/>
        <v>165</v>
      </c>
      <c r="P351" s="4">
        <f>IF((((Price25[Cost]*1.5)+50)/0.835)&lt;2500,
MROUND((((( Price25[Cost]*1.5)+50)/0.835)*1.05)*2,10),
MROUND((((( Price25[Cost]*1.5)+50)/0.835)*1.18)*2,10))</f>
        <v>540</v>
      </c>
      <c r="Q351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270</v>
      </c>
    </row>
    <row r="352" spans="1:17" x14ac:dyDescent="0.25">
      <c r="A352" s="1">
        <v>2025</v>
      </c>
      <c r="B352" s="18">
        <v>2442</v>
      </c>
      <c r="C352" s="19" t="s">
        <v>277</v>
      </c>
      <c r="D352" s="19" t="s">
        <v>498</v>
      </c>
      <c r="E352" s="19" t="s">
        <v>241</v>
      </c>
      <c r="F352" s="19" t="s">
        <v>422</v>
      </c>
      <c r="G352" s="20">
        <v>105</v>
      </c>
      <c r="I352" s="20">
        <v>10</v>
      </c>
      <c r="J352" s="4">
        <f t="shared" si="60"/>
        <v>115</v>
      </c>
      <c r="K352" s="4">
        <f t="shared" si="61"/>
        <v>140</v>
      </c>
      <c r="L352" s="4">
        <f t="shared" si="62"/>
        <v>145</v>
      </c>
      <c r="M352" s="4">
        <f t="shared" si="63"/>
        <v>200</v>
      </c>
      <c r="N352" s="4">
        <f t="shared" si="64"/>
        <v>135</v>
      </c>
      <c r="O352" s="4">
        <f t="shared" si="65"/>
        <v>160</v>
      </c>
      <c r="P352" s="4">
        <f>IF((((Price25[Cost]*1.5)+50)/0.835)&lt;2500,
MROUND((((( Price25[Cost]*1.5)+50)/0.835)*1.05)*2,10),
MROUND((((( Price25[Cost]*1.5)+50)/0.835)*1.18)*2,10))</f>
        <v>520</v>
      </c>
      <c r="Q352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270</v>
      </c>
    </row>
    <row r="353" spans="1:17" x14ac:dyDescent="0.25">
      <c r="A353" s="1">
        <v>2026</v>
      </c>
      <c r="B353" s="18">
        <v>2443</v>
      </c>
      <c r="C353" s="19" t="s">
        <v>277</v>
      </c>
      <c r="D353" s="19" t="s">
        <v>498</v>
      </c>
      <c r="E353" s="19" t="s">
        <v>241</v>
      </c>
      <c r="F353" s="19" t="s">
        <v>967</v>
      </c>
      <c r="G353" s="20">
        <v>115</v>
      </c>
      <c r="I353" s="20">
        <v>10</v>
      </c>
      <c r="J353" s="4">
        <f t="shared" si="60"/>
        <v>125</v>
      </c>
      <c r="K353" s="4">
        <f t="shared" si="61"/>
        <v>155</v>
      </c>
      <c r="L353" s="4">
        <f t="shared" si="62"/>
        <v>160</v>
      </c>
      <c r="M353" s="4">
        <f t="shared" si="63"/>
        <v>200</v>
      </c>
      <c r="N353" s="4">
        <f t="shared" si="64"/>
        <v>150</v>
      </c>
      <c r="O353" s="4">
        <f t="shared" si="65"/>
        <v>175</v>
      </c>
      <c r="P353" s="4">
        <f>IF((((Price25[Cost]*1.5)+50)/0.835)&lt;2500,
MROUND((((( Price25[Cost]*1.5)+50)/0.835)*1.05)*2,10),
MROUND((((( Price25[Cost]*1.5)+50)/0.835)*1.18)*2,10))</f>
        <v>560</v>
      </c>
      <c r="Q353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270</v>
      </c>
    </row>
    <row r="354" spans="1:17" x14ac:dyDescent="0.25">
      <c r="A354" s="1">
        <v>2026</v>
      </c>
      <c r="B354" s="18">
        <v>2444</v>
      </c>
      <c r="C354" s="19" t="s">
        <v>277</v>
      </c>
      <c r="D354" s="19" t="s">
        <v>498</v>
      </c>
      <c r="E354" s="19" t="s">
        <v>241</v>
      </c>
      <c r="F354" s="19" t="s">
        <v>969</v>
      </c>
      <c r="G354" s="20">
        <v>165</v>
      </c>
      <c r="I354" s="20">
        <v>10</v>
      </c>
      <c r="J354" s="4">
        <f t="shared" ref="J354:J355" si="72">IF(SUMIF(G354:I354,"&lt;&gt;")=0,"",SUM(G354:I354))</f>
        <v>175</v>
      </c>
      <c r="K354" s="4">
        <f t="shared" ref="K354:K355" si="73">IF(ISNUMBER(L354),
   IF(CEILING(ROUND(L354*0.95,2),5)=420,
      425,
      CEILING(ROUND(L354*0.95,2),5)
   ),
   ""
)</f>
        <v>210</v>
      </c>
      <c r="L354" s="4">
        <f t="shared" ref="L354:L355" si="74">IF(AND(ISNUMBER(J354),ISNUMBER(G354)),
   IF(CEILING(ROUND(J354*1.25,2),5)=420,
      425,
      CEILING(ROUND(J354*1.25,2),5)
   ),
   ""
)</f>
        <v>220</v>
      </c>
      <c r="M354" s="4">
        <f t="shared" ref="M354:M355" si="75">IF(AND(ISNUMBER(J354),ISNUMBER(G354)),
   IF(
      CEILING(
         ROUND((J354*1.5) * IF(J354*1.5 &lt;= 2500, 1.05, 1.18), 2),
         IF(ROUND((J354*1.5) * IF(J354*1.5 &lt;= 2500, 1.05, 1.18), 2) &lt; 2500, 25, 50)
      )=420,
      425,
      CEILING(
         ROUND((J354*1.5) * IF(J354*1.5 &lt;= 2500, 1.05, 1.18), 2),
         IF(ROUND((J354*1.5) * IF(J354*1.5 &lt;= 2500, 1.05, 1.18), 2) &lt; 2500, 25, 50)
      )
   ),
   ""
)</f>
        <v>300</v>
      </c>
      <c r="N354" s="4">
        <f t="shared" ref="N354:N355" si="76">IF(ISNUMBER(G354),
   IF(CEILING(ROUND(L354*0.92,2),5)=420,
      425,
      CEILING(ROUND(L354*0.92,2),5)
   ),
   ""
)</f>
        <v>205</v>
      </c>
      <c r="O354" s="4">
        <f t="shared" ref="O354:O355" si="77">IF(ISNUMBER(L354),
   IF(CEILING(ROUND(L354*1.07,2),5)=420,
      425,
      CEILING(ROUND(L354*1.07,2),5)
   ),
   ""
)</f>
        <v>240</v>
      </c>
      <c r="P354" s="4">
        <f>IF((((Price25[Cost]*1.5)+50)/0.835)&lt;2500,
MROUND((((( Price25[Cost]*1.5)+50)/0.835)*1.05)*2,10),
MROUND((((( Price25[Cost]*1.5)+50)/0.835)*1.18)*2,10))</f>
        <v>750</v>
      </c>
      <c r="Q354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370</v>
      </c>
    </row>
    <row r="355" spans="1:17" x14ac:dyDescent="0.25">
      <c r="A355" s="1">
        <v>2026</v>
      </c>
      <c r="B355" s="18">
        <v>2445</v>
      </c>
      <c r="C355" s="19" t="s">
        <v>277</v>
      </c>
      <c r="D355" s="19" t="s">
        <v>498</v>
      </c>
      <c r="E355" s="19" t="s">
        <v>241</v>
      </c>
      <c r="F355" s="19" t="s">
        <v>970</v>
      </c>
      <c r="G355" s="20">
        <v>160</v>
      </c>
      <c r="I355" s="20">
        <v>10</v>
      </c>
      <c r="J355" s="4">
        <f t="shared" si="72"/>
        <v>170</v>
      </c>
      <c r="K355" s="4">
        <f t="shared" si="73"/>
        <v>205</v>
      </c>
      <c r="L355" s="4">
        <f t="shared" si="74"/>
        <v>215</v>
      </c>
      <c r="M355" s="4">
        <f t="shared" si="75"/>
        <v>275</v>
      </c>
      <c r="N355" s="4">
        <f t="shared" si="76"/>
        <v>200</v>
      </c>
      <c r="O355" s="4">
        <f t="shared" si="77"/>
        <v>235</v>
      </c>
      <c r="P355" s="4">
        <f>IF((((Price25[Cost]*1.5)+50)/0.835)&lt;2500,
MROUND((((( Price25[Cost]*1.5)+50)/0.835)*1.05)*2,10),
MROUND((((( Price25[Cost]*1.5)+50)/0.835)*1.18)*2,10))</f>
        <v>730</v>
      </c>
      <c r="Q355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350</v>
      </c>
    </row>
    <row r="356" spans="1:17" x14ac:dyDescent="0.25">
      <c r="A356" s="1">
        <v>2026</v>
      </c>
      <c r="B356" s="18">
        <v>245</v>
      </c>
      <c r="C356" s="19" t="s">
        <v>277</v>
      </c>
      <c r="D356" s="19" t="s">
        <v>494</v>
      </c>
      <c r="E356" s="19" t="s">
        <v>480</v>
      </c>
      <c r="F356" s="19" t="s">
        <v>481</v>
      </c>
      <c r="G356" s="20">
        <v>210</v>
      </c>
      <c r="I356" s="20">
        <v>35</v>
      </c>
      <c r="J356" s="4">
        <f t="shared" si="60"/>
        <v>245</v>
      </c>
      <c r="K356" s="4">
        <f t="shared" si="61"/>
        <v>295</v>
      </c>
      <c r="L356" s="4">
        <f t="shared" si="62"/>
        <v>310</v>
      </c>
      <c r="M356" s="4">
        <f t="shared" si="63"/>
        <v>400</v>
      </c>
      <c r="N356" s="4">
        <f t="shared" si="64"/>
        <v>290</v>
      </c>
      <c r="O356" s="4">
        <f t="shared" si="65"/>
        <v>335</v>
      </c>
      <c r="P356" s="4">
        <f>IF((((Price25[Cost]*1.5)+50)/0.835)&lt;2500,
MROUND((((( Price25[Cost]*1.5)+50)/0.835)*1.05)*2,10),
MROUND((((( Price25[Cost]*1.5)+50)/0.835)*1.18)*2,10))</f>
        <v>920</v>
      </c>
      <c r="Q356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470</v>
      </c>
    </row>
    <row r="357" spans="1:17" x14ac:dyDescent="0.25">
      <c r="A357" s="1"/>
      <c r="B357" s="18">
        <v>2452</v>
      </c>
      <c r="C357" s="19" t="s">
        <v>277</v>
      </c>
      <c r="D357" s="19" t="s">
        <v>167</v>
      </c>
      <c r="E357" s="19"/>
      <c r="F357" s="19" t="s">
        <v>76</v>
      </c>
      <c r="G357" s="20">
        <v>200</v>
      </c>
      <c r="I357" s="20">
        <v>110</v>
      </c>
      <c r="J357" s="4">
        <f t="shared" si="60"/>
        <v>310</v>
      </c>
      <c r="K357" s="4">
        <f t="shared" si="61"/>
        <v>375</v>
      </c>
      <c r="L357" s="4">
        <f t="shared" si="62"/>
        <v>390</v>
      </c>
      <c r="M357" s="4">
        <f t="shared" si="63"/>
        <v>500</v>
      </c>
      <c r="N357" s="4">
        <f t="shared" si="64"/>
        <v>360</v>
      </c>
      <c r="O357" s="4">
        <f t="shared" si="65"/>
        <v>425</v>
      </c>
      <c r="P357" s="4">
        <f>IF((((Price25[Cost]*1.5)+50)/0.835)&lt;2500,
MROUND((((( Price25[Cost]*1.5)+50)/0.835)*1.05)*2,10),
MROUND((((( Price25[Cost]*1.5)+50)/0.835)*1.18)*2,10))</f>
        <v>880</v>
      </c>
      <c r="Q357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570</v>
      </c>
    </row>
    <row r="358" spans="1:17" x14ac:dyDescent="0.25">
      <c r="A358" s="1">
        <v>2025</v>
      </c>
      <c r="B358" s="18">
        <v>246</v>
      </c>
      <c r="C358" s="19" t="s">
        <v>277</v>
      </c>
      <c r="D358" s="19" t="s">
        <v>167</v>
      </c>
      <c r="E358" s="19" t="s">
        <v>342</v>
      </c>
      <c r="F358" s="19" t="s">
        <v>522</v>
      </c>
      <c r="G358" s="20">
        <v>227</v>
      </c>
      <c r="I358" s="20">
        <v>15</v>
      </c>
      <c r="J358" s="4">
        <f t="shared" si="60"/>
        <v>242</v>
      </c>
      <c r="K358" s="4">
        <f t="shared" si="61"/>
        <v>290</v>
      </c>
      <c r="L358" s="4">
        <f t="shared" si="62"/>
        <v>305</v>
      </c>
      <c r="M358" s="4">
        <f t="shared" si="63"/>
        <v>400</v>
      </c>
      <c r="N358" s="4">
        <f t="shared" si="64"/>
        <v>285</v>
      </c>
      <c r="O358" s="4">
        <f t="shared" si="65"/>
        <v>330</v>
      </c>
      <c r="P358" s="4">
        <f>IF((((Price25[Cost]*1.5)+50)/0.835)&lt;2500,
MROUND((((( Price25[Cost]*1.5)+50)/0.835)*1.05)*2,10),
MROUND((((( Price25[Cost]*1.5)+50)/0.835)*1.18)*2,10))</f>
        <v>980</v>
      </c>
      <c r="Q358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470</v>
      </c>
    </row>
    <row r="359" spans="1:17" x14ac:dyDescent="0.25">
      <c r="A359" s="1">
        <v>2025</v>
      </c>
      <c r="B359" s="18">
        <v>2461</v>
      </c>
      <c r="C359" s="19" t="s">
        <v>277</v>
      </c>
      <c r="D359" s="19" t="s">
        <v>167</v>
      </c>
      <c r="E359" s="19" t="s">
        <v>342</v>
      </c>
      <c r="F359" s="19" t="s">
        <v>523</v>
      </c>
      <c r="G359" s="20">
        <v>204</v>
      </c>
      <c r="I359" s="20">
        <v>15</v>
      </c>
      <c r="J359" s="4">
        <f t="shared" si="60"/>
        <v>219</v>
      </c>
      <c r="K359" s="4">
        <f t="shared" si="61"/>
        <v>265</v>
      </c>
      <c r="L359" s="4">
        <f t="shared" si="62"/>
        <v>275</v>
      </c>
      <c r="M359" s="4">
        <f t="shared" si="63"/>
        <v>350</v>
      </c>
      <c r="N359" s="4">
        <f t="shared" si="64"/>
        <v>255</v>
      </c>
      <c r="O359" s="4">
        <f t="shared" si="65"/>
        <v>295</v>
      </c>
      <c r="P359" s="4">
        <f>IF((((Price25[Cost]*1.5)+50)/0.835)&lt;2500,
MROUND((((( Price25[Cost]*1.5)+50)/0.835)*1.05)*2,10),
MROUND((((( Price25[Cost]*1.5)+50)/0.835)*1.18)*2,10))</f>
        <v>900</v>
      </c>
      <c r="Q359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420</v>
      </c>
    </row>
    <row r="360" spans="1:17" x14ac:dyDescent="0.25">
      <c r="A360" s="1">
        <v>2025</v>
      </c>
      <c r="B360" s="18">
        <v>2462</v>
      </c>
      <c r="C360" s="19" t="s">
        <v>277</v>
      </c>
      <c r="D360" s="19" t="s">
        <v>167</v>
      </c>
      <c r="E360" s="19" t="s">
        <v>342</v>
      </c>
      <c r="F360" s="19" t="s">
        <v>524</v>
      </c>
      <c r="G360" s="20">
        <v>177</v>
      </c>
      <c r="I360" s="20">
        <v>15</v>
      </c>
      <c r="J360" s="4">
        <f t="shared" si="60"/>
        <v>192</v>
      </c>
      <c r="K360" s="4">
        <f t="shared" si="61"/>
        <v>230</v>
      </c>
      <c r="L360" s="4">
        <f t="shared" si="62"/>
        <v>240</v>
      </c>
      <c r="M360" s="4">
        <f t="shared" si="63"/>
        <v>325</v>
      </c>
      <c r="N360" s="4">
        <f t="shared" si="64"/>
        <v>225</v>
      </c>
      <c r="O360" s="4">
        <f t="shared" si="65"/>
        <v>260</v>
      </c>
      <c r="P360" s="4">
        <f>IF((((Price25[Cost]*1.5)+50)/0.835)&lt;2500,
MROUND((((( Price25[Cost]*1.5)+50)/0.835)*1.05)*2,10),
MROUND((((( Price25[Cost]*1.5)+50)/0.835)*1.18)*2,10))</f>
        <v>790</v>
      </c>
      <c r="Q360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400</v>
      </c>
    </row>
    <row r="361" spans="1:17" x14ac:dyDescent="0.25">
      <c r="A361" s="1">
        <v>2025</v>
      </c>
      <c r="B361" s="18">
        <v>2463</v>
      </c>
      <c r="C361" s="19" t="s">
        <v>277</v>
      </c>
      <c r="D361" s="19" t="s">
        <v>167</v>
      </c>
      <c r="E361" s="19" t="s">
        <v>342</v>
      </c>
      <c r="F361" s="19" t="s">
        <v>525</v>
      </c>
      <c r="G361" s="20">
        <v>160</v>
      </c>
      <c r="I361" s="20">
        <v>15</v>
      </c>
      <c r="J361" s="4">
        <f t="shared" si="60"/>
        <v>175</v>
      </c>
      <c r="K361" s="4">
        <f t="shared" si="61"/>
        <v>210</v>
      </c>
      <c r="L361" s="4">
        <f t="shared" si="62"/>
        <v>220</v>
      </c>
      <c r="M361" s="4">
        <f t="shared" si="63"/>
        <v>300</v>
      </c>
      <c r="N361" s="4">
        <f t="shared" si="64"/>
        <v>205</v>
      </c>
      <c r="O361" s="4">
        <f t="shared" si="65"/>
        <v>240</v>
      </c>
      <c r="P361" s="4">
        <f>IF((((Price25[Cost]*1.5)+50)/0.835)&lt;2500,
MROUND((((( Price25[Cost]*1.5)+50)/0.835)*1.05)*2,10),
MROUND((((( Price25[Cost]*1.5)+50)/0.835)*1.18)*2,10))</f>
        <v>730</v>
      </c>
      <c r="Q361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370</v>
      </c>
    </row>
    <row r="362" spans="1:17" x14ac:dyDescent="0.25">
      <c r="A362" s="1">
        <v>2026</v>
      </c>
      <c r="B362" s="18">
        <v>249</v>
      </c>
      <c r="C362" s="19" t="s">
        <v>277</v>
      </c>
      <c r="D362" s="19" t="s">
        <v>494</v>
      </c>
      <c r="E362" s="19" t="s">
        <v>921</v>
      </c>
      <c r="F362" s="19" t="s">
        <v>922</v>
      </c>
      <c r="G362" s="20">
        <v>220</v>
      </c>
      <c r="H362" s="20">
        <v>10</v>
      </c>
      <c r="I362" s="20">
        <v>18</v>
      </c>
      <c r="J362" s="4">
        <f>IF(SUMIF(G362:I362,"&lt;&gt;")=0,"",SUM(G362:I362))</f>
        <v>248</v>
      </c>
      <c r="K362" s="4">
        <f>IF(ISNUMBER(L362),
   IF(CEILING(ROUND(L362*0.95,2),5)=420,
      425,
      CEILING(ROUND(L362*0.95,2),5)
   ),
   ""
)</f>
        <v>295</v>
      </c>
      <c r="L362" s="4">
        <f>IF(AND(ISNUMBER(J362),ISNUMBER(G362)),
   IF(CEILING(ROUND(J362*1.25,2),5)=420,
      425,
      CEILING(ROUND(J362*1.25,2),5)
   ),
   ""
)</f>
        <v>310</v>
      </c>
      <c r="M362" s="4">
        <f>IF(AND(ISNUMBER(J362),ISNUMBER(G362)),
   IF(
      CEILING(
         ROUND((J362*1.5) * IF(J362*1.5 &lt;= 2500, 1.05, 1.18), 2),
         IF(ROUND((J362*1.5) * IF(J362*1.5 &lt;= 2500, 1.05, 1.18), 2) &lt; 2500, 25, 50)
      )=420,
      425,
      CEILING(
         ROUND((J362*1.5) * IF(J362*1.5 &lt;= 2500, 1.05, 1.18), 2),
         IF(ROUND((J362*1.5) * IF(J362*1.5 &lt;= 2500, 1.05, 1.18), 2) &lt; 2500, 25, 50)
      )
   ),
   ""
)</f>
        <v>400</v>
      </c>
      <c r="N362" s="4">
        <f>IF(ISNUMBER(G362),
   IF(CEILING(ROUND(L362*0.92,2),5)=420,
      425,
      CEILING(ROUND(L362*0.92,2),5)
   ),
   ""
)</f>
        <v>290</v>
      </c>
      <c r="O362" s="4">
        <f>IF(ISNUMBER(L362),
   IF(CEILING(ROUND(L362*1.07,2),5)=420,
      425,
      CEILING(ROUND(L362*1.07,2),5)
   ),
   ""
)</f>
        <v>335</v>
      </c>
      <c r="P362" s="4">
        <f>IF((((Price25[Cost]*1.5)+50)/0.835)&lt;2500,
MROUND((((( Price25[Cost]*1.5)+50)/0.835)*1.05)*2,10),
MROUND((((( Price25[Cost]*1.5)+50)/0.835)*1.18)*2,10))</f>
        <v>960</v>
      </c>
      <c r="Q362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470</v>
      </c>
    </row>
    <row r="363" spans="1:17" x14ac:dyDescent="0.25">
      <c r="A363" s="1">
        <v>2025</v>
      </c>
      <c r="B363" s="18">
        <v>2492</v>
      </c>
      <c r="C363" s="19" t="s">
        <v>277</v>
      </c>
      <c r="D363" s="19" t="s">
        <v>494</v>
      </c>
      <c r="E363" s="19" t="s">
        <v>249</v>
      </c>
      <c r="F363" s="19" t="s">
        <v>429</v>
      </c>
      <c r="G363" s="20">
        <v>205</v>
      </c>
      <c r="I363" s="20">
        <v>15</v>
      </c>
      <c r="J363" s="4">
        <f t="shared" si="60"/>
        <v>220</v>
      </c>
      <c r="K363" s="4">
        <f t="shared" si="61"/>
        <v>265</v>
      </c>
      <c r="L363" s="4">
        <f t="shared" si="62"/>
        <v>275</v>
      </c>
      <c r="M363" s="4">
        <f t="shared" si="63"/>
        <v>350</v>
      </c>
      <c r="N363" s="4">
        <f t="shared" si="64"/>
        <v>255</v>
      </c>
      <c r="O363" s="4">
        <f t="shared" si="65"/>
        <v>295</v>
      </c>
      <c r="P363" s="4">
        <f>IF((((Price25[Cost]*1.5)+50)/0.835)&lt;2500,
MROUND((((( Price25[Cost]*1.5)+50)/0.835)*1.05)*2,10),
MROUND((((( Price25[Cost]*1.5)+50)/0.835)*1.18)*2,10))</f>
        <v>900</v>
      </c>
      <c r="Q363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420</v>
      </c>
    </row>
    <row r="364" spans="1:17" x14ac:dyDescent="0.25">
      <c r="A364" s="1">
        <v>2026</v>
      </c>
      <c r="B364" s="18">
        <v>269</v>
      </c>
      <c r="C364" s="19" t="s">
        <v>277</v>
      </c>
      <c r="D364" s="19" t="s">
        <v>494</v>
      </c>
      <c r="E364" s="19" t="s">
        <v>186</v>
      </c>
      <c r="F364" s="19" t="s">
        <v>862</v>
      </c>
      <c r="G364" s="20">
        <v>245</v>
      </c>
      <c r="H364" s="20">
        <v>5</v>
      </c>
      <c r="I364" s="20">
        <v>15</v>
      </c>
      <c r="J364" s="4">
        <f t="shared" si="60"/>
        <v>265</v>
      </c>
      <c r="K364" s="4">
        <f t="shared" si="61"/>
        <v>320</v>
      </c>
      <c r="L364" s="4">
        <f t="shared" si="62"/>
        <v>335</v>
      </c>
      <c r="M364" s="4">
        <f t="shared" si="63"/>
        <v>425</v>
      </c>
      <c r="N364" s="4">
        <f t="shared" si="64"/>
        <v>310</v>
      </c>
      <c r="O364" s="4">
        <f t="shared" si="65"/>
        <v>360</v>
      </c>
      <c r="P364" s="4">
        <f>IF((((Price25[Cost]*1.5)+50)/0.835)&lt;2500,
MROUND((((( Price25[Cost]*1.5)+50)/0.835)*1.05)*2,10),
MROUND((((( Price25[Cost]*1.5)+50)/0.835)*1.18)*2,10))</f>
        <v>1050</v>
      </c>
      <c r="Q364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500</v>
      </c>
    </row>
    <row r="365" spans="1:17" x14ac:dyDescent="0.25">
      <c r="A365" s="1">
        <v>2025</v>
      </c>
      <c r="B365" s="18">
        <v>271</v>
      </c>
      <c r="C365" s="19" t="s">
        <v>277</v>
      </c>
      <c r="D365" s="19" t="s">
        <v>494</v>
      </c>
      <c r="E365" s="19" t="s">
        <v>186</v>
      </c>
      <c r="F365" s="19" t="s">
        <v>454</v>
      </c>
      <c r="G365" s="20">
        <v>290</v>
      </c>
      <c r="H365" s="20">
        <v>10</v>
      </c>
      <c r="I365" s="20">
        <v>15</v>
      </c>
      <c r="J365" s="4">
        <f t="shared" si="60"/>
        <v>315</v>
      </c>
      <c r="K365" s="4">
        <f t="shared" si="61"/>
        <v>380</v>
      </c>
      <c r="L365" s="4">
        <f t="shared" si="62"/>
        <v>395</v>
      </c>
      <c r="M365" s="4">
        <f t="shared" si="63"/>
        <v>500</v>
      </c>
      <c r="N365" s="4">
        <f t="shared" si="64"/>
        <v>365</v>
      </c>
      <c r="O365" s="4">
        <f t="shared" si="65"/>
        <v>425</v>
      </c>
      <c r="P365" s="4">
        <f>IF((((Price25[Cost]*1.5)+50)/0.835)&lt;2500,
MROUND((((( Price25[Cost]*1.5)+50)/0.835)*1.05)*2,10),
MROUND((((( Price25[Cost]*1.5)+50)/0.835)*1.18)*2,10))</f>
        <v>1220</v>
      </c>
      <c r="Q365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570</v>
      </c>
    </row>
    <row r="366" spans="1:17" x14ac:dyDescent="0.25">
      <c r="A366" s="1">
        <v>2025</v>
      </c>
      <c r="B366" s="18">
        <v>272</v>
      </c>
      <c r="C366" s="19" t="s">
        <v>277</v>
      </c>
      <c r="D366" s="19" t="s">
        <v>494</v>
      </c>
      <c r="E366" s="19" t="s">
        <v>186</v>
      </c>
      <c r="F366" s="19" t="s">
        <v>455</v>
      </c>
      <c r="G366" s="20">
        <v>290</v>
      </c>
      <c r="H366" s="20">
        <v>10</v>
      </c>
      <c r="I366" s="20">
        <v>15</v>
      </c>
      <c r="J366" s="4">
        <f t="shared" si="60"/>
        <v>315</v>
      </c>
      <c r="K366" s="4">
        <f t="shared" si="61"/>
        <v>380</v>
      </c>
      <c r="L366" s="4">
        <f t="shared" si="62"/>
        <v>395</v>
      </c>
      <c r="M366" s="4">
        <f t="shared" si="63"/>
        <v>500</v>
      </c>
      <c r="N366" s="4">
        <f t="shared" si="64"/>
        <v>365</v>
      </c>
      <c r="O366" s="4">
        <f t="shared" si="65"/>
        <v>425</v>
      </c>
      <c r="P366" s="4">
        <f>IF((((Price25[Cost]*1.5)+50)/0.835)&lt;2500,
MROUND((((( Price25[Cost]*1.5)+50)/0.835)*1.05)*2,10),
MROUND((((( Price25[Cost]*1.5)+50)/0.835)*1.18)*2,10))</f>
        <v>1220</v>
      </c>
      <c r="Q366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570</v>
      </c>
    </row>
    <row r="367" spans="1:17" x14ac:dyDescent="0.25">
      <c r="A367" s="1">
        <v>2026</v>
      </c>
      <c r="B367" s="18">
        <v>333</v>
      </c>
      <c r="C367" s="19" t="s">
        <v>277</v>
      </c>
      <c r="D367" s="19" t="s">
        <v>494</v>
      </c>
      <c r="E367" s="19" t="s">
        <v>580</v>
      </c>
      <c r="F367" s="19" t="s">
        <v>581</v>
      </c>
      <c r="G367" s="20">
        <v>74</v>
      </c>
      <c r="I367" s="20">
        <v>5</v>
      </c>
      <c r="J367" s="4">
        <f t="shared" si="60"/>
        <v>79</v>
      </c>
      <c r="K367" s="4">
        <f t="shared" si="61"/>
        <v>95</v>
      </c>
      <c r="L367" s="4">
        <f t="shared" si="62"/>
        <v>100</v>
      </c>
      <c r="M367" s="4">
        <f t="shared" si="63"/>
        <v>125</v>
      </c>
      <c r="N367" s="4">
        <f t="shared" si="64"/>
        <v>95</v>
      </c>
      <c r="O367" s="4">
        <f t="shared" si="65"/>
        <v>110</v>
      </c>
      <c r="P367" s="4">
        <f>IF((((Price25[Cost]*1.5)+50)/0.835)&lt;2500,
MROUND((((( Price25[Cost]*1.5)+50)/0.835)*1.05)*2,10),
MROUND((((( Price25[Cost]*1.5)+50)/0.835)*1.18)*2,10))</f>
        <v>400</v>
      </c>
      <c r="Q367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200</v>
      </c>
    </row>
    <row r="368" spans="1:17" x14ac:dyDescent="0.25">
      <c r="A368" s="1">
        <v>2026</v>
      </c>
      <c r="B368" s="18" t="s">
        <v>835</v>
      </c>
      <c r="C368" s="19" t="s">
        <v>277</v>
      </c>
      <c r="D368" s="19" t="s">
        <v>494</v>
      </c>
      <c r="E368" s="19" t="s">
        <v>580</v>
      </c>
      <c r="F368" s="19" t="s">
        <v>836</v>
      </c>
      <c r="G368" s="20">
        <v>67.5</v>
      </c>
      <c r="I368" s="20">
        <v>10</v>
      </c>
      <c r="J368" s="4">
        <f>IF(SUMIF(G368:I368,"&lt;&gt;")=0,"",SUM(G368:I368))</f>
        <v>77.5</v>
      </c>
      <c r="K368" s="4">
        <f t="shared" si="61"/>
        <v>95</v>
      </c>
      <c r="L368" s="4">
        <f t="shared" si="62"/>
        <v>100</v>
      </c>
      <c r="M368" s="4">
        <f t="shared" si="63"/>
        <v>125</v>
      </c>
      <c r="N368" s="4">
        <f t="shared" si="64"/>
        <v>95</v>
      </c>
      <c r="O368" s="4">
        <f t="shared" si="65"/>
        <v>110</v>
      </c>
      <c r="P368" s="4">
        <f>IF((((Price25[Cost]*1.5)+50)/0.835)&lt;2500,
MROUND((((( Price25[Cost]*1.5)+50)/0.835)*1.05)*2,10),
MROUND((((( Price25[Cost]*1.5)+50)/0.835)*1.18)*2,10))</f>
        <v>380</v>
      </c>
      <c r="Q368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200</v>
      </c>
    </row>
    <row r="369" spans="1:17" x14ac:dyDescent="0.25">
      <c r="A369" s="1">
        <v>2026</v>
      </c>
      <c r="B369" s="18">
        <v>444</v>
      </c>
      <c r="C369" s="19" t="s">
        <v>287</v>
      </c>
      <c r="D369" s="19" t="s">
        <v>494</v>
      </c>
      <c r="E369" s="19" t="s">
        <v>772</v>
      </c>
      <c r="F369" s="19" t="s">
        <v>26</v>
      </c>
      <c r="G369" s="20">
        <v>100</v>
      </c>
      <c r="I369" s="20">
        <v>25</v>
      </c>
      <c r="J369" s="4">
        <f t="shared" si="60"/>
        <v>125</v>
      </c>
      <c r="K369" s="4">
        <f t="shared" si="61"/>
        <v>155</v>
      </c>
      <c r="L369" s="4">
        <f t="shared" si="62"/>
        <v>160</v>
      </c>
      <c r="M369" s="4">
        <f t="shared" si="63"/>
        <v>200</v>
      </c>
      <c r="N369" s="4">
        <f t="shared" si="64"/>
        <v>150</v>
      </c>
      <c r="O369" s="4">
        <f t="shared" si="65"/>
        <v>175</v>
      </c>
      <c r="P369" s="4">
        <f>IF((((Price25[Cost]*1.5)+50)/0.835)&lt;2500,
MROUND((((( Price25[Cost]*1.5)+50)/0.835)*1.05)*2,10),
MROUND((((( Price25[Cost]*1.5)+50)/0.835)*1.18)*2,10))</f>
        <v>500</v>
      </c>
      <c r="Q369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270</v>
      </c>
    </row>
    <row r="370" spans="1:17" x14ac:dyDescent="0.25">
      <c r="A370" s="1">
        <v>2026</v>
      </c>
      <c r="B370" s="18">
        <v>550</v>
      </c>
      <c r="C370" s="19" t="s">
        <v>287</v>
      </c>
      <c r="D370" s="19" t="s">
        <v>494</v>
      </c>
      <c r="E370" s="19" t="s">
        <v>246</v>
      </c>
      <c r="F370" s="19" t="s">
        <v>247</v>
      </c>
      <c r="G370" s="20">
        <v>280</v>
      </c>
      <c r="I370" s="20">
        <v>20</v>
      </c>
      <c r="J370" s="4">
        <f t="shared" si="60"/>
        <v>300</v>
      </c>
      <c r="K370" s="4">
        <f t="shared" si="61"/>
        <v>360</v>
      </c>
      <c r="L370" s="4">
        <f t="shared" si="62"/>
        <v>375</v>
      </c>
      <c r="M370" s="4">
        <f t="shared" si="63"/>
        <v>475</v>
      </c>
      <c r="N370" s="4">
        <f t="shared" si="64"/>
        <v>345</v>
      </c>
      <c r="O370" s="4">
        <f t="shared" si="65"/>
        <v>405</v>
      </c>
      <c r="P370" s="4">
        <f>IF((((Price25[Cost]*1.5)+50)/0.835)&lt;2500,
MROUND((((( Price25[Cost]*1.5)+50)/0.835)*1.05)*2,10),
MROUND((((( Price25[Cost]*1.5)+50)/0.835)*1.18)*2,10))</f>
        <v>1180</v>
      </c>
      <c r="Q370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550</v>
      </c>
    </row>
    <row r="371" spans="1:17" x14ac:dyDescent="0.25">
      <c r="A371" s="1">
        <v>2026</v>
      </c>
      <c r="B371" s="18">
        <v>555</v>
      </c>
      <c r="C371" s="19" t="s">
        <v>287</v>
      </c>
      <c r="D371" s="19" t="s">
        <v>494</v>
      </c>
      <c r="E371" s="19" t="s">
        <v>246</v>
      </c>
      <c r="F371" s="19" t="s">
        <v>1013</v>
      </c>
      <c r="G371" s="20">
        <v>125</v>
      </c>
      <c r="I371" s="20">
        <v>35</v>
      </c>
      <c r="J371" s="4">
        <f t="shared" si="60"/>
        <v>160</v>
      </c>
      <c r="K371" s="4">
        <f t="shared" si="61"/>
        <v>190</v>
      </c>
      <c r="L371" s="4">
        <f t="shared" si="62"/>
        <v>200</v>
      </c>
      <c r="M371" s="4">
        <f t="shared" si="63"/>
        <v>275</v>
      </c>
      <c r="N371" s="4">
        <f t="shared" si="64"/>
        <v>185</v>
      </c>
      <c r="O371" s="4">
        <f t="shared" si="65"/>
        <v>215</v>
      </c>
      <c r="P371" s="4">
        <f>IF((((Price25[Cost]*1.5)+50)/0.835)&lt;2500,
MROUND((((( Price25[Cost]*1.5)+50)/0.835)*1.05)*2,10),
MROUND((((( Price25[Cost]*1.5)+50)/0.835)*1.18)*2,10))</f>
        <v>600</v>
      </c>
      <c r="Q371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350</v>
      </c>
    </row>
    <row r="372" spans="1:17" x14ac:dyDescent="0.25">
      <c r="A372" s="1">
        <v>2026</v>
      </c>
      <c r="B372" s="18" t="s">
        <v>1017</v>
      </c>
      <c r="C372" s="19" t="s">
        <v>287</v>
      </c>
      <c r="D372" s="19" t="s">
        <v>494</v>
      </c>
      <c r="E372" s="19"/>
      <c r="F372" s="19" t="s">
        <v>1014</v>
      </c>
      <c r="G372" s="20">
        <v>140</v>
      </c>
      <c r="I372" s="20">
        <v>35</v>
      </c>
      <c r="J372" s="4">
        <f>IF(SUMIF(G372:I372,"&lt;&gt;")=0,"",SUM(G372:I372))</f>
        <v>175</v>
      </c>
      <c r="K372" s="4">
        <f>IF(ISNUMBER(L372),
   IF(CEILING(ROUND(L372*0.95,2),5)=420,
      425,
      CEILING(ROUND(L372*0.95,2),5)
   ),
   ""
)</f>
        <v>210</v>
      </c>
      <c r="L372" s="4">
        <f>IF(AND(ISNUMBER(J372),ISNUMBER(G372)),
   IF(CEILING(ROUND(J372*1.25,2),5)=420,
      425,
      CEILING(ROUND(J372*1.25,2),5)
   ),
   ""
)</f>
        <v>220</v>
      </c>
      <c r="M372" s="4">
        <f>IF(AND(ISNUMBER(J372),ISNUMBER(G372)),
   IF(
      CEILING(
         ROUND((J372*1.5) * IF(J372*1.5 &lt;= 2500, 1.05, 1.18), 2),
         IF(ROUND((J372*1.5) * IF(J372*1.5 &lt;= 2500, 1.05, 1.18), 2) &lt; 2500, 25, 50)
      )=420,
      425,
      CEILING(
         ROUND((J372*1.5) * IF(J372*1.5 &lt;= 2500, 1.05, 1.18), 2),
         IF(ROUND((J372*1.5) * IF(J372*1.5 &lt;= 2500, 1.05, 1.18), 2) &lt; 2500, 25, 50)
      )
   ),
   ""
)</f>
        <v>300</v>
      </c>
      <c r="N372" s="4">
        <f>IF(ISNUMBER(G372),
   IF(CEILING(ROUND(L372*0.92,2),5)=420,
      425,
      CEILING(ROUND(L372*0.92,2),5)
   ),
   ""
)</f>
        <v>205</v>
      </c>
      <c r="O372" s="4">
        <f>IF(ISNUMBER(L372),
   IF(CEILING(ROUND(L372*1.07,2),5)=420,
      425,
      CEILING(ROUND(L372*1.07,2),5)
   ),
   ""
)</f>
        <v>240</v>
      </c>
      <c r="P372" s="4">
        <f>IF((((Price25[Cost]*1.5)+50)/0.835)&lt;2500,
MROUND((((( Price25[Cost]*1.5)+50)/0.835)*1.05)*2,10),
MROUND((((( Price25[Cost]*1.5)+50)/0.835)*1.18)*2,10))</f>
        <v>650</v>
      </c>
      <c r="Q372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370</v>
      </c>
    </row>
    <row r="373" spans="1:17" x14ac:dyDescent="0.25">
      <c r="A373" s="1">
        <v>2026</v>
      </c>
      <c r="B373" s="18">
        <v>666</v>
      </c>
      <c r="C373" s="19" t="s">
        <v>287</v>
      </c>
      <c r="D373" s="19" t="s">
        <v>494</v>
      </c>
      <c r="E373" s="19"/>
      <c r="F373" s="19" t="s">
        <v>1007</v>
      </c>
      <c r="G373" s="20">
        <v>150</v>
      </c>
      <c r="I373" s="20">
        <v>35</v>
      </c>
      <c r="J373" s="4">
        <f t="shared" si="60"/>
        <v>185</v>
      </c>
      <c r="K373" s="4">
        <f t="shared" si="61"/>
        <v>225</v>
      </c>
      <c r="L373" s="4">
        <f t="shared" si="62"/>
        <v>235</v>
      </c>
      <c r="M373" s="4">
        <f t="shared" si="63"/>
        <v>300</v>
      </c>
      <c r="N373" s="4">
        <f t="shared" si="64"/>
        <v>220</v>
      </c>
      <c r="O373" s="4">
        <f t="shared" si="65"/>
        <v>255</v>
      </c>
      <c r="P373" s="4">
        <f>IF((((Price25[Cost]*1.5)+50)/0.835)&lt;2500,
MROUND((((( Price25[Cost]*1.5)+50)/0.835)*1.05)*2,10),
MROUND((((( Price25[Cost]*1.5)+50)/0.835)*1.18)*2,10))</f>
        <v>690</v>
      </c>
      <c r="Q373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370</v>
      </c>
    </row>
    <row r="374" spans="1:17" x14ac:dyDescent="0.25">
      <c r="A374" s="1">
        <v>2026</v>
      </c>
      <c r="B374" s="18" t="s">
        <v>1016</v>
      </c>
      <c r="C374" s="19" t="s">
        <v>287</v>
      </c>
      <c r="D374" s="19" t="s">
        <v>494</v>
      </c>
      <c r="E374" s="19"/>
      <c r="F374" s="19" t="s">
        <v>240</v>
      </c>
      <c r="G374" s="20">
        <v>168</v>
      </c>
      <c r="I374" s="20">
        <v>35</v>
      </c>
      <c r="J374" s="4">
        <f t="shared" si="60"/>
        <v>203</v>
      </c>
      <c r="K374" s="4">
        <f t="shared" ref="K374:K440" si="78">IF(ISNUMBER(L374),
   IF(CEILING(ROUND(L374*0.95,2),5)=420,
      425,
      CEILING(ROUND(L374*0.95,2),5)
   ),
   ""
)</f>
        <v>245</v>
      </c>
      <c r="L374" s="4">
        <f t="shared" ref="L374:L440" si="79">IF(AND(ISNUMBER(J374),ISNUMBER(G374)),
   IF(CEILING(ROUND(J374*1.25,2),5)=420,
      425,
      CEILING(ROUND(J374*1.25,2),5)
   ),
   ""
)</f>
        <v>255</v>
      </c>
      <c r="M374" s="4">
        <f t="shared" ref="M374:M440" si="80">IF(AND(ISNUMBER(J374),ISNUMBER(G374)),
   IF(
      CEILING(
         ROUND((J374*1.5) * IF(J374*1.5 &lt;= 2500, 1.05, 1.18), 2),
         IF(ROUND((J374*1.5) * IF(J374*1.5 &lt;= 2500, 1.05, 1.18), 2) &lt; 2500, 25, 50)
      )=420,
      425,
      CEILING(
         ROUND((J374*1.5) * IF(J374*1.5 &lt;= 2500, 1.05, 1.18), 2),
         IF(ROUND((J374*1.5) * IF(J374*1.5 &lt;= 2500, 1.05, 1.18), 2) &lt; 2500, 25, 50)
      )
   ),
   ""
)</f>
        <v>325</v>
      </c>
      <c r="N374" s="4">
        <f t="shared" ref="N374:N440" si="81">IF(ISNUMBER(G374),
   IF(CEILING(ROUND(L374*0.92,2),5)=420,
      425,
      CEILING(ROUND(L374*0.92,2),5)
   ),
   ""
)</f>
        <v>235</v>
      </c>
      <c r="O374" s="4">
        <f t="shared" ref="O374:O440" si="82">IF(ISNUMBER(L374),
   IF(CEILING(ROUND(L374*1.07,2),5)=420,
      425,
      CEILING(ROUND(L374*1.07,2),5)
   ),
   ""
)</f>
        <v>275</v>
      </c>
      <c r="P374" s="4">
        <f>IF((((Price25[Cost]*1.5)+50)/0.835)&lt;2500,
MROUND((((( Price25[Cost]*1.5)+50)/0.835)*1.05)*2,10),
MROUND((((( Price25[Cost]*1.5)+50)/0.835)*1.18)*2,10))</f>
        <v>760</v>
      </c>
      <c r="Q374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400</v>
      </c>
    </row>
    <row r="375" spans="1:17" x14ac:dyDescent="0.25">
      <c r="A375" s="1">
        <v>2026</v>
      </c>
      <c r="B375" s="18" t="s">
        <v>1019</v>
      </c>
      <c r="C375" s="19" t="s">
        <v>287</v>
      </c>
      <c r="D375" s="19" t="s">
        <v>494</v>
      </c>
      <c r="E375" s="19" t="s">
        <v>343</v>
      </c>
      <c r="F375" s="19" t="s">
        <v>1015</v>
      </c>
      <c r="G375" s="20">
        <v>305</v>
      </c>
      <c r="I375" s="20">
        <v>15</v>
      </c>
      <c r="J375" s="4">
        <f>IF(SUMIF(G375:I375,"&lt;&gt;")=0,"",SUM(G375:I375))</f>
        <v>320</v>
      </c>
      <c r="K375" s="4">
        <f>IF(ISNUMBER(L375),
   IF(CEILING(ROUND(L375*0.95,2),5)=420,
      425,
      CEILING(ROUND(L375*0.95,2),5)
   ),
   ""
)</f>
        <v>380</v>
      </c>
      <c r="L375" s="4">
        <f>IF(AND(ISNUMBER(J375),ISNUMBER(G375)),
   IF(CEILING(ROUND(J375*1.25,2),5)=420,
      425,
      CEILING(ROUND(J375*1.25,2),5)
   ),
   ""
)</f>
        <v>400</v>
      </c>
      <c r="M375" s="4">
        <f>IF(AND(ISNUMBER(J375),ISNUMBER(G375)),
   IF(
      CEILING(
         ROUND((J375*1.5) * IF(J375*1.5 &lt;= 2500, 1.05, 1.18), 2),
         IF(ROUND((J375*1.5) * IF(J375*1.5 &lt;= 2500, 1.05, 1.18), 2) &lt; 2500, 25, 50)
      )=420,
      425,
      CEILING(
         ROUND((J375*1.5) * IF(J375*1.5 &lt;= 2500, 1.05, 1.18), 2),
         IF(ROUND((J375*1.5) * IF(J375*1.5 &lt;= 2500, 1.05, 1.18), 2) &lt; 2500, 25, 50)
      )
   ),
   ""
)</f>
        <v>525</v>
      </c>
      <c r="N375" s="4">
        <f>IF(ISNUMBER(G375),
   IF(CEILING(ROUND(L375*0.92,2),5)=420,
      425,
      CEILING(ROUND(L375*0.92,2),5)
   ),
   ""
)</f>
        <v>370</v>
      </c>
      <c r="O375" s="4">
        <f>IF(ISNUMBER(L375),
   IF(CEILING(ROUND(L375*1.07,2),5)=420,
      425,
      CEILING(ROUND(L375*1.07,2),5)
   ),
   ""
)</f>
        <v>430</v>
      </c>
      <c r="P375" s="4">
        <f>IF((((Price25[Cost]*1.5)+50)/0.835)&lt;2500,
MROUND((((( Price25[Cost]*1.5)+50)/0.835)*1.05)*2,10),
MROUND((((( Price25[Cost]*1.5)+50)/0.835)*1.18)*2,10))</f>
        <v>1280</v>
      </c>
      <c r="Q375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600</v>
      </c>
    </row>
    <row r="376" spans="1:17" x14ac:dyDescent="0.25">
      <c r="A376" s="1">
        <v>2026</v>
      </c>
      <c r="B376" s="18">
        <v>888</v>
      </c>
      <c r="C376" s="19" t="s">
        <v>287</v>
      </c>
      <c r="D376" s="19" t="s">
        <v>494</v>
      </c>
      <c r="E376" s="19"/>
      <c r="F376" s="19" t="s">
        <v>245</v>
      </c>
      <c r="G376" s="20">
        <v>210</v>
      </c>
      <c r="I376" s="20">
        <v>50</v>
      </c>
      <c r="J376" s="4">
        <f t="shared" ref="J376:J443" si="83">IF(SUMIF(G376:I376,"&lt;&gt;")=0,"",SUM(G376:I376))</f>
        <v>260</v>
      </c>
      <c r="K376" s="4">
        <f t="shared" si="78"/>
        <v>310</v>
      </c>
      <c r="L376" s="4">
        <f t="shared" si="79"/>
        <v>325</v>
      </c>
      <c r="M376" s="4">
        <f t="shared" si="80"/>
        <v>425</v>
      </c>
      <c r="N376" s="4">
        <f t="shared" si="81"/>
        <v>300</v>
      </c>
      <c r="O376" s="4">
        <f t="shared" si="82"/>
        <v>350</v>
      </c>
      <c r="P376" s="4">
        <f>IF((((Price25[Cost]*1.5)+50)/0.835)&lt;2500,
MROUND((((( Price25[Cost]*1.5)+50)/0.835)*1.05)*2,10),
MROUND((((( Price25[Cost]*1.5)+50)/0.835)*1.18)*2,10))</f>
        <v>920</v>
      </c>
      <c r="Q376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500</v>
      </c>
    </row>
    <row r="377" spans="1:17" x14ac:dyDescent="0.25">
      <c r="A377" s="1">
        <v>2026</v>
      </c>
      <c r="B377" s="18">
        <v>1111</v>
      </c>
      <c r="C377" s="19" t="s">
        <v>287</v>
      </c>
      <c r="D377" s="19" t="s">
        <v>494</v>
      </c>
      <c r="E377" s="19"/>
      <c r="F377" s="19" t="s">
        <v>478</v>
      </c>
      <c r="G377" s="20">
        <v>270</v>
      </c>
      <c r="I377" s="20">
        <v>50</v>
      </c>
      <c r="J377" s="4">
        <f>IF(SUMIF(G377:I377,"&lt;&gt;")=0,"",SUM(G377:I377))</f>
        <v>320</v>
      </c>
      <c r="K377" s="4">
        <f>IF(ISNUMBER(L377),
   IF(CEILING(ROUND(L377*0.95,2),5)=420,
      425,
      CEILING(ROUND(L377*0.95,2),5)
   ),
   ""
)</f>
        <v>380</v>
      </c>
      <c r="L377" s="4">
        <f>IF(AND(ISNUMBER(J377),ISNUMBER(G377)),
   IF(CEILING(ROUND(J377*1.25,2),5)=420,
      425,
      CEILING(ROUND(J377*1.25,2),5)
   ),
   ""
)</f>
        <v>400</v>
      </c>
      <c r="M377" s="4">
        <f>IF(AND(ISNUMBER(J377),ISNUMBER(G377)),
   IF(
      CEILING(
         ROUND((J377*1.5) * IF(J377*1.5 &lt;= 2500, 1.05, 1.18), 2),
         IF(ROUND((J377*1.5) * IF(J377*1.5 &lt;= 2500, 1.05, 1.18), 2) &lt; 2500, 25, 50)
      )=420,
      425,
      CEILING(
         ROUND((J377*1.5) * IF(J377*1.5 &lt;= 2500, 1.05, 1.18), 2),
         IF(ROUND((J377*1.5) * IF(J377*1.5 &lt;= 2500, 1.05, 1.18), 2) &lt; 2500, 25, 50)
      )
   ),
   ""
)</f>
        <v>525</v>
      </c>
      <c r="N377" s="4">
        <f>IF(ISNUMBER(G377),
   IF(CEILING(ROUND(L377*0.92,2),5)=420,
      425,
      CEILING(ROUND(L377*0.92,2),5)
   ),
   ""
)</f>
        <v>370</v>
      </c>
      <c r="O377" s="4">
        <f>IF(ISNUMBER(L377),
   IF(CEILING(ROUND(L377*1.07,2),5)=420,
      425,
      CEILING(ROUND(L377*1.07,2),5)
   ),
   ""
)</f>
        <v>430</v>
      </c>
      <c r="P377" s="4">
        <f>IF((((Price25[Cost]*1.5)+50)/0.835)&lt;2500,
MROUND((((( Price25[Cost]*1.5)+50)/0.835)*1.05)*2,10),
MROUND((((( Price25[Cost]*1.5)+50)/0.835)*1.18)*2,10))</f>
        <v>1140</v>
      </c>
      <c r="Q377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600</v>
      </c>
    </row>
    <row r="378" spans="1:17" x14ac:dyDescent="0.25">
      <c r="A378" s="1">
        <v>2026</v>
      </c>
      <c r="B378" s="18">
        <v>1400</v>
      </c>
      <c r="C378" s="19" t="s">
        <v>287</v>
      </c>
      <c r="D378" s="19" t="s">
        <v>167</v>
      </c>
      <c r="E378" s="19" t="s">
        <v>772</v>
      </c>
      <c r="F378" s="19" t="s">
        <v>1005</v>
      </c>
      <c r="G378" s="20">
        <v>175</v>
      </c>
      <c r="I378" s="20">
        <v>35</v>
      </c>
      <c r="J378" s="4">
        <f>IF(SUMIF(G378:I378,"&lt;&gt;")=0,"",SUM(G378:I378))</f>
        <v>210</v>
      </c>
      <c r="K378" s="4">
        <f>IF(ISNUMBER(L378),
   IF(CEILING(ROUND(L378*0.95,2),5)=420,
      425,
      CEILING(ROUND(L378*0.95,2),5)
   ),
   ""
)</f>
        <v>255</v>
      </c>
      <c r="L378" s="4">
        <f>IF(AND(ISNUMBER(J378),ISNUMBER(G378)),
   IF(CEILING(ROUND(J378*1.25,2),5)=420,
      425,
      CEILING(ROUND(J378*1.25,2),5)
   ),
   ""
)</f>
        <v>265</v>
      </c>
      <c r="M378" s="4">
        <f>IF(AND(ISNUMBER(J378),ISNUMBER(G378)),
   IF(
      CEILING(
         ROUND((J378*1.5) * IF(J378*1.5 &lt;= 2500, 1.05, 1.18), 2),
         IF(ROUND((J378*1.5) * IF(J378*1.5 &lt;= 2500, 1.05, 1.18), 2) &lt; 2500, 25, 50)
      )=420,
      425,
      CEILING(
         ROUND((J378*1.5) * IF(J378*1.5 &lt;= 2500, 1.05, 1.18), 2),
         IF(ROUND((J378*1.5) * IF(J378*1.5 &lt;= 2500, 1.05, 1.18), 2) &lt; 2500, 25, 50)
      )
   ),
   ""
)</f>
        <v>350</v>
      </c>
      <c r="N378" s="4">
        <f>IF(ISNUMBER(G378),
   IF(CEILING(ROUND(L378*0.92,2),5)=420,
      425,
      CEILING(ROUND(L378*0.92,2),5)
   ),
   ""
)</f>
        <v>245</v>
      </c>
      <c r="O378" s="4">
        <f>IF(ISNUMBER(L378),
   IF(CEILING(ROUND(L378*1.07,2),5)=420,
      425,
      CEILING(ROUND(L378*1.07,2),5)
   ),
   ""
)</f>
        <v>285</v>
      </c>
      <c r="P378" s="4">
        <f>IF((((Price25[Cost]*1.5)+50)/0.835)&lt;2500,
MROUND((((( Price25[Cost]*1.5)+50)/0.835)*1.05)*2,10),
MROUND((((( Price25[Cost]*1.5)+50)/0.835)*1.18)*2,10))</f>
        <v>790</v>
      </c>
      <c r="Q378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420</v>
      </c>
    </row>
    <row r="379" spans="1:17" x14ac:dyDescent="0.25">
      <c r="A379" s="1">
        <v>2026</v>
      </c>
      <c r="B379" s="18" t="s">
        <v>1018</v>
      </c>
      <c r="C379" s="19" t="s">
        <v>287</v>
      </c>
      <c r="D379" s="19" t="s">
        <v>494</v>
      </c>
      <c r="E379" s="19" t="s">
        <v>772</v>
      </c>
      <c r="F379" s="19" t="s">
        <v>1006</v>
      </c>
      <c r="G379" s="20">
        <v>196</v>
      </c>
      <c r="I379" s="20">
        <v>35</v>
      </c>
      <c r="J379" s="4">
        <f>IF(SUMIF(G379:I379,"&lt;&gt;")=0,"",SUM(G379:I379))</f>
        <v>231</v>
      </c>
      <c r="K379" s="4">
        <f>IF(ISNUMBER(L379),
   IF(CEILING(ROUND(L379*0.95,2),5)=420,
      425,
      CEILING(ROUND(L379*0.95,2),5)
   ),
   ""
)</f>
        <v>280</v>
      </c>
      <c r="L379" s="4">
        <f>IF(AND(ISNUMBER(J379),ISNUMBER(G379)),
   IF(CEILING(ROUND(J379*1.25,2),5)=420,
      425,
      CEILING(ROUND(J379*1.25,2),5)
   ),
   ""
)</f>
        <v>290</v>
      </c>
      <c r="M379" s="4">
        <f>IF(AND(ISNUMBER(J379),ISNUMBER(G379)),
   IF(
      CEILING(
         ROUND((J379*1.5) * IF(J379*1.5 &lt;= 2500, 1.05, 1.18), 2),
         IF(ROUND((J379*1.5) * IF(J379*1.5 &lt;= 2500, 1.05, 1.18), 2) &lt; 2500, 25, 50)
      )=420,
      425,
      CEILING(
         ROUND((J379*1.5) * IF(J379*1.5 &lt;= 2500, 1.05, 1.18), 2),
         IF(ROUND((J379*1.5) * IF(J379*1.5 &lt;= 2500, 1.05, 1.18), 2) &lt; 2500, 25, 50)
      )
   ),
   ""
)</f>
        <v>375</v>
      </c>
      <c r="N379" s="4">
        <f>IF(ISNUMBER(G379),
   IF(CEILING(ROUND(L379*0.92,2),5)=420,
      425,
      CEILING(ROUND(L379*0.92,2),5)
   ),
   ""
)</f>
        <v>270</v>
      </c>
      <c r="O379" s="4">
        <f>IF(ISNUMBER(L379),
   IF(CEILING(ROUND(L379*1.07,2),5)=420,
      425,
      CEILING(ROUND(L379*1.07,2),5)
   ),
   ""
)</f>
        <v>315</v>
      </c>
      <c r="P379" s="4">
        <f>IF((((Price25[Cost]*1.5)+50)/0.835)&lt;2500,
MROUND((((( Price25[Cost]*1.5)+50)/0.835)*1.05)*2,10),
MROUND((((( Price25[Cost]*1.5)+50)/0.835)*1.18)*2,10))</f>
        <v>870</v>
      </c>
      <c r="Q379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450</v>
      </c>
    </row>
    <row r="380" spans="1:17" x14ac:dyDescent="0.25">
      <c r="A380" s="1"/>
      <c r="B380" s="18" t="s">
        <v>114</v>
      </c>
      <c r="C380" s="19" t="s">
        <v>287</v>
      </c>
      <c r="D380" s="19" t="s">
        <v>494</v>
      </c>
      <c r="E380" s="19"/>
      <c r="F380" s="19" t="s">
        <v>115</v>
      </c>
      <c r="G380" s="20">
        <v>310</v>
      </c>
      <c r="I380" s="20">
        <v>10</v>
      </c>
      <c r="J380" s="4">
        <f t="shared" si="83"/>
        <v>320</v>
      </c>
      <c r="K380" s="4">
        <f t="shared" si="78"/>
        <v>380</v>
      </c>
      <c r="L380" s="4">
        <f t="shared" si="79"/>
        <v>400</v>
      </c>
      <c r="M380" s="4">
        <f t="shared" si="80"/>
        <v>525</v>
      </c>
      <c r="N380" s="4">
        <f t="shared" si="81"/>
        <v>370</v>
      </c>
      <c r="O380" s="4">
        <f t="shared" si="82"/>
        <v>430</v>
      </c>
      <c r="P380" s="4">
        <f>IF((((Price25[Cost]*1.5)+50)/0.835)&lt;2500,
MROUND((((( Price25[Cost]*1.5)+50)/0.835)*1.05)*2,10),
MROUND((((( Price25[Cost]*1.5)+50)/0.835)*1.18)*2,10))</f>
        <v>1300</v>
      </c>
      <c r="Q380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600</v>
      </c>
    </row>
    <row r="381" spans="1:17" x14ac:dyDescent="0.25">
      <c r="A381" s="1">
        <v>2025</v>
      </c>
      <c r="B381" s="18" t="s">
        <v>553</v>
      </c>
      <c r="C381" s="19" t="s">
        <v>287</v>
      </c>
      <c r="D381" s="19" t="s">
        <v>494</v>
      </c>
      <c r="E381" s="19" t="s">
        <v>246</v>
      </c>
      <c r="F381" s="19" t="s">
        <v>560</v>
      </c>
      <c r="G381" s="20">
        <v>94</v>
      </c>
      <c r="I381" s="20">
        <v>10</v>
      </c>
      <c r="J381" s="4">
        <f t="shared" si="83"/>
        <v>104</v>
      </c>
      <c r="K381" s="4">
        <f t="shared" si="78"/>
        <v>125</v>
      </c>
      <c r="L381" s="4">
        <f t="shared" si="79"/>
        <v>130</v>
      </c>
      <c r="M381" s="4">
        <f t="shared" si="80"/>
        <v>175</v>
      </c>
      <c r="N381" s="4">
        <f t="shared" si="81"/>
        <v>120</v>
      </c>
      <c r="O381" s="4">
        <f t="shared" si="82"/>
        <v>140</v>
      </c>
      <c r="P381" s="4">
        <f>IF((((Price25[Cost]*1.5)+50)/0.835)&lt;2500,
MROUND((((( Price25[Cost]*1.5)+50)/0.835)*1.05)*2,10),
MROUND((((( Price25[Cost]*1.5)+50)/0.835)*1.18)*2,10))</f>
        <v>480</v>
      </c>
      <c r="Q381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250</v>
      </c>
    </row>
    <row r="382" spans="1:17" x14ac:dyDescent="0.25">
      <c r="A382" s="1">
        <v>2025</v>
      </c>
      <c r="B382" s="18" t="s">
        <v>554</v>
      </c>
      <c r="C382" s="19" t="s">
        <v>287</v>
      </c>
      <c r="D382" s="19" t="s">
        <v>494</v>
      </c>
      <c r="E382" s="19" t="s">
        <v>246</v>
      </c>
      <c r="F382" s="19" t="s">
        <v>561</v>
      </c>
      <c r="G382" s="20">
        <v>155</v>
      </c>
      <c r="I382" s="20">
        <v>5</v>
      </c>
      <c r="J382" s="4">
        <f t="shared" si="83"/>
        <v>160</v>
      </c>
      <c r="K382" s="4">
        <f t="shared" si="78"/>
        <v>190</v>
      </c>
      <c r="L382" s="4">
        <f t="shared" si="79"/>
        <v>200</v>
      </c>
      <c r="M382" s="4">
        <f t="shared" si="80"/>
        <v>275</v>
      </c>
      <c r="N382" s="4">
        <f t="shared" si="81"/>
        <v>185</v>
      </c>
      <c r="O382" s="4">
        <f t="shared" si="82"/>
        <v>215</v>
      </c>
      <c r="P382" s="4">
        <f>IF((((Price25[Cost]*1.5)+50)/0.835)&lt;2500,
MROUND((((( Price25[Cost]*1.5)+50)/0.835)*1.05)*2,10),
MROUND((((( Price25[Cost]*1.5)+50)/0.835)*1.18)*2,10))</f>
        <v>710</v>
      </c>
      <c r="Q382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350</v>
      </c>
    </row>
    <row r="383" spans="1:17" x14ac:dyDescent="0.25">
      <c r="A383" s="1">
        <v>2025</v>
      </c>
      <c r="B383" s="18" t="s">
        <v>555</v>
      </c>
      <c r="C383" s="19" t="s">
        <v>287</v>
      </c>
      <c r="D383" s="19" t="s">
        <v>494</v>
      </c>
      <c r="E383" s="19" t="s">
        <v>246</v>
      </c>
      <c r="F383" s="19" t="s">
        <v>562</v>
      </c>
      <c r="G383" s="20">
        <v>141</v>
      </c>
      <c r="I383" s="20">
        <v>10</v>
      </c>
      <c r="J383" s="4">
        <f t="shared" si="83"/>
        <v>151</v>
      </c>
      <c r="K383" s="4">
        <f t="shared" si="78"/>
        <v>185</v>
      </c>
      <c r="L383" s="4">
        <f t="shared" si="79"/>
        <v>190</v>
      </c>
      <c r="M383" s="4">
        <f t="shared" si="80"/>
        <v>250</v>
      </c>
      <c r="N383" s="4">
        <f t="shared" si="81"/>
        <v>175</v>
      </c>
      <c r="O383" s="4">
        <f t="shared" si="82"/>
        <v>205</v>
      </c>
      <c r="P383" s="4">
        <f>IF((((Price25[Cost]*1.5)+50)/0.835)&lt;2500,
MROUND((((( Price25[Cost]*1.5)+50)/0.835)*1.05)*2,10),
MROUND((((( Price25[Cost]*1.5)+50)/0.835)*1.18)*2,10))</f>
        <v>660</v>
      </c>
      <c r="Q383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320</v>
      </c>
    </row>
    <row r="384" spans="1:17" x14ac:dyDescent="0.25">
      <c r="A384" s="1">
        <v>2025</v>
      </c>
      <c r="B384" s="18" t="s">
        <v>557</v>
      </c>
      <c r="C384" s="19" t="s">
        <v>287</v>
      </c>
      <c r="D384" s="19" t="s">
        <v>494</v>
      </c>
      <c r="E384" s="19" t="s">
        <v>246</v>
      </c>
      <c r="F384" s="19" t="s">
        <v>563</v>
      </c>
      <c r="G384" s="20">
        <v>164.5</v>
      </c>
      <c r="I384" s="20">
        <v>10</v>
      </c>
      <c r="J384" s="4">
        <f t="shared" si="83"/>
        <v>174.5</v>
      </c>
      <c r="K384" s="4">
        <f t="shared" si="78"/>
        <v>210</v>
      </c>
      <c r="L384" s="4">
        <f t="shared" si="79"/>
        <v>220</v>
      </c>
      <c r="M384" s="4">
        <f t="shared" si="80"/>
        <v>275</v>
      </c>
      <c r="N384" s="4">
        <f t="shared" si="81"/>
        <v>205</v>
      </c>
      <c r="O384" s="4">
        <f t="shared" si="82"/>
        <v>240</v>
      </c>
      <c r="P384" s="4">
        <f>IF((((Price25[Cost]*1.5)+50)/0.835)&lt;2500,
MROUND((((( Price25[Cost]*1.5)+50)/0.835)*1.05)*2,10),
MROUND((((( Price25[Cost]*1.5)+50)/0.835)*1.18)*2,10))</f>
        <v>750</v>
      </c>
      <c r="Q384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350</v>
      </c>
    </row>
    <row r="385" spans="1:17" x14ac:dyDescent="0.25">
      <c r="A385" s="1">
        <v>2025</v>
      </c>
      <c r="B385" s="18" t="s">
        <v>556</v>
      </c>
      <c r="C385" s="19" t="s">
        <v>287</v>
      </c>
      <c r="D385" s="19" t="s">
        <v>494</v>
      </c>
      <c r="E385" s="19" t="s">
        <v>246</v>
      </c>
      <c r="F385" s="19" t="s">
        <v>564</v>
      </c>
      <c r="G385" s="20">
        <v>285</v>
      </c>
      <c r="I385" s="20">
        <v>5</v>
      </c>
      <c r="J385" s="4">
        <f t="shared" si="83"/>
        <v>290</v>
      </c>
      <c r="K385" s="4">
        <f t="shared" si="78"/>
        <v>350</v>
      </c>
      <c r="L385" s="4">
        <f t="shared" si="79"/>
        <v>365</v>
      </c>
      <c r="M385" s="4">
        <f t="shared" si="80"/>
        <v>475</v>
      </c>
      <c r="N385" s="4">
        <f t="shared" si="81"/>
        <v>340</v>
      </c>
      <c r="O385" s="4">
        <f t="shared" si="82"/>
        <v>395</v>
      </c>
      <c r="P385" s="4">
        <f>IF((((Price25[Cost]*1.5)+50)/0.835)&lt;2500,
MROUND((((( Price25[Cost]*1.5)+50)/0.835)*1.05)*2,10),
MROUND((((( Price25[Cost]*1.5)+50)/0.835)*1.18)*2,10))</f>
        <v>1200</v>
      </c>
      <c r="Q385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550</v>
      </c>
    </row>
    <row r="386" spans="1:17" x14ac:dyDescent="0.25">
      <c r="A386" s="1">
        <v>2025</v>
      </c>
      <c r="B386" s="18" t="s">
        <v>558</v>
      </c>
      <c r="C386" s="19" t="s">
        <v>287</v>
      </c>
      <c r="D386" s="19" t="s">
        <v>494</v>
      </c>
      <c r="E386" s="19" t="s">
        <v>246</v>
      </c>
      <c r="F386" s="19" t="s">
        <v>565</v>
      </c>
      <c r="G386" s="20">
        <v>211.5</v>
      </c>
      <c r="H386" s="20">
        <v>2.5</v>
      </c>
      <c r="I386" s="20">
        <v>10</v>
      </c>
      <c r="J386" s="4">
        <f t="shared" si="83"/>
        <v>224</v>
      </c>
      <c r="K386" s="4">
        <f t="shared" si="78"/>
        <v>270</v>
      </c>
      <c r="L386" s="4">
        <f t="shared" si="79"/>
        <v>280</v>
      </c>
      <c r="M386" s="4">
        <f t="shared" si="80"/>
        <v>375</v>
      </c>
      <c r="N386" s="4">
        <f t="shared" si="81"/>
        <v>260</v>
      </c>
      <c r="O386" s="4">
        <f t="shared" si="82"/>
        <v>300</v>
      </c>
      <c r="P386" s="4">
        <f>IF((((Price25[Cost]*1.5)+50)/0.835)&lt;2500,
MROUND((((( Price25[Cost]*1.5)+50)/0.835)*1.05)*2,10),
MROUND((((( Price25[Cost]*1.5)+50)/0.835)*1.18)*2,10))</f>
        <v>920</v>
      </c>
      <c r="Q386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450</v>
      </c>
    </row>
    <row r="387" spans="1:17" x14ac:dyDescent="0.25">
      <c r="A387" s="1">
        <v>2025</v>
      </c>
      <c r="B387" s="18" t="s">
        <v>559</v>
      </c>
      <c r="C387" s="19" t="s">
        <v>287</v>
      </c>
      <c r="D387" s="19" t="s">
        <v>494</v>
      </c>
      <c r="E387" s="19" t="s">
        <v>246</v>
      </c>
      <c r="F387" s="19" t="s">
        <v>566</v>
      </c>
      <c r="G387" s="20">
        <v>235</v>
      </c>
      <c r="H387" s="20">
        <v>2.5</v>
      </c>
      <c r="I387" s="20">
        <v>10</v>
      </c>
      <c r="J387" s="4">
        <f t="shared" si="83"/>
        <v>247.5</v>
      </c>
      <c r="K387" s="4">
        <f t="shared" si="78"/>
        <v>295</v>
      </c>
      <c r="L387" s="4">
        <f t="shared" si="79"/>
        <v>310</v>
      </c>
      <c r="M387" s="4">
        <f t="shared" si="80"/>
        <v>400</v>
      </c>
      <c r="N387" s="4">
        <f t="shared" si="81"/>
        <v>290</v>
      </c>
      <c r="O387" s="4">
        <f t="shared" si="82"/>
        <v>335</v>
      </c>
      <c r="P387" s="4">
        <f>IF((((Price25[Cost]*1.5)+50)/0.835)&lt;2500,
MROUND((((( Price25[Cost]*1.5)+50)/0.835)*1.05)*2,10),
MROUND((((( Price25[Cost]*1.5)+50)/0.835)*1.18)*2,10))</f>
        <v>1010</v>
      </c>
      <c r="Q387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470</v>
      </c>
    </row>
    <row r="388" spans="1:17" x14ac:dyDescent="0.25">
      <c r="A388" s="1">
        <v>2026</v>
      </c>
      <c r="B388" s="18">
        <v>114</v>
      </c>
      <c r="C388" s="19" t="s">
        <v>277</v>
      </c>
      <c r="D388" s="19" t="s">
        <v>494</v>
      </c>
      <c r="E388" s="19"/>
      <c r="F388" s="19" t="s">
        <v>830</v>
      </c>
      <c r="G388" s="20">
        <v>250</v>
      </c>
      <c r="H388" s="20">
        <v>55</v>
      </c>
      <c r="I388" s="20">
        <v>35</v>
      </c>
      <c r="J388" s="4">
        <f t="shared" si="83"/>
        <v>340</v>
      </c>
      <c r="K388" s="4">
        <f t="shared" si="78"/>
        <v>405</v>
      </c>
      <c r="L388" s="4">
        <f t="shared" si="79"/>
        <v>425</v>
      </c>
      <c r="M388" s="4">
        <f t="shared" si="80"/>
        <v>550</v>
      </c>
      <c r="N388" s="4">
        <f t="shared" si="81"/>
        <v>395</v>
      </c>
      <c r="O388" s="4">
        <f t="shared" si="82"/>
        <v>455</v>
      </c>
      <c r="P388" s="4">
        <f>IF((((Price25[Cost]*1.5)+50)/0.835)&lt;2500,
MROUND((((( Price25[Cost]*1.5)+50)/0.835)*1.05)*2,10),
MROUND((((( Price25[Cost]*1.5)+50)/0.835)*1.18)*2,10))</f>
        <v>1070</v>
      </c>
      <c r="Q388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620</v>
      </c>
    </row>
    <row r="389" spans="1:17" x14ac:dyDescent="0.25">
      <c r="A389" s="1">
        <v>2025</v>
      </c>
      <c r="B389" s="18">
        <v>120</v>
      </c>
      <c r="C389" s="19" t="s">
        <v>287</v>
      </c>
      <c r="D389" s="19" t="s">
        <v>167</v>
      </c>
      <c r="E389" s="19" t="s">
        <v>233</v>
      </c>
      <c r="F389" s="19" t="s">
        <v>323</v>
      </c>
      <c r="G389" s="20">
        <v>540</v>
      </c>
      <c r="I389" s="20">
        <v>25</v>
      </c>
      <c r="J389" s="4">
        <f t="shared" si="83"/>
        <v>565</v>
      </c>
      <c r="K389" s="4">
        <f t="shared" si="78"/>
        <v>675</v>
      </c>
      <c r="L389" s="4">
        <f t="shared" si="79"/>
        <v>710</v>
      </c>
      <c r="M389" s="4">
        <f t="shared" si="80"/>
        <v>900</v>
      </c>
      <c r="N389" s="4">
        <f t="shared" si="81"/>
        <v>655</v>
      </c>
      <c r="O389" s="4">
        <f t="shared" si="82"/>
        <v>760</v>
      </c>
      <c r="P389" s="4">
        <f>IF((((Price25[Cost]*1.5)+50)/0.835)&lt;2500,
MROUND((((( Price25[Cost]*1.5)+50)/0.835)*1.05)*2,10),
MROUND((((( Price25[Cost]*1.5)+50)/0.835)*1.18)*2,10))</f>
        <v>2160</v>
      </c>
      <c r="Q389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970</v>
      </c>
    </row>
    <row r="390" spans="1:17" x14ac:dyDescent="0.25">
      <c r="A390" s="1">
        <v>2026</v>
      </c>
      <c r="B390" s="18">
        <v>140</v>
      </c>
      <c r="C390" s="19" t="s">
        <v>277</v>
      </c>
      <c r="D390" s="19" t="s">
        <v>494</v>
      </c>
      <c r="E390" s="19" t="s">
        <v>779</v>
      </c>
      <c r="F390" s="19" t="s">
        <v>780</v>
      </c>
      <c r="G390" s="20">
        <v>360</v>
      </c>
      <c r="I390" s="20">
        <v>25</v>
      </c>
      <c r="J390" s="4">
        <f>IF(SUMIF(G390:I390,"&lt;&gt;")=0,"",SUM(G390:I390))</f>
        <v>385</v>
      </c>
      <c r="K390" s="4">
        <f t="shared" si="78"/>
        <v>465</v>
      </c>
      <c r="L390" s="4">
        <f t="shared" si="79"/>
        <v>485</v>
      </c>
      <c r="M390" s="4">
        <f t="shared" si="80"/>
        <v>625</v>
      </c>
      <c r="N390" s="4">
        <f t="shared" si="81"/>
        <v>450</v>
      </c>
      <c r="O390" s="4">
        <f t="shared" si="82"/>
        <v>520</v>
      </c>
      <c r="P390" s="4">
        <f>IF((((Price25[Cost]*1.5)+50)/0.835)&lt;2500,
MROUND((((( Price25[Cost]*1.5)+50)/0.835)*1.05)*2,10),
MROUND((((( Price25[Cost]*1.5)+50)/0.835)*1.18)*2,10))</f>
        <v>1480</v>
      </c>
      <c r="Q390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700</v>
      </c>
    </row>
    <row r="391" spans="1:17" x14ac:dyDescent="0.25">
      <c r="A391" s="1"/>
      <c r="B391" s="18">
        <v>181</v>
      </c>
      <c r="C391" s="19" t="s">
        <v>171</v>
      </c>
      <c r="D391" s="19" t="s">
        <v>167</v>
      </c>
      <c r="E391" s="19"/>
      <c r="F391" s="19" t="s">
        <v>256</v>
      </c>
      <c r="G391" s="20">
        <v>230</v>
      </c>
      <c r="I391" s="20">
        <v>30</v>
      </c>
      <c r="J391" s="4">
        <f t="shared" si="83"/>
        <v>260</v>
      </c>
      <c r="K391" s="4">
        <f t="shared" si="78"/>
        <v>310</v>
      </c>
      <c r="L391" s="4">
        <f t="shared" si="79"/>
        <v>325</v>
      </c>
      <c r="M391" s="4">
        <f t="shared" si="80"/>
        <v>425</v>
      </c>
      <c r="N391" s="4">
        <f t="shared" si="81"/>
        <v>300</v>
      </c>
      <c r="O391" s="4">
        <f t="shared" si="82"/>
        <v>350</v>
      </c>
      <c r="P391" s="4">
        <f>IF((((Price25[Cost]*1.5)+50)/0.835)&lt;2500,
MROUND((((( Price25[Cost]*1.5)+50)/0.835)*1.05)*2,10),
MROUND((((( Price25[Cost]*1.5)+50)/0.835)*1.18)*2,10))</f>
        <v>990</v>
      </c>
      <c r="Q391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500</v>
      </c>
    </row>
    <row r="392" spans="1:17" x14ac:dyDescent="0.25">
      <c r="A392" s="1">
        <v>2026</v>
      </c>
      <c r="B392" s="18">
        <v>192</v>
      </c>
      <c r="C392" s="19" t="s">
        <v>287</v>
      </c>
      <c r="D392" s="19" t="s">
        <v>167</v>
      </c>
      <c r="E392" s="19" t="s">
        <v>233</v>
      </c>
      <c r="F392" s="19" t="s">
        <v>662</v>
      </c>
      <c r="G392" s="20">
        <v>545</v>
      </c>
      <c r="H392" s="20">
        <v>-55</v>
      </c>
      <c r="I392" s="20">
        <v>25</v>
      </c>
      <c r="J392" s="4">
        <f t="shared" si="83"/>
        <v>515</v>
      </c>
      <c r="K392" s="4">
        <f t="shared" si="78"/>
        <v>615</v>
      </c>
      <c r="L392" s="4">
        <f t="shared" si="79"/>
        <v>645</v>
      </c>
      <c r="M392" s="4">
        <f t="shared" si="80"/>
        <v>825</v>
      </c>
      <c r="N392" s="4">
        <f t="shared" si="81"/>
        <v>595</v>
      </c>
      <c r="O392" s="4">
        <f t="shared" si="82"/>
        <v>695</v>
      </c>
      <c r="P392" s="4">
        <f>IF((((Price25[Cost]*1.5)+50)/0.835)&lt;2500,
MROUND((((( Price25[Cost]*1.5)+50)/0.835)*1.05)*2,10),
MROUND((((( Price25[Cost]*1.5)+50)/0.835)*1.18)*2,10))</f>
        <v>2180</v>
      </c>
      <c r="Q392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900</v>
      </c>
    </row>
    <row r="393" spans="1:17" x14ac:dyDescent="0.25">
      <c r="A393" s="1">
        <v>2026</v>
      </c>
      <c r="B393" s="18">
        <v>194</v>
      </c>
      <c r="C393" s="19" t="s">
        <v>287</v>
      </c>
      <c r="D393" s="70" t="s">
        <v>497</v>
      </c>
      <c r="E393" s="19" t="s">
        <v>233</v>
      </c>
      <c r="F393" s="19" t="s">
        <v>999</v>
      </c>
      <c r="G393" s="20">
        <v>1250</v>
      </c>
      <c r="I393" s="20">
        <v>25</v>
      </c>
      <c r="J393" s="4">
        <f>IF(SUMIF(G393:I393,"&lt;&gt;")=0,"",SUM(G393:I393))</f>
        <v>1275</v>
      </c>
      <c r="K393" s="4">
        <f>IF(ISNUMBER(L393),
   IF(CEILING(ROUND(L393*0.95,2),5)=420,
      425,
      CEILING(ROUND(L393*0.95,2),5)
   ),
   ""
)</f>
        <v>1520</v>
      </c>
      <c r="L393" s="4">
        <f>IF(AND(ISNUMBER(J393),ISNUMBER(G393)),
   IF(CEILING(ROUND(J393*1.25,2),5)=420,
      425,
      CEILING(ROUND(J393*1.25,2),5)
   ),
   ""
)</f>
        <v>1595</v>
      </c>
      <c r="M393" s="4">
        <f>IF(AND(ISNUMBER(J393),ISNUMBER(G393)),
   IF(
      CEILING(
         ROUND((J393*1.5) * IF(J393*1.5 &lt;= 2500, 1.05, 1.18), 2),
         IF(ROUND((J393*1.5) * IF(J393*1.5 &lt;= 2500, 1.05, 1.18), 2) &lt; 2500, 25, 50)
      )=420,
      425,
      CEILING(
         ROUND((J393*1.5) * IF(J393*1.5 &lt;= 2500, 1.05, 1.18), 2),
         IF(ROUND((J393*1.5) * IF(J393*1.5 &lt;= 2500, 1.05, 1.18), 2) &lt; 2500, 25, 50)
      )
   ),
   ""
)</f>
        <v>2025</v>
      </c>
      <c r="N393" s="4">
        <f>IF(ISNUMBER(G393),
   IF(CEILING(ROUND(L393*0.92,2),5)=420,
      425,
      CEILING(ROUND(L393*0.92,2),5)
   ),
   ""
)</f>
        <v>1470</v>
      </c>
      <c r="O393" s="4">
        <f>IF(ISNUMBER(L393),
   IF(CEILING(ROUND(L393*1.07,2),5)=420,
      425,
      CEILING(ROUND(L393*1.07,2),5)
   ),
   ""
)</f>
        <v>1710</v>
      </c>
      <c r="P393" s="4">
        <f>IF((((Price25[Cost]*1.5)+50)/0.835)&lt;2500,
MROUND((((( Price25[Cost]*1.5)+50)/0.835)*1.05)*2,10),
MROUND((((( Price25[Cost]*1.5)+50)/0.835)*1.18)*2,10))</f>
        <v>4840</v>
      </c>
      <c r="Q393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2100</v>
      </c>
    </row>
    <row r="394" spans="1:17" x14ac:dyDescent="0.25">
      <c r="A394" s="1">
        <v>2026</v>
      </c>
      <c r="B394" s="18">
        <v>747</v>
      </c>
      <c r="C394" s="19" t="s">
        <v>287</v>
      </c>
      <c r="D394" s="19" t="s">
        <v>167</v>
      </c>
      <c r="E394" s="19" t="s">
        <v>343</v>
      </c>
      <c r="F394" s="19" t="s">
        <v>344</v>
      </c>
      <c r="G394" s="20">
        <v>400</v>
      </c>
      <c r="I394" s="20">
        <v>15</v>
      </c>
      <c r="J394" s="4">
        <f t="shared" si="83"/>
        <v>415</v>
      </c>
      <c r="K394" s="4">
        <f t="shared" si="78"/>
        <v>495</v>
      </c>
      <c r="L394" s="4">
        <f t="shared" si="79"/>
        <v>520</v>
      </c>
      <c r="M394" s="4">
        <f t="shared" si="80"/>
        <v>675</v>
      </c>
      <c r="N394" s="4">
        <f t="shared" si="81"/>
        <v>480</v>
      </c>
      <c r="O394" s="4">
        <f t="shared" si="82"/>
        <v>560</v>
      </c>
      <c r="P394" s="4">
        <f>IF((((Price25[Cost]*1.5)+50)/0.835)&lt;2500,
MROUND((((( Price25[Cost]*1.5)+50)/0.835)*1.05)*2,10),
MROUND((((( Price25[Cost]*1.5)+50)/0.835)*1.18)*2,10))</f>
        <v>1630</v>
      </c>
      <c r="Q394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750</v>
      </c>
    </row>
    <row r="395" spans="1:17" x14ac:dyDescent="0.25">
      <c r="A395" s="1"/>
      <c r="B395" s="18">
        <v>1200</v>
      </c>
      <c r="C395" s="19" t="s">
        <v>287</v>
      </c>
      <c r="D395" s="19" t="s">
        <v>167</v>
      </c>
      <c r="E395" s="19"/>
      <c r="F395" s="19" t="s">
        <v>117</v>
      </c>
      <c r="G395" s="20">
        <v>630</v>
      </c>
      <c r="I395" s="20">
        <v>15</v>
      </c>
      <c r="J395" s="4">
        <f t="shared" si="83"/>
        <v>645</v>
      </c>
      <c r="K395" s="4">
        <f t="shared" si="78"/>
        <v>770</v>
      </c>
      <c r="L395" s="4">
        <f t="shared" si="79"/>
        <v>810</v>
      </c>
      <c r="M395" s="4">
        <f t="shared" si="80"/>
        <v>1025</v>
      </c>
      <c r="N395" s="4">
        <f t="shared" si="81"/>
        <v>750</v>
      </c>
      <c r="O395" s="4">
        <f t="shared" si="82"/>
        <v>870</v>
      </c>
      <c r="P395" s="4">
        <f>IF((((Price25[Cost]*1.5)+50)/0.835)&lt;2500,
MROUND((((( Price25[Cost]*1.5)+50)/0.835)*1.05)*2,10),
MROUND((((( Price25[Cost]*1.5)+50)/0.835)*1.18)*2,10))</f>
        <v>2500</v>
      </c>
      <c r="Q395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1100</v>
      </c>
    </row>
    <row r="396" spans="1:17" x14ac:dyDescent="0.25">
      <c r="A396" s="1">
        <v>2025</v>
      </c>
      <c r="B396" s="18">
        <v>1600</v>
      </c>
      <c r="C396" s="19" t="s">
        <v>287</v>
      </c>
      <c r="D396" s="19" t="s">
        <v>167</v>
      </c>
      <c r="E396" s="19"/>
      <c r="F396" s="19" t="s">
        <v>694</v>
      </c>
      <c r="G396" s="20">
        <v>285</v>
      </c>
      <c r="I396" s="20">
        <v>15</v>
      </c>
      <c r="J396" s="4">
        <f t="shared" si="83"/>
        <v>300</v>
      </c>
      <c r="K396" s="4">
        <f t="shared" si="78"/>
        <v>360</v>
      </c>
      <c r="L396" s="4">
        <f t="shared" si="79"/>
        <v>375</v>
      </c>
      <c r="M396" s="4">
        <f t="shared" si="80"/>
        <v>475</v>
      </c>
      <c r="N396" s="4">
        <f t="shared" si="81"/>
        <v>345</v>
      </c>
      <c r="O396" s="4">
        <f t="shared" si="82"/>
        <v>405</v>
      </c>
      <c r="P396" s="4">
        <f>IF((((Price25[Cost]*1.5)+50)/0.835)&lt;2500,
MROUND((((( Price25[Cost]*1.5)+50)/0.835)*1.05)*2,10),
MROUND((((( Price25[Cost]*1.5)+50)/0.835)*1.18)*2,10))</f>
        <v>1200</v>
      </c>
      <c r="Q396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550</v>
      </c>
    </row>
    <row r="397" spans="1:17" x14ac:dyDescent="0.25">
      <c r="A397" s="1">
        <v>2025</v>
      </c>
      <c r="B397" s="18">
        <v>1800</v>
      </c>
      <c r="C397" s="19" t="s">
        <v>287</v>
      </c>
      <c r="D397" s="19" t="s">
        <v>167</v>
      </c>
      <c r="E397" s="19"/>
      <c r="F397" s="19" t="s">
        <v>695</v>
      </c>
      <c r="G397" s="20">
        <v>435</v>
      </c>
      <c r="I397" s="20">
        <v>15</v>
      </c>
      <c r="J397" s="4">
        <f t="shared" si="83"/>
        <v>450</v>
      </c>
      <c r="K397" s="4">
        <f t="shared" si="78"/>
        <v>540</v>
      </c>
      <c r="L397" s="4">
        <f t="shared" si="79"/>
        <v>565</v>
      </c>
      <c r="M397" s="4">
        <f t="shared" si="80"/>
        <v>725</v>
      </c>
      <c r="N397" s="4">
        <f t="shared" si="81"/>
        <v>520</v>
      </c>
      <c r="O397" s="4">
        <f t="shared" si="82"/>
        <v>605</v>
      </c>
      <c r="P397" s="4">
        <f>IF((((Price25[Cost]*1.5)+50)/0.835)&lt;2500,
MROUND((((( Price25[Cost]*1.5)+50)/0.835)*1.05)*2,10),
MROUND((((( Price25[Cost]*1.5)+50)/0.835)*1.18)*2,10))</f>
        <v>1770</v>
      </c>
      <c r="Q397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800</v>
      </c>
    </row>
    <row r="398" spans="1:17" x14ac:dyDescent="0.25">
      <c r="A398" s="1">
        <v>2026</v>
      </c>
      <c r="B398" s="18">
        <v>2010</v>
      </c>
      <c r="C398" s="19" t="s">
        <v>287</v>
      </c>
      <c r="D398" s="19" t="s">
        <v>167</v>
      </c>
      <c r="E398" s="19" t="s">
        <v>655</v>
      </c>
      <c r="F398" s="19" t="s">
        <v>693</v>
      </c>
      <c r="G398" s="20">
        <v>554</v>
      </c>
      <c r="I398" s="20">
        <v>15</v>
      </c>
      <c r="J398" s="4">
        <f t="shared" si="83"/>
        <v>569</v>
      </c>
      <c r="K398" s="4">
        <f t="shared" si="78"/>
        <v>680</v>
      </c>
      <c r="L398" s="4">
        <f t="shared" si="79"/>
        <v>715</v>
      </c>
      <c r="M398" s="4">
        <f t="shared" si="80"/>
        <v>900</v>
      </c>
      <c r="N398" s="4">
        <f t="shared" si="81"/>
        <v>660</v>
      </c>
      <c r="O398" s="4">
        <f t="shared" si="82"/>
        <v>770</v>
      </c>
      <c r="P398" s="4">
        <f>IF((((Price25[Cost]*1.5)+50)/0.835)&lt;2500,
MROUND((((( Price25[Cost]*1.5)+50)/0.835)*1.05)*2,10),
MROUND((((( Price25[Cost]*1.5)+50)/0.835)*1.18)*2,10))</f>
        <v>2220</v>
      </c>
      <c r="Q398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970</v>
      </c>
    </row>
    <row r="399" spans="1:17" x14ac:dyDescent="0.25">
      <c r="A399" s="1">
        <v>2025</v>
      </c>
      <c r="B399" s="18">
        <v>2011</v>
      </c>
      <c r="C399" s="19" t="s">
        <v>287</v>
      </c>
      <c r="D399" s="19" t="s">
        <v>167</v>
      </c>
      <c r="E399" s="19" t="s">
        <v>246</v>
      </c>
      <c r="F399" s="19" t="s">
        <v>638</v>
      </c>
      <c r="G399" s="20">
        <v>550</v>
      </c>
      <c r="I399" s="20">
        <v>15</v>
      </c>
      <c r="J399" s="4">
        <f t="shared" si="83"/>
        <v>565</v>
      </c>
      <c r="K399" s="4">
        <f t="shared" si="78"/>
        <v>675</v>
      </c>
      <c r="L399" s="4">
        <f t="shared" si="79"/>
        <v>710</v>
      </c>
      <c r="M399" s="4">
        <f t="shared" si="80"/>
        <v>900</v>
      </c>
      <c r="N399" s="4">
        <f t="shared" si="81"/>
        <v>655</v>
      </c>
      <c r="O399" s="4">
        <f t="shared" si="82"/>
        <v>760</v>
      </c>
      <c r="P399" s="4">
        <f>IF((((Price25[Cost]*1.5)+50)/0.835)&lt;2500,
MROUND((((( Price25[Cost]*1.5)+50)/0.835)*1.05)*2,10),
MROUND((((( Price25[Cost]*1.5)+50)/0.835)*1.18)*2,10))</f>
        <v>2200</v>
      </c>
      <c r="Q399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970</v>
      </c>
    </row>
    <row r="400" spans="1:17" x14ac:dyDescent="0.25">
      <c r="A400" s="1"/>
      <c r="B400" s="18">
        <v>452</v>
      </c>
      <c r="C400" s="19" t="s">
        <v>171</v>
      </c>
      <c r="D400" s="19" t="s">
        <v>495</v>
      </c>
      <c r="E400" s="19"/>
      <c r="F400" s="19" t="s">
        <v>296</v>
      </c>
      <c r="G400" s="20">
        <v>162</v>
      </c>
      <c r="I400" s="20">
        <v>10</v>
      </c>
      <c r="J400" s="4">
        <f t="shared" si="83"/>
        <v>172</v>
      </c>
      <c r="K400" s="4">
        <f t="shared" si="78"/>
        <v>205</v>
      </c>
      <c r="L400" s="4">
        <f t="shared" si="79"/>
        <v>215</v>
      </c>
      <c r="M400" s="4">
        <f t="shared" si="80"/>
        <v>275</v>
      </c>
      <c r="N400" s="4">
        <f t="shared" si="81"/>
        <v>200</v>
      </c>
      <c r="O400" s="4">
        <f t="shared" si="82"/>
        <v>235</v>
      </c>
      <c r="P400" s="4">
        <f>IF((((Price25[Cost]*1.5)+50)/0.835)&lt;2500,
MROUND((((( Price25[Cost]*1.5)+50)/0.835)*1.05)*2,10),
MROUND((((( Price25[Cost]*1.5)+50)/0.835)*1.18)*2,10))</f>
        <v>740</v>
      </c>
      <c r="Q400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350</v>
      </c>
    </row>
    <row r="401" spans="1:17" x14ac:dyDescent="0.25">
      <c r="A401" s="1"/>
      <c r="B401" s="18">
        <v>455</v>
      </c>
      <c r="C401" s="19" t="s">
        <v>171</v>
      </c>
      <c r="D401" s="19" t="s">
        <v>495</v>
      </c>
      <c r="E401" s="19" t="s">
        <v>225</v>
      </c>
      <c r="F401" s="19" t="s">
        <v>215</v>
      </c>
      <c r="G401" s="20">
        <v>170</v>
      </c>
      <c r="I401" s="20">
        <v>10</v>
      </c>
      <c r="J401" s="4">
        <f t="shared" si="83"/>
        <v>180</v>
      </c>
      <c r="K401" s="4">
        <f t="shared" si="78"/>
        <v>215</v>
      </c>
      <c r="L401" s="4">
        <f t="shared" si="79"/>
        <v>225</v>
      </c>
      <c r="M401" s="4">
        <f t="shared" si="80"/>
        <v>300</v>
      </c>
      <c r="N401" s="4">
        <f t="shared" si="81"/>
        <v>210</v>
      </c>
      <c r="O401" s="4">
        <f t="shared" si="82"/>
        <v>245</v>
      </c>
      <c r="P401" s="4">
        <f>IF((((Price25[Cost]*1.5)+50)/0.835)&lt;2500,
MROUND((((( Price25[Cost]*1.5)+50)/0.835)*1.05)*2,10),
MROUND((((( Price25[Cost]*1.5)+50)/0.835)*1.18)*2,10))</f>
        <v>770</v>
      </c>
      <c r="Q401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370</v>
      </c>
    </row>
    <row r="402" spans="1:17" x14ac:dyDescent="0.25">
      <c r="A402" s="1"/>
      <c r="B402" s="18">
        <v>466</v>
      </c>
      <c r="C402" s="19" t="s">
        <v>171</v>
      </c>
      <c r="D402" s="19" t="s">
        <v>495</v>
      </c>
      <c r="E402" s="19" t="s">
        <v>663</v>
      </c>
      <c r="F402" s="19" t="s">
        <v>664</v>
      </c>
      <c r="G402" s="20">
        <v>225</v>
      </c>
      <c r="I402" s="20">
        <v>10</v>
      </c>
      <c r="J402" s="4">
        <f t="shared" si="83"/>
        <v>235</v>
      </c>
      <c r="K402" s="4">
        <f t="shared" si="78"/>
        <v>285</v>
      </c>
      <c r="L402" s="4">
        <f t="shared" si="79"/>
        <v>295</v>
      </c>
      <c r="M402" s="4">
        <f t="shared" si="80"/>
        <v>375</v>
      </c>
      <c r="N402" s="4">
        <f t="shared" si="81"/>
        <v>275</v>
      </c>
      <c r="O402" s="4">
        <f t="shared" si="82"/>
        <v>320</v>
      </c>
      <c r="P402" s="4">
        <f>IF((((Price25[Cost]*1.5)+50)/0.835)&lt;2500,
MROUND((((( Price25[Cost]*1.5)+50)/0.835)*1.05)*2,10),
MROUND((((( Price25[Cost]*1.5)+50)/0.835)*1.18)*2,10))</f>
        <v>970</v>
      </c>
      <c r="Q402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450</v>
      </c>
    </row>
    <row r="403" spans="1:17" x14ac:dyDescent="0.25">
      <c r="A403" s="1"/>
      <c r="B403" s="18">
        <v>4521</v>
      </c>
      <c r="C403" s="19" t="s">
        <v>171</v>
      </c>
      <c r="D403" s="19" t="s">
        <v>495</v>
      </c>
      <c r="E403" s="19"/>
      <c r="F403" s="19" t="s">
        <v>312</v>
      </c>
      <c r="G403" s="20">
        <v>205</v>
      </c>
      <c r="I403" s="20">
        <v>10</v>
      </c>
      <c r="J403" s="4">
        <f t="shared" si="83"/>
        <v>215</v>
      </c>
      <c r="K403" s="4">
        <f t="shared" si="78"/>
        <v>260</v>
      </c>
      <c r="L403" s="4">
        <f t="shared" si="79"/>
        <v>270</v>
      </c>
      <c r="M403" s="4">
        <f t="shared" si="80"/>
        <v>350</v>
      </c>
      <c r="N403" s="4">
        <f t="shared" si="81"/>
        <v>250</v>
      </c>
      <c r="O403" s="4">
        <f t="shared" si="82"/>
        <v>290</v>
      </c>
      <c r="P403" s="4">
        <f>IF((((Price25[Cost]*1.5)+50)/0.835)&lt;2500,
MROUND((((( Price25[Cost]*1.5)+50)/0.835)*1.05)*2,10),
MROUND((((( Price25[Cost]*1.5)+50)/0.835)*1.18)*2,10))</f>
        <v>900</v>
      </c>
      <c r="Q403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420</v>
      </c>
    </row>
    <row r="404" spans="1:17" x14ac:dyDescent="0.25">
      <c r="A404" s="1"/>
      <c r="B404" s="18">
        <v>4561</v>
      </c>
      <c r="C404" s="19" t="s">
        <v>171</v>
      </c>
      <c r="D404" s="19" t="s">
        <v>495</v>
      </c>
      <c r="E404" s="19" t="s">
        <v>225</v>
      </c>
      <c r="F404" s="19" t="s">
        <v>216</v>
      </c>
      <c r="G404" s="20">
        <v>405</v>
      </c>
      <c r="I404" s="20">
        <v>15</v>
      </c>
      <c r="J404" s="4">
        <f t="shared" si="83"/>
        <v>420</v>
      </c>
      <c r="K404" s="4">
        <f t="shared" si="78"/>
        <v>500</v>
      </c>
      <c r="L404" s="4">
        <f t="shared" si="79"/>
        <v>525</v>
      </c>
      <c r="M404" s="4">
        <f t="shared" si="80"/>
        <v>675</v>
      </c>
      <c r="N404" s="4">
        <f t="shared" si="81"/>
        <v>485</v>
      </c>
      <c r="O404" s="4">
        <f t="shared" si="82"/>
        <v>565</v>
      </c>
      <c r="P404" s="4">
        <f>IF((((Price25[Cost]*1.5)+50)/0.835)&lt;2500,
MROUND((((( Price25[Cost]*1.5)+50)/0.835)*1.05)*2,10),
MROUND((((( Price25[Cost]*1.5)+50)/0.835)*1.18)*2,10))</f>
        <v>1650</v>
      </c>
      <c r="Q404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750</v>
      </c>
    </row>
    <row r="405" spans="1:17" x14ac:dyDescent="0.25">
      <c r="A405" s="1"/>
      <c r="B405" s="18">
        <v>4562</v>
      </c>
      <c r="C405" s="19" t="s">
        <v>171</v>
      </c>
      <c r="D405" s="19" t="s">
        <v>495</v>
      </c>
      <c r="E405" s="19" t="s">
        <v>225</v>
      </c>
      <c r="F405" s="19" t="s">
        <v>209</v>
      </c>
      <c r="G405" s="20">
        <v>360</v>
      </c>
      <c r="I405" s="20">
        <v>15</v>
      </c>
      <c r="J405" s="4">
        <f t="shared" si="83"/>
        <v>375</v>
      </c>
      <c r="K405" s="4">
        <f t="shared" si="78"/>
        <v>450</v>
      </c>
      <c r="L405" s="4">
        <f t="shared" si="79"/>
        <v>470</v>
      </c>
      <c r="M405" s="4">
        <f t="shared" si="80"/>
        <v>600</v>
      </c>
      <c r="N405" s="4">
        <f t="shared" si="81"/>
        <v>435</v>
      </c>
      <c r="O405" s="4">
        <f t="shared" si="82"/>
        <v>505</v>
      </c>
      <c r="P405" s="4">
        <f>IF((((Price25[Cost]*1.5)+50)/0.835)&lt;2500,
MROUND((((( Price25[Cost]*1.5)+50)/0.835)*1.05)*2,10),
MROUND((((( Price25[Cost]*1.5)+50)/0.835)*1.18)*2,10))</f>
        <v>1480</v>
      </c>
      <c r="Q405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670</v>
      </c>
    </row>
    <row r="406" spans="1:17" x14ac:dyDescent="0.25">
      <c r="A406" s="1"/>
      <c r="B406" s="18">
        <v>4563</v>
      </c>
      <c r="C406" s="19" t="s">
        <v>171</v>
      </c>
      <c r="D406" s="19" t="s">
        <v>495</v>
      </c>
      <c r="E406" s="19" t="s">
        <v>225</v>
      </c>
      <c r="F406" s="19" t="s">
        <v>211</v>
      </c>
      <c r="G406" s="20">
        <v>495</v>
      </c>
      <c r="I406" s="20">
        <v>15</v>
      </c>
      <c r="J406" s="4">
        <f t="shared" si="83"/>
        <v>510</v>
      </c>
      <c r="K406" s="4">
        <f t="shared" si="78"/>
        <v>610</v>
      </c>
      <c r="L406" s="4">
        <f t="shared" si="79"/>
        <v>640</v>
      </c>
      <c r="M406" s="4">
        <f t="shared" si="80"/>
        <v>825</v>
      </c>
      <c r="N406" s="4">
        <f t="shared" si="81"/>
        <v>590</v>
      </c>
      <c r="O406" s="4">
        <f t="shared" si="82"/>
        <v>685</v>
      </c>
      <c r="P406" s="4">
        <f>IF((((Price25[Cost]*1.5)+50)/0.835)&lt;2500,
MROUND((((( Price25[Cost]*1.5)+50)/0.835)*1.05)*2,10),
MROUND((((( Price25[Cost]*1.5)+50)/0.835)*1.18)*2,10))</f>
        <v>1990</v>
      </c>
      <c r="Q406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900</v>
      </c>
    </row>
    <row r="407" spans="1:17" x14ac:dyDescent="0.25">
      <c r="A407" s="1"/>
      <c r="B407" s="18">
        <v>4564</v>
      </c>
      <c r="C407" s="19" t="s">
        <v>171</v>
      </c>
      <c r="D407" s="19" t="s">
        <v>495</v>
      </c>
      <c r="E407" s="19" t="s">
        <v>225</v>
      </c>
      <c r="F407" s="19" t="s">
        <v>212</v>
      </c>
      <c r="G407" s="20">
        <v>370</v>
      </c>
      <c r="I407" s="20">
        <v>15</v>
      </c>
      <c r="J407" s="4">
        <f t="shared" si="83"/>
        <v>385</v>
      </c>
      <c r="K407" s="4">
        <f t="shared" si="78"/>
        <v>465</v>
      </c>
      <c r="L407" s="4">
        <f t="shared" si="79"/>
        <v>485</v>
      </c>
      <c r="M407" s="4">
        <f t="shared" si="80"/>
        <v>625</v>
      </c>
      <c r="N407" s="4">
        <f t="shared" si="81"/>
        <v>450</v>
      </c>
      <c r="O407" s="4">
        <f t="shared" si="82"/>
        <v>520</v>
      </c>
      <c r="P407" s="4">
        <f>IF((((Price25[Cost]*1.5)+50)/0.835)&lt;2500,
MROUND((((( Price25[Cost]*1.5)+50)/0.835)*1.05)*2,10),
MROUND((((( Price25[Cost]*1.5)+50)/0.835)*1.18)*2,10))</f>
        <v>1520</v>
      </c>
      <c r="Q407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700</v>
      </c>
    </row>
    <row r="408" spans="1:17" x14ac:dyDescent="0.25">
      <c r="A408" s="1"/>
      <c r="B408" s="18">
        <v>4565</v>
      </c>
      <c r="C408" s="19" t="s">
        <v>171</v>
      </c>
      <c r="D408" s="19" t="s">
        <v>495</v>
      </c>
      <c r="E408" s="19" t="s">
        <v>225</v>
      </c>
      <c r="F408" s="19" t="s">
        <v>213</v>
      </c>
      <c r="G408" s="20">
        <v>465</v>
      </c>
      <c r="I408" s="20">
        <v>15</v>
      </c>
      <c r="J408" s="4">
        <f t="shared" si="83"/>
        <v>480</v>
      </c>
      <c r="K408" s="4">
        <f t="shared" si="78"/>
        <v>570</v>
      </c>
      <c r="L408" s="4">
        <f t="shared" si="79"/>
        <v>600</v>
      </c>
      <c r="M408" s="4">
        <f t="shared" si="80"/>
        <v>775</v>
      </c>
      <c r="N408" s="4">
        <f t="shared" si="81"/>
        <v>555</v>
      </c>
      <c r="O408" s="4">
        <f t="shared" si="82"/>
        <v>645</v>
      </c>
      <c r="P408" s="4">
        <f>IF((((Price25[Cost]*1.5)+50)/0.835)&lt;2500,
MROUND((((( Price25[Cost]*1.5)+50)/0.835)*1.05)*2,10),
MROUND((((( Price25[Cost]*1.5)+50)/0.835)*1.18)*2,10))</f>
        <v>1880</v>
      </c>
      <c r="Q408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850</v>
      </c>
    </row>
    <row r="409" spans="1:17" x14ac:dyDescent="0.25">
      <c r="A409" s="1"/>
      <c r="B409" s="18">
        <v>4566</v>
      </c>
      <c r="C409" s="19" t="s">
        <v>171</v>
      </c>
      <c r="D409" s="19" t="s">
        <v>495</v>
      </c>
      <c r="E409" s="19" t="s">
        <v>225</v>
      </c>
      <c r="F409" s="19" t="s">
        <v>214</v>
      </c>
      <c r="G409" s="20">
        <v>490</v>
      </c>
      <c r="I409" s="20">
        <v>15</v>
      </c>
      <c r="J409" s="4">
        <f t="shared" si="83"/>
        <v>505</v>
      </c>
      <c r="K409" s="4">
        <f t="shared" si="78"/>
        <v>605</v>
      </c>
      <c r="L409" s="4">
        <f t="shared" si="79"/>
        <v>635</v>
      </c>
      <c r="M409" s="4">
        <f t="shared" si="80"/>
        <v>800</v>
      </c>
      <c r="N409" s="4">
        <f t="shared" si="81"/>
        <v>585</v>
      </c>
      <c r="O409" s="4">
        <f t="shared" si="82"/>
        <v>680</v>
      </c>
      <c r="P409" s="4">
        <f>IF((((Price25[Cost]*1.5)+50)/0.835)&lt;2500,
MROUND((((( Price25[Cost]*1.5)+50)/0.835)*1.05)*2,10),
MROUND((((( Price25[Cost]*1.5)+50)/0.835)*1.18)*2,10))</f>
        <v>1970</v>
      </c>
      <c r="Q409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870</v>
      </c>
    </row>
    <row r="410" spans="1:17" x14ac:dyDescent="0.25">
      <c r="A410" s="1"/>
      <c r="B410" s="18">
        <v>4567</v>
      </c>
      <c r="C410" s="19" t="s">
        <v>171</v>
      </c>
      <c r="D410" s="19" t="s">
        <v>495</v>
      </c>
      <c r="E410" s="19" t="s">
        <v>225</v>
      </c>
      <c r="F410" s="19" t="s">
        <v>217</v>
      </c>
      <c r="G410" s="20">
        <v>415</v>
      </c>
      <c r="I410" s="20">
        <v>15</v>
      </c>
      <c r="J410" s="4">
        <f t="shared" si="83"/>
        <v>430</v>
      </c>
      <c r="K410" s="4">
        <f t="shared" si="78"/>
        <v>515</v>
      </c>
      <c r="L410" s="4">
        <f t="shared" si="79"/>
        <v>540</v>
      </c>
      <c r="M410" s="4">
        <f t="shared" si="80"/>
        <v>700</v>
      </c>
      <c r="N410" s="4">
        <f t="shared" si="81"/>
        <v>500</v>
      </c>
      <c r="O410" s="4">
        <f t="shared" si="82"/>
        <v>580</v>
      </c>
      <c r="P410" s="4">
        <f>IF((((Price25[Cost]*1.5)+50)/0.835)&lt;2500,
MROUND((((( Price25[Cost]*1.5)+50)/0.835)*1.05)*2,10),
MROUND((((( Price25[Cost]*1.5)+50)/0.835)*1.18)*2,10))</f>
        <v>1690</v>
      </c>
      <c r="Q410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770</v>
      </c>
    </row>
    <row r="411" spans="1:17" x14ac:dyDescent="0.25">
      <c r="A411" s="1"/>
      <c r="B411" s="18">
        <v>4568</v>
      </c>
      <c r="C411" s="19" t="s">
        <v>171</v>
      </c>
      <c r="D411" s="19" t="s">
        <v>495</v>
      </c>
      <c r="E411" s="19" t="s">
        <v>225</v>
      </c>
      <c r="F411" s="19" t="s">
        <v>218</v>
      </c>
      <c r="G411" s="20">
        <v>515</v>
      </c>
      <c r="I411" s="20">
        <v>15</v>
      </c>
      <c r="J411" s="4">
        <f t="shared" si="83"/>
        <v>530</v>
      </c>
      <c r="K411" s="4">
        <f t="shared" si="78"/>
        <v>635</v>
      </c>
      <c r="L411" s="4">
        <f t="shared" si="79"/>
        <v>665</v>
      </c>
      <c r="M411" s="4">
        <f t="shared" si="80"/>
        <v>850</v>
      </c>
      <c r="N411" s="4">
        <f t="shared" si="81"/>
        <v>615</v>
      </c>
      <c r="O411" s="4">
        <f t="shared" si="82"/>
        <v>715</v>
      </c>
      <c r="P411" s="4">
        <f>IF((((Price25[Cost]*1.5)+50)/0.835)&lt;2500,
MROUND((((( Price25[Cost]*1.5)+50)/0.835)*1.05)*2,10),
MROUND((((( Price25[Cost]*1.5)+50)/0.835)*1.18)*2,10))</f>
        <v>2070</v>
      </c>
      <c r="Q411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920</v>
      </c>
    </row>
    <row r="412" spans="1:17" x14ac:dyDescent="0.25">
      <c r="A412" s="1"/>
      <c r="B412" s="18">
        <v>4569</v>
      </c>
      <c r="C412" s="19" t="s">
        <v>171</v>
      </c>
      <c r="D412" s="19" t="s">
        <v>495</v>
      </c>
      <c r="E412" s="19" t="s">
        <v>225</v>
      </c>
      <c r="F412" s="19" t="s">
        <v>219</v>
      </c>
      <c r="G412" s="20">
        <v>640</v>
      </c>
      <c r="I412" s="20">
        <v>15</v>
      </c>
      <c r="J412" s="4">
        <f t="shared" si="83"/>
        <v>655</v>
      </c>
      <c r="K412" s="4">
        <f t="shared" si="78"/>
        <v>780</v>
      </c>
      <c r="L412" s="4">
        <f t="shared" si="79"/>
        <v>820</v>
      </c>
      <c r="M412" s="4">
        <f t="shared" si="80"/>
        <v>1050</v>
      </c>
      <c r="N412" s="4">
        <f t="shared" si="81"/>
        <v>755</v>
      </c>
      <c r="O412" s="4">
        <f t="shared" si="82"/>
        <v>880</v>
      </c>
      <c r="P412" s="4">
        <f>IF((((Price25[Cost]*1.5)+50)/0.835)&lt;2500,
MROUND((((( Price25[Cost]*1.5)+50)/0.835)*1.05)*2,10),
MROUND((((( Price25[Cost]*1.5)+50)/0.835)*1.18)*2,10))</f>
        <v>2540</v>
      </c>
      <c r="Q412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1120</v>
      </c>
    </row>
    <row r="413" spans="1:17" x14ac:dyDescent="0.25">
      <c r="A413" s="1"/>
      <c r="B413" s="18">
        <v>4570</v>
      </c>
      <c r="C413" s="19" t="s">
        <v>171</v>
      </c>
      <c r="D413" s="19" t="s">
        <v>495</v>
      </c>
      <c r="E413" s="19" t="s">
        <v>225</v>
      </c>
      <c r="F413" s="19" t="s">
        <v>220</v>
      </c>
      <c r="G413" s="20">
        <v>535</v>
      </c>
      <c r="I413" s="20">
        <v>15</v>
      </c>
      <c r="J413" s="4">
        <f t="shared" si="83"/>
        <v>550</v>
      </c>
      <c r="K413" s="4">
        <f t="shared" si="78"/>
        <v>660</v>
      </c>
      <c r="L413" s="4">
        <f t="shared" si="79"/>
        <v>690</v>
      </c>
      <c r="M413" s="4">
        <f t="shared" si="80"/>
        <v>875</v>
      </c>
      <c r="N413" s="4">
        <f t="shared" si="81"/>
        <v>635</v>
      </c>
      <c r="O413" s="4">
        <f t="shared" si="82"/>
        <v>740</v>
      </c>
      <c r="P413" s="4">
        <f>IF((((Price25[Cost]*1.5)+50)/0.835)&lt;2500,
MROUND((((( Price25[Cost]*1.5)+50)/0.835)*1.05)*2,10),
MROUND((((( Price25[Cost]*1.5)+50)/0.835)*1.18)*2,10))</f>
        <v>2140</v>
      </c>
      <c r="Q413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950</v>
      </c>
    </row>
    <row r="414" spans="1:17" x14ac:dyDescent="0.25">
      <c r="A414" s="1"/>
      <c r="B414" s="18">
        <v>4571</v>
      </c>
      <c r="C414" s="19" t="s">
        <v>171</v>
      </c>
      <c r="D414" s="19" t="s">
        <v>495</v>
      </c>
      <c r="E414" s="19" t="s">
        <v>225</v>
      </c>
      <c r="F414" s="19" t="s">
        <v>221</v>
      </c>
      <c r="G414" s="20">
        <v>585</v>
      </c>
      <c r="I414" s="20">
        <v>15</v>
      </c>
      <c r="J414" s="4">
        <f t="shared" si="83"/>
        <v>600</v>
      </c>
      <c r="K414" s="4">
        <f t="shared" si="78"/>
        <v>715</v>
      </c>
      <c r="L414" s="4">
        <f t="shared" si="79"/>
        <v>750</v>
      </c>
      <c r="M414" s="4">
        <f t="shared" si="80"/>
        <v>950</v>
      </c>
      <c r="N414" s="4">
        <f t="shared" si="81"/>
        <v>690</v>
      </c>
      <c r="O414" s="4">
        <f t="shared" si="82"/>
        <v>805</v>
      </c>
      <c r="P414" s="4">
        <f>IF((((Price25[Cost]*1.5)+50)/0.835)&lt;2500,
MROUND((((( Price25[Cost]*1.5)+50)/0.835)*1.05)*2,10),
MROUND((((( Price25[Cost]*1.5)+50)/0.835)*1.18)*2,10))</f>
        <v>2330</v>
      </c>
      <c r="Q414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1020</v>
      </c>
    </row>
    <row r="415" spans="1:17" x14ac:dyDescent="0.25">
      <c r="A415" s="1"/>
      <c r="B415" s="18">
        <v>4573</v>
      </c>
      <c r="C415" s="19" t="s">
        <v>171</v>
      </c>
      <c r="D415" s="19" t="s">
        <v>495</v>
      </c>
      <c r="E415" s="19" t="s">
        <v>225</v>
      </c>
      <c r="F415" s="19" t="s">
        <v>222</v>
      </c>
      <c r="G415" s="20">
        <v>535</v>
      </c>
      <c r="I415" s="20">
        <v>15</v>
      </c>
      <c r="J415" s="4">
        <f t="shared" si="83"/>
        <v>550</v>
      </c>
      <c r="K415" s="4">
        <f t="shared" si="78"/>
        <v>660</v>
      </c>
      <c r="L415" s="4">
        <f t="shared" si="79"/>
        <v>690</v>
      </c>
      <c r="M415" s="4">
        <f t="shared" si="80"/>
        <v>875</v>
      </c>
      <c r="N415" s="4">
        <f t="shared" si="81"/>
        <v>635</v>
      </c>
      <c r="O415" s="4">
        <f t="shared" si="82"/>
        <v>740</v>
      </c>
      <c r="P415" s="4">
        <f>IF((((Price25[Cost]*1.5)+50)/0.835)&lt;2500,
MROUND((((( Price25[Cost]*1.5)+50)/0.835)*1.05)*2,10),
MROUND((((( Price25[Cost]*1.5)+50)/0.835)*1.18)*2,10))</f>
        <v>2140</v>
      </c>
      <c r="Q415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950</v>
      </c>
    </row>
    <row r="416" spans="1:17" x14ac:dyDescent="0.25">
      <c r="A416" s="1"/>
      <c r="B416" s="18">
        <v>4574</v>
      </c>
      <c r="C416" s="19" t="s">
        <v>171</v>
      </c>
      <c r="D416" s="19" t="s">
        <v>495</v>
      </c>
      <c r="E416" s="19" t="s">
        <v>225</v>
      </c>
      <c r="F416" s="19" t="s">
        <v>210</v>
      </c>
      <c r="G416" s="20">
        <v>390</v>
      </c>
      <c r="I416" s="20">
        <v>15</v>
      </c>
      <c r="J416" s="4">
        <f t="shared" si="83"/>
        <v>405</v>
      </c>
      <c r="K416" s="4">
        <f t="shared" si="78"/>
        <v>485</v>
      </c>
      <c r="L416" s="4">
        <f t="shared" si="79"/>
        <v>510</v>
      </c>
      <c r="M416" s="4">
        <f t="shared" si="80"/>
        <v>650</v>
      </c>
      <c r="N416" s="4">
        <f t="shared" si="81"/>
        <v>470</v>
      </c>
      <c r="O416" s="4">
        <f t="shared" si="82"/>
        <v>550</v>
      </c>
      <c r="P416" s="4">
        <f>IF((((Price25[Cost]*1.5)+50)/0.835)&lt;2500,
MROUND((((( Price25[Cost]*1.5)+50)/0.835)*1.05)*2,10),
MROUND((((( Price25[Cost]*1.5)+50)/0.835)*1.18)*2,10))</f>
        <v>1600</v>
      </c>
      <c r="Q416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720</v>
      </c>
    </row>
    <row r="417" spans="1:17" x14ac:dyDescent="0.25">
      <c r="A417" s="1"/>
      <c r="B417" s="18">
        <v>4575</v>
      </c>
      <c r="C417" s="19" t="s">
        <v>171</v>
      </c>
      <c r="D417" s="19" t="s">
        <v>495</v>
      </c>
      <c r="E417" s="19" t="s">
        <v>225</v>
      </c>
      <c r="F417" s="19" t="s">
        <v>223</v>
      </c>
      <c r="G417" s="20">
        <v>590</v>
      </c>
      <c r="I417" s="20">
        <v>15</v>
      </c>
      <c r="J417" s="4">
        <f t="shared" si="83"/>
        <v>605</v>
      </c>
      <c r="K417" s="4">
        <f t="shared" si="78"/>
        <v>725</v>
      </c>
      <c r="L417" s="4">
        <f t="shared" si="79"/>
        <v>760</v>
      </c>
      <c r="M417" s="4">
        <f t="shared" si="80"/>
        <v>975</v>
      </c>
      <c r="N417" s="4">
        <f t="shared" si="81"/>
        <v>700</v>
      </c>
      <c r="O417" s="4">
        <f t="shared" si="82"/>
        <v>815</v>
      </c>
      <c r="P417" s="4">
        <f>IF((((Price25[Cost]*1.5)+50)/0.835)&lt;2500,
MROUND((((( Price25[Cost]*1.5)+50)/0.835)*1.05)*2,10),
MROUND((((( Price25[Cost]*1.5)+50)/0.835)*1.18)*2,10))</f>
        <v>2350</v>
      </c>
      <c r="Q417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1050</v>
      </c>
    </row>
    <row r="418" spans="1:17" x14ac:dyDescent="0.25">
      <c r="A418" s="1"/>
      <c r="B418" s="18">
        <v>4576</v>
      </c>
      <c r="C418" s="19" t="s">
        <v>171</v>
      </c>
      <c r="D418" s="19" t="s">
        <v>495</v>
      </c>
      <c r="E418" s="19" t="s">
        <v>225</v>
      </c>
      <c r="F418" s="19" t="s">
        <v>224</v>
      </c>
      <c r="G418" s="20">
        <v>640</v>
      </c>
      <c r="I418" s="20">
        <v>15</v>
      </c>
      <c r="J418" s="4">
        <f t="shared" si="83"/>
        <v>655</v>
      </c>
      <c r="K418" s="4">
        <f t="shared" si="78"/>
        <v>780</v>
      </c>
      <c r="L418" s="4">
        <f t="shared" si="79"/>
        <v>820</v>
      </c>
      <c r="M418" s="4">
        <f t="shared" si="80"/>
        <v>1050</v>
      </c>
      <c r="N418" s="4">
        <f t="shared" si="81"/>
        <v>755</v>
      </c>
      <c r="O418" s="4">
        <f t="shared" si="82"/>
        <v>880</v>
      </c>
      <c r="P418" s="4">
        <f>IF((((Price25[Cost]*1.5)+50)/0.835)&lt;2500,
MROUND((((( Price25[Cost]*1.5)+50)/0.835)*1.05)*2,10),
MROUND((((( Price25[Cost]*1.5)+50)/0.835)*1.18)*2,10))</f>
        <v>2540</v>
      </c>
      <c r="Q418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1120</v>
      </c>
    </row>
    <row r="419" spans="1:17" x14ac:dyDescent="0.25">
      <c r="A419" s="1"/>
      <c r="B419" s="18">
        <v>5001</v>
      </c>
      <c r="C419" s="19" t="s">
        <v>171</v>
      </c>
      <c r="D419" s="19" t="s">
        <v>494</v>
      </c>
      <c r="E419" s="19"/>
      <c r="F419" s="19" t="s">
        <v>111</v>
      </c>
      <c r="G419" s="20">
        <v>450</v>
      </c>
      <c r="I419" s="20">
        <v>12</v>
      </c>
      <c r="J419" s="4">
        <f t="shared" si="83"/>
        <v>462</v>
      </c>
      <c r="K419" s="4">
        <f t="shared" si="78"/>
        <v>555</v>
      </c>
      <c r="L419" s="4">
        <f t="shared" si="79"/>
        <v>580</v>
      </c>
      <c r="M419" s="4">
        <f t="shared" si="80"/>
        <v>750</v>
      </c>
      <c r="N419" s="4">
        <f t="shared" si="81"/>
        <v>535</v>
      </c>
      <c r="O419" s="4">
        <f t="shared" si="82"/>
        <v>625</v>
      </c>
      <c r="P419" s="4">
        <f>IF((((Price25[Cost]*1.5)+50)/0.835)&lt;2500,
MROUND((((( Price25[Cost]*1.5)+50)/0.835)*1.05)*2,10),
MROUND((((( Price25[Cost]*1.5)+50)/0.835)*1.18)*2,10))</f>
        <v>1820</v>
      </c>
      <c r="Q419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820</v>
      </c>
    </row>
    <row r="420" spans="1:17" x14ac:dyDescent="0.25">
      <c r="A420" s="1"/>
      <c r="B420" s="18">
        <v>5002</v>
      </c>
      <c r="C420" s="19" t="s">
        <v>171</v>
      </c>
      <c r="D420" s="19" t="s">
        <v>494</v>
      </c>
      <c r="E420" s="19"/>
      <c r="F420" s="19" t="s">
        <v>110</v>
      </c>
      <c r="G420" s="20">
        <v>190</v>
      </c>
      <c r="I420" s="20">
        <v>12</v>
      </c>
      <c r="J420" s="4">
        <f t="shared" si="83"/>
        <v>202</v>
      </c>
      <c r="K420" s="4">
        <f t="shared" si="78"/>
        <v>245</v>
      </c>
      <c r="L420" s="4">
        <f t="shared" si="79"/>
        <v>255</v>
      </c>
      <c r="M420" s="4">
        <f t="shared" si="80"/>
        <v>325</v>
      </c>
      <c r="N420" s="4">
        <f t="shared" si="81"/>
        <v>235</v>
      </c>
      <c r="O420" s="4">
        <f t="shared" si="82"/>
        <v>275</v>
      </c>
      <c r="P420" s="4">
        <f>IF((((Price25[Cost]*1.5)+50)/0.835)&lt;2500,
MROUND((((( Price25[Cost]*1.5)+50)/0.835)*1.05)*2,10),
MROUND((((( Price25[Cost]*1.5)+50)/0.835)*1.18)*2,10))</f>
        <v>840</v>
      </c>
      <c r="Q420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400</v>
      </c>
    </row>
    <row r="421" spans="1:17" x14ac:dyDescent="0.25">
      <c r="A421" s="1">
        <v>2025</v>
      </c>
      <c r="B421" s="18">
        <v>5003</v>
      </c>
      <c r="C421" s="19" t="s">
        <v>171</v>
      </c>
      <c r="D421" s="19" t="s">
        <v>494</v>
      </c>
      <c r="E421" s="19" t="s">
        <v>237</v>
      </c>
      <c r="F421" s="19" t="s">
        <v>317</v>
      </c>
      <c r="G421" s="20">
        <v>235</v>
      </c>
      <c r="I421" s="20">
        <v>15</v>
      </c>
      <c r="J421" s="4">
        <f t="shared" si="83"/>
        <v>250</v>
      </c>
      <c r="K421" s="4">
        <f t="shared" si="78"/>
        <v>300</v>
      </c>
      <c r="L421" s="4">
        <f t="shared" si="79"/>
        <v>315</v>
      </c>
      <c r="M421" s="4">
        <f t="shared" si="80"/>
        <v>400</v>
      </c>
      <c r="N421" s="4">
        <f t="shared" si="81"/>
        <v>290</v>
      </c>
      <c r="O421" s="4">
        <f t="shared" si="82"/>
        <v>340</v>
      </c>
      <c r="P421" s="4">
        <f>IF((((Price25[Cost]*1.5)+50)/0.835)&lt;2500,
MROUND((((( Price25[Cost]*1.5)+50)/0.835)*1.05)*2,10),
MROUND((((( Price25[Cost]*1.5)+50)/0.835)*1.18)*2,10))</f>
        <v>1010</v>
      </c>
      <c r="Q421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470</v>
      </c>
    </row>
    <row r="422" spans="1:17" x14ac:dyDescent="0.25">
      <c r="A422" s="1">
        <v>2026</v>
      </c>
      <c r="B422" s="18">
        <v>5004</v>
      </c>
      <c r="C422" s="19" t="s">
        <v>171</v>
      </c>
      <c r="D422" s="19" t="s">
        <v>494</v>
      </c>
      <c r="E422" s="19" t="s">
        <v>237</v>
      </c>
      <c r="F422" s="19" t="s">
        <v>316</v>
      </c>
      <c r="G422" s="20">
        <v>250</v>
      </c>
      <c r="I422" s="20">
        <v>15</v>
      </c>
      <c r="J422" s="4">
        <f t="shared" si="83"/>
        <v>265</v>
      </c>
      <c r="K422" s="4">
        <f t="shared" si="78"/>
        <v>320</v>
      </c>
      <c r="L422" s="4">
        <f t="shared" si="79"/>
        <v>335</v>
      </c>
      <c r="M422" s="4">
        <f t="shared" si="80"/>
        <v>425</v>
      </c>
      <c r="N422" s="4">
        <f t="shared" si="81"/>
        <v>310</v>
      </c>
      <c r="O422" s="4">
        <f t="shared" si="82"/>
        <v>360</v>
      </c>
      <c r="P422" s="4">
        <f>IF((((Price25[Cost]*1.5)+50)/0.835)&lt;2500,
MROUND((((( Price25[Cost]*1.5)+50)/0.835)*1.05)*2,10),
MROUND((((( Price25[Cost]*1.5)+50)/0.835)*1.18)*2,10))</f>
        <v>1070</v>
      </c>
      <c r="Q422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500</v>
      </c>
    </row>
    <row r="423" spans="1:17" x14ac:dyDescent="0.25">
      <c r="A423" s="1"/>
      <c r="B423" s="18">
        <v>5006</v>
      </c>
      <c r="C423" s="19" t="s">
        <v>171</v>
      </c>
      <c r="D423" s="19" t="s">
        <v>494</v>
      </c>
      <c r="E423" s="19" t="s">
        <v>227</v>
      </c>
      <c r="F423" s="19" t="s">
        <v>230</v>
      </c>
      <c r="G423" s="20">
        <v>280</v>
      </c>
      <c r="I423" s="20">
        <v>12</v>
      </c>
      <c r="J423" s="4">
        <f t="shared" si="83"/>
        <v>292</v>
      </c>
      <c r="K423" s="4">
        <f t="shared" si="78"/>
        <v>350</v>
      </c>
      <c r="L423" s="4">
        <f t="shared" si="79"/>
        <v>365</v>
      </c>
      <c r="M423" s="4">
        <f t="shared" si="80"/>
        <v>475</v>
      </c>
      <c r="N423" s="4">
        <f t="shared" si="81"/>
        <v>340</v>
      </c>
      <c r="O423" s="4">
        <f t="shared" si="82"/>
        <v>395</v>
      </c>
      <c r="P423" s="4">
        <f>IF((((Price25[Cost]*1.5)+50)/0.835)&lt;2500,
MROUND((((( Price25[Cost]*1.5)+50)/0.835)*1.05)*2,10),
MROUND((((( Price25[Cost]*1.5)+50)/0.835)*1.18)*2,10))</f>
        <v>1180</v>
      </c>
      <c r="Q423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550</v>
      </c>
    </row>
    <row r="424" spans="1:17" x14ac:dyDescent="0.25">
      <c r="A424" s="1"/>
      <c r="B424" s="18">
        <v>5007</v>
      </c>
      <c r="C424" s="19" t="s">
        <v>171</v>
      </c>
      <c r="D424" s="19" t="s">
        <v>494</v>
      </c>
      <c r="E424" s="19" t="s">
        <v>227</v>
      </c>
      <c r="F424" s="19" t="s">
        <v>228</v>
      </c>
      <c r="G424" s="20">
        <v>250</v>
      </c>
      <c r="I424" s="20">
        <v>12</v>
      </c>
      <c r="J424" s="4">
        <f t="shared" si="83"/>
        <v>262</v>
      </c>
      <c r="K424" s="4">
        <f t="shared" si="78"/>
        <v>315</v>
      </c>
      <c r="L424" s="4">
        <f t="shared" si="79"/>
        <v>330</v>
      </c>
      <c r="M424" s="4">
        <f t="shared" si="80"/>
        <v>425</v>
      </c>
      <c r="N424" s="4">
        <f t="shared" si="81"/>
        <v>305</v>
      </c>
      <c r="O424" s="4">
        <f t="shared" si="82"/>
        <v>355</v>
      </c>
      <c r="P424" s="4">
        <f>IF((((Price25[Cost]*1.5)+50)/0.835)&lt;2500,
MROUND((((( Price25[Cost]*1.5)+50)/0.835)*1.05)*2,10),
MROUND((((( Price25[Cost]*1.5)+50)/0.835)*1.18)*2,10))</f>
        <v>1070</v>
      </c>
      <c r="Q424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500</v>
      </c>
    </row>
    <row r="425" spans="1:17" x14ac:dyDescent="0.25">
      <c r="A425" s="1">
        <v>2026</v>
      </c>
      <c r="B425" s="18">
        <v>5010</v>
      </c>
      <c r="C425" s="19" t="s">
        <v>171</v>
      </c>
      <c r="D425" s="19" t="s">
        <v>494</v>
      </c>
      <c r="E425" s="19" t="s">
        <v>237</v>
      </c>
      <c r="F425" s="19" t="s">
        <v>238</v>
      </c>
      <c r="G425" s="20">
        <v>240</v>
      </c>
      <c r="I425" s="20">
        <v>15</v>
      </c>
      <c r="J425" s="4">
        <f t="shared" si="83"/>
        <v>255</v>
      </c>
      <c r="K425" s="4">
        <f t="shared" si="78"/>
        <v>305</v>
      </c>
      <c r="L425" s="4">
        <f t="shared" si="79"/>
        <v>320</v>
      </c>
      <c r="M425" s="4">
        <f t="shared" si="80"/>
        <v>425</v>
      </c>
      <c r="N425" s="4">
        <f t="shared" si="81"/>
        <v>295</v>
      </c>
      <c r="O425" s="4">
        <f t="shared" si="82"/>
        <v>345</v>
      </c>
      <c r="P425" s="4">
        <f>IF((((Price25[Cost]*1.5)+50)/0.835)&lt;2500,
MROUND((((( Price25[Cost]*1.5)+50)/0.835)*1.05)*2,10),
MROUND((((( Price25[Cost]*1.5)+50)/0.835)*1.18)*2,10))</f>
        <v>1030</v>
      </c>
      <c r="Q425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500</v>
      </c>
    </row>
    <row r="426" spans="1:17" x14ac:dyDescent="0.25">
      <c r="A426" s="1">
        <v>2025</v>
      </c>
      <c r="B426" s="18">
        <v>501</v>
      </c>
      <c r="C426" s="19" t="s">
        <v>171</v>
      </c>
      <c r="D426" s="19" t="s">
        <v>494</v>
      </c>
      <c r="E426" s="19" t="s">
        <v>249</v>
      </c>
      <c r="F426" s="19" t="s">
        <v>440</v>
      </c>
      <c r="G426" s="20">
        <v>173</v>
      </c>
      <c r="I426" s="20">
        <v>65</v>
      </c>
      <c r="J426" s="4">
        <f>IF(SUMIF(G426:I426,"&lt;&gt;")=0,"",SUM(G426:I426))</f>
        <v>238</v>
      </c>
      <c r="K426" s="4">
        <f t="shared" si="78"/>
        <v>285</v>
      </c>
      <c r="L426" s="4">
        <f t="shared" si="79"/>
        <v>300</v>
      </c>
      <c r="M426" s="4">
        <f t="shared" si="80"/>
        <v>375</v>
      </c>
      <c r="N426" s="4">
        <f t="shared" si="81"/>
        <v>280</v>
      </c>
      <c r="O426" s="4">
        <f t="shared" si="82"/>
        <v>325</v>
      </c>
      <c r="P426" s="4">
        <f>IF((((Price25[Cost]*1.5)+50)/0.835)&lt;2500,
MROUND((((( Price25[Cost]*1.5)+50)/0.835)*1.05)*2,10),
MROUND((((( Price25[Cost]*1.5)+50)/0.835)*1.18)*2,10))</f>
        <v>780</v>
      </c>
      <c r="Q426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450</v>
      </c>
    </row>
    <row r="427" spans="1:17" x14ac:dyDescent="0.25">
      <c r="A427" s="1">
        <v>2026</v>
      </c>
      <c r="B427" s="18">
        <v>5011</v>
      </c>
      <c r="C427" s="19" t="s">
        <v>171</v>
      </c>
      <c r="D427" s="19" t="s">
        <v>494</v>
      </c>
      <c r="E427" s="19" t="s">
        <v>864</v>
      </c>
      <c r="F427" s="19" t="s">
        <v>865</v>
      </c>
      <c r="G427" s="20">
        <v>197</v>
      </c>
      <c r="H427" s="20">
        <v>8</v>
      </c>
      <c r="I427" s="20">
        <v>15</v>
      </c>
      <c r="J427" s="4">
        <f>IF(SUMIF(G427:I427,"&lt;&gt;")=0,"",SUM(G427:I427))</f>
        <v>220</v>
      </c>
      <c r="K427" s="4">
        <f t="shared" si="78"/>
        <v>265</v>
      </c>
      <c r="L427" s="4">
        <f t="shared" si="79"/>
        <v>275</v>
      </c>
      <c r="M427" s="4">
        <f t="shared" si="80"/>
        <v>350</v>
      </c>
      <c r="N427" s="4">
        <f t="shared" si="81"/>
        <v>255</v>
      </c>
      <c r="O427" s="4">
        <f t="shared" si="82"/>
        <v>295</v>
      </c>
      <c r="P427" s="4">
        <f>IF((((Price25[Cost]*1.5)+50)/0.835)&lt;2500,
MROUND((((( Price25[Cost]*1.5)+50)/0.835)*1.05)*2,10),
MROUND((((( Price25[Cost]*1.5)+50)/0.835)*1.18)*2,10))</f>
        <v>870</v>
      </c>
      <c r="Q427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420</v>
      </c>
    </row>
    <row r="428" spans="1:17" x14ac:dyDescent="0.25">
      <c r="A428" s="1"/>
      <c r="B428" s="18">
        <v>5012</v>
      </c>
      <c r="C428" s="19" t="s">
        <v>171</v>
      </c>
      <c r="D428" s="19" t="s">
        <v>494</v>
      </c>
      <c r="E428" s="19" t="s">
        <v>237</v>
      </c>
      <c r="F428" s="19" t="s">
        <v>373</v>
      </c>
      <c r="G428" s="20">
        <v>270</v>
      </c>
      <c r="I428" s="20">
        <v>15</v>
      </c>
      <c r="J428" s="4">
        <f t="shared" si="83"/>
        <v>285</v>
      </c>
      <c r="K428" s="4">
        <f t="shared" si="78"/>
        <v>345</v>
      </c>
      <c r="L428" s="4">
        <f t="shared" si="79"/>
        <v>360</v>
      </c>
      <c r="M428" s="4">
        <f t="shared" si="80"/>
        <v>450</v>
      </c>
      <c r="N428" s="4">
        <f t="shared" si="81"/>
        <v>335</v>
      </c>
      <c r="O428" s="4">
        <f t="shared" si="82"/>
        <v>390</v>
      </c>
      <c r="P428" s="4">
        <f>IF((((Price25[Cost]*1.5)+50)/0.835)&lt;2500,
MROUND((((( Price25[Cost]*1.5)+50)/0.835)*1.05)*2,10),
MROUND((((( Price25[Cost]*1.5)+50)/0.835)*1.18)*2,10))</f>
        <v>1140</v>
      </c>
      <c r="Q428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520</v>
      </c>
    </row>
    <row r="429" spans="1:17" x14ac:dyDescent="0.25">
      <c r="A429" s="1"/>
      <c r="B429" s="18">
        <v>5013</v>
      </c>
      <c r="C429" s="19" t="s">
        <v>171</v>
      </c>
      <c r="D429" s="19" t="s">
        <v>494</v>
      </c>
      <c r="E429" s="19" t="s">
        <v>237</v>
      </c>
      <c r="F429" s="19" t="s">
        <v>374</v>
      </c>
      <c r="G429" s="20">
        <v>210</v>
      </c>
      <c r="I429" s="20">
        <v>15</v>
      </c>
      <c r="J429" s="4">
        <f t="shared" si="83"/>
        <v>225</v>
      </c>
      <c r="K429" s="4">
        <f t="shared" si="78"/>
        <v>275</v>
      </c>
      <c r="L429" s="4">
        <f t="shared" si="79"/>
        <v>285</v>
      </c>
      <c r="M429" s="4">
        <f t="shared" si="80"/>
        <v>375</v>
      </c>
      <c r="N429" s="4">
        <f t="shared" si="81"/>
        <v>265</v>
      </c>
      <c r="O429" s="4">
        <f t="shared" si="82"/>
        <v>305</v>
      </c>
      <c r="P429" s="4">
        <f>IF((((Price25[Cost]*1.5)+50)/0.835)&lt;2500,
MROUND((((( Price25[Cost]*1.5)+50)/0.835)*1.05)*2,10),
MROUND((((( Price25[Cost]*1.5)+50)/0.835)*1.18)*2,10))</f>
        <v>920</v>
      </c>
      <c r="Q429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450</v>
      </c>
    </row>
    <row r="430" spans="1:17" x14ac:dyDescent="0.25">
      <c r="A430" s="1"/>
      <c r="B430" s="18">
        <v>5014</v>
      </c>
      <c r="C430" s="19" t="s">
        <v>171</v>
      </c>
      <c r="D430" s="19" t="s">
        <v>494</v>
      </c>
      <c r="E430" s="19" t="s">
        <v>237</v>
      </c>
      <c r="F430" s="19" t="s">
        <v>375</v>
      </c>
      <c r="G430" s="20">
        <v>230</v>
      </c>
      <c r="I430" s="20">
        <v>15</v>
      </c>
      <c r="J430" s="4">
        <f t="shared" si="83"/>
        <v>245</v>
      </c>
      <c r="K430" s="4">
        <f t="shared" si="78"/>
        <v>295</v>
      </c>
      <c r="L430" s="4">
        <f t="shared" si="79"/>
        <v>310</v>
      </c>
      <c r="M430" s="4">
        <f t="shared" si="80"/>
        <v>400</v>
      </c>
      <c r="N430" s="4">
        <f t="shared" si="81"/>
        <v>290</v>
      </c>
      <c r="O430" s="4">
        <f t="shared" si="82"/>
        <v>335</v>
      </c>
      <c r="P430" s="4">
        <f>IF((((Price25[Cost]*1.5)+50)/0.835)&lt;2500,
MROUND((((( Price25[Cost]*1.5)+50)/0.835)*1.05)*2,10),
MROUND((((( Price25[Cost]*1.5)+50)/0.835)*1.18)*2,10))</f>
        <v>990</v>
      </c>
      <c r="Q430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470</v>
      </c>
    </row>
    <row r="431" spans="1:17" x14ac:dyDescent="0.25">
      <c r="A431" s="1"/>
      <c r="B431" s="18">
        <v>5015</v>
      </c>
      <c r="C431" s="19" t="s">
        <v>171</v>
      </c>
      <c r="D431" s="19" t="s">
        <v>494</v>
      </c>
      <c r="E431" s="19" t="s">
        <v>237</v>
      </c>
      <c r="F431" s="19" t="s">
        <v>376</v>
      </c>
      <c r="G431" s="20">
        <v>270</v>
      </c>
      <c r="I431" s="20">
        <v>15</v>
      </c>
      <c r="J431" s="4">
        <f t="shared" si="83"/>
        <v>285</v>
      </c>
      <c r="K431" s="4">
        <f t="shared" si="78"/>
        <v>345</v>
      </c>
      <c r="L431" s="4">
        <f t="shared" si="79"/>
        <v>360</v>
      </c>
      <c r="M431" s="4">
        <f t="shared" si="80"/>
        <v>450</v>
      </c>
      <c r="N431" s="4">
        <f t="shared" si="81"/>
        <v>335</v>
      </c>
      <c r="O431" s="4">
        <f t="shared" si="82"/>
        <v>390</v>
      </c>
      <c r="P431" s="4">
        <f>IF((((Price25[Cost]*1.5)+50)/0.835)&lt;2500,
MROUND((((( Price25[Cost]*1.5)+50)/0.835)*1.05)*2,10),
MROUND((((( Price25[Cost]*1.5)+50)/0.835)*1.18)*2,10))</f>
        <v>1140</v>
      </c>
      <c r="Q431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520</v>
      </c>
    </row>
    <row r="432" spans="1:17" x14ac:dyDescent="0.25">
      <c r="A432" s="1"/>
      <c r="B432" s="18">
        <v>5016</v>
      </c>
      <c r="C432" s="19" t="s">
        <v>171</v>
      </c>
      <c r="D432" s="19" t="s">
        <v>494</v>
      </c>
      <c r="E432" s="19" t="s">
        <v>237</v>
      </c>
      <c r="F432" s="19" t="s">
        <v>377</v>
      </c>
      <c r="G432" s="20">
        <v>260</v>
      </c>
      <c r="I432" s="20">
        <v>15</v>
      </c>
      <c r="J432" s="4">
        <f t="shared" si="83"/>
        <v>275</v>
      </c>
      <c r="K432" s="4">
        <f t="shared" si="78"/>
        <v>330</v>
      </c>
      <c r="L432" s="4">
        <f t="shared" si="79"/>
        <v>345</v>
      </c>
      <c r="M432" s="4">
        <f t="shared" si="80"/>
        <v>450</v>
      </c>
      <c r="N432" s="4">
        <f t="shared" si="81"/>
        <v>320</v>
      </c>
      <c r="O432" s="4">
        <f t="shared" si="82"/>
        <v>370</v>
      </c>
      <c r="P432" s="4">
        <f>IF((((Price25[Cost]*1.5)+50)/0.835)&lt;2500,
MROUND((((( Price25[Cost]*1.5)+50)/0.835)*1.05)*2,10),
MROUND((((( Price25[Cost]*1.5)+50)/0.835)*1.18)*2,10))</f>
        <v>1110</v>
      </c>
      <c r="Q432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520</v>
      </c>
    </row>
    <row r="433" spans="1:17" x14ac:dyDescent="0.25">
      <c r="A433" s="1"/>
      <c r="B433" s="18">
        <v>5017</v>
      </c>
      <c r="C433" s="19" t="s">
        <v>171</v>
      </c>
      <c r="D433" s="19" t="s">
        <v>494</v>
      </c>
      <c r="E433" s="19" t="s">
        <v>237</v>
      </c>
      <c r="F433" s="19" t="s">
        <v>378</v>
      </c>
      <c r="G433" s="20">
        <v>230</v>
      </c>
      <c r="I433" s="20">
        <v>15</v>
      </c>
      <c r="J433" s="4">
        <f t="shared" si="83"/>
        <v>245</v>
      </c>
      <c r="K433" s="4">
        <f t="shared" si="78"/>
        <v>295</v>
      </c>
      <c r="L433" s="4">
        <f t="shared" si="79"/>
        <v>310</v>
      </c>
      <c r="M433" s="4">
        <f t="shared" si="80"/>
        <v>400</v>
      </c>
      <c r="N433" s="4">
        <f t="shared" si="81"/>
        <v>290</v>
      </c>
      <c r="O433" s="4">
        <f t="shared" si="82"/>
        <v>335</v>
      </c>
      <c r="P433" s="4">
        <f>IF((((Price25[Cost]*1.5)+50)/0.835)&lt;2500,
MROUND((((( Price25[Cost]*1.5)+50)/0.835)*1.05)*2,10),
MROUND((((( Price25[Cost]*1.5)+50)/0.835)*1.18)*2,10))</f>
        <v>990</v>
      </c>
      <c r="Q433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470</v>
      </c>
    </row>
    <row r="434" spans="1:17" x14ac:dyDescent="0.25">
      <c r="A434" s="1"/>
      <c r="B434" s="18">
        <v>5018</v>
      </c>
      <c r="C434" s="19" t="s">
        <v>171</v>
      </c>
      <c r="D434" s="19" t="s">
        <v>494</v>
      </c>
      <c r="E434" s="19" t="s">
        <v>237</v>
      </c>
      <c r="F434" s="19" t="s">
        <v>424</v>
      </c>
      <c r="G434" s="20">
        <v>270</v>
      </c>
      <c r="I434" s="20">
        <v>15</v>
      </c>
      <c r="J434" s="4">
        <f t="shared" si="83"/>
        <v>285</v>
      </c>
      <c r="K434" s="4">
        <f t="shared" si="78"/>
        <v>345</v>
      </c>
      <c r="L434" s="4">
        <f t="shared" si="79"/>
        <v>360</v>
      </c>
      <c r="M434" s="4">
        <f t="shared" si="80"/>
        <v>450</v>
      </c>
      <c r="N434" s="4">
        <f t="shared" si="81"/>
        <v>335</v>
      </c>
      <c r="O434" s="4">
        <f t="shared" si="82"/>
        <v>390</v>
      </c>
      <c r="P434" s="4">
        <f>IF((((Price25[Cost]*1.5)+50)/0.835)&lt;2500,
MROUND((((( Price25[Cost]*1.5)+50)/0.835)*1.05)*2,10),
MROUND((((( Price25[Cost]*1.5)+50)/0.835)*1.18)*2,10))</f>
        <v>1140</v>
      </c>
      <c r="Q434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520</v>
      </c>
    </row>
    <row r="435" spans="1:17" x14ac:dyDescent="0.25">
      <c r="A435" s="1"/>
      <c r="B435" s="18">
        <v>5019</v>
      </c>
      <c r="C435" s="19" t="s">
        <v>171</v>
      </c>
      <c r="D435" s="19" t="s">
        <v>494</v>
      </c>
      <c r="E435" s="19" t="s">
        <v>379</v>
      </c>
      <c r="F435" s="19" t="s">
        <v>382</v>
      </c>
      <c r="G435" s="20">
        <v>230</v>
      </c>
      <c r="I435" s="20">
        <v>15</v>
      </c>
      <c r="J435" s="4">
        <f t="shared" si="83"/>
        <v>245</v>
      </c>
      <c r="K435" s="4">
        <f t="shared" si="78"/>
        <v>295</v>
      </c>
      <c r="L435" s="4">
        <f t="shared" si="79"/>
        <v>310</v>
      </c>
      <c r="M435" s="4">
        <f t="shared" si="80"/>
        <v>400</v>
      </c>
      <c r="N435" s="4">
        <f t="shared" si="81"/>
        <v>290</v>
      </c>
      <c r="O435" s="4">
        <f t="shared" si="82"/>
        <v>335</v>
      </c>
      <c r="P435" s="4">
        <f>IF((((Price25[Cost]*1.5)+50)/0.835)&lt;2500,
MROUND((((( Price25[Cost]*1.5)+50)/0.835)*1.05)*2,10),
MROUND((((( Price25[Cost]*1.5)+50)/0.835)*1.18)*2,10))</f>
        <v>990</v>
      </c>
      <c r="Q435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470</v>
      </c>
    </row>
    <row r="436" spans="1:17" x14ac:dyDescent="0.25">
      <c r="A436" s="1"/>
      <c r="B436" s="18">
        <v>5020</v>
      </c>
      <c r="C436" s="19" t="s">
        <v>171</v>
      </c>
      <c r="D436" s="19" t="s">
        <v>494</v>
      </c>
      <c r="E436" s="19" t="s">
        <v>379</v>
      </c>
      <c r="F436" s="19" t="s">
        <v>383</v>
      </c>
      <c r="G436" s="20">
        <v>230</v>
      </c>
      <c r="I436" s="20">
        <v>15</v>
      </c>
      <c r="J436" s="4">
        <f t="shared" si="83"/>
        <v>245</v>
      </c>
      <c r="K436" s="4">
        <f t="shared" si="78"/>
        <v>295</v>
      </c>
      <c r="L436" s="4">
        <f t="shared" si="79"/>
        <v>310</v>
      </c>
      <c r="M436" s="4">
        <f t="shared" si="80"/>
        <v>400</v>
      </c>
      <c r="N436" s="4">
        <f t="shared" si="81"/>
        <v>290</v>
      </c>
      <c r="O436" s="4">
        <f t="shared" si="82"/>
        <v>335</v>
      </c>
      <c r="P436" s="4">
        <f>IF((((Price25[Cost]*1.5)+50)/0.835)&lt;2500,
MROUND((((( Price25[Cost]*1.5)+50)/0.835)*1.05)*2,10),
MROUND((((( Price25[Cost]*1.5)+50)/0.835)*1.18)*2,10))</f>
        <v>990</v>
      </c>
      <c r="Q436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470</v>
      </c>
    </row>
    <row r="437" spans="1:17" x14ac:dyDescent="0.25">
      <c r="A437" s="1">
        <v>2026</v>
      </c>
      <c r="B437" s="18">
        <v>502</v>
      </c>
      <c r="C437" s="19" t="s">
        <v>171</v>
      </c>
      <c r="D437" s="19" t="s">
        <v>494</v>
      </c>
      <c r="E437" s="19" t="s">
        <v>864</v>
      </c>
      <c r="F437" s="19" t="s">
        <v>866</v>
      </c>
      <c r="G437" s="20">
        <v>217</v>
      </c>
      <c r="H437" s="20">
        <v>8</v>
      </c>
      <c r="I437" s="20">
        <v>15</v>
      </c>
      <c r="J437" s="4">
        <f>IF(SUMIF(G437:I437,"&lt;&gt;")=0,"",SUM(G437:I437))</f>
        <v>240</v>
      </c>
      <c r="K437" s="4">
        <f t="shared" si="78"/>
        <v>285</v>
      </c>
      <c r="L437" s="4">
        <f t="shared" si="79"/>
        <v>300</v>
      </c>
      <c r="M437" s="4">
        <f t="shared" si="80"/>
        <v>400</v>
      </c>
      <c r="N437" s="4">
        <f t="shared" si="81"/>
        <v>280</v>
      </c>
      <c r="O437" s="4">
        <f t="shared" si="82"/>
        <v>325</v>
      </c>
      <c r="P437" s="4">
        <f>IF((((Price25[Cost]*1.5)+50)/0.835)&lt;2500,
MROUND((((( Price25[Cost]*1.5)+50)/0.835)*1.05)*2,10),
MROUND((((( Price25[Cost]*1.5)+50)/0.835)*1.18)*2,10))</f>
        <v>940</v>
      </c>
      <c r="Q437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470</v>
      </c>
    </row>
    <row r="438" spans="1:17" x14ac:dyDescent="0.25">
      <c r="A438" s="1">
        <v>2026</v>
      </c>
      <c r="B438" s="18">
        <v>5021</v>
      </c>
      <c r="C438" s="19" t="s">
        <v>171</v>
      </c>
      <c r="D438" s="19" t="s">
        <v>494</v>
      </c>
      <c r="E438" s="19" t="s">
        <v>249</v>
      </c>
      <c r="F438" s="19" t="s">
        <v>902</v>
      </c>
      <c r="G438" s="20">
        <v>190</v>
      </c>
      <c r="I438" s="20">
        <v>85</v>
      </c>
      <c r="J438" s="4">
        <f>IF(SUMIF(G438:I438,"&lt;&gt;")=0,"",SUM(G438:I438))</f>
        <v>275</v>
      </c>
      <c r="K438" s="4">
        <f t="shared" si="78"/>
        <v>330</v>
      </c>
      <c r="L438" s="4">
        <f t="shared" si="79"/>
        <v>345</v>
      </c>
      <c r="M438" s="4">
        <f t="shared" si="80"/>
        <v>450</v>
      </c>
      <c r="N438" s="4">
        <f t="shared" si="81"/>
        <v>320</v>
      </c>
      <c r="O438" s="4">
        <f t="shared" si="82"/>
        <v>370</v>
      </c>
      <c r="P438" s="4">
        <f>IF((((Price25[Cost]*1.5)+50)/0.835)&lt;2500,
MROUND((((( Price25[Cost]*1.5)+50)/0.835)*1.05)*2,10),
MROUND((((( Price25[Cost]*1.5)+50)/0.835)*1.18)*2,10))</f>
        <v>840</v>
      </c>
      <c r="Q438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520</v>
      </c>
    </row>
    <row r="439" spans="1:17" x14ac:dyDescent="0.25">
      <c r="A439" s="1">
        <v>2025</v>
      </c>
      <c r="B439" s="18">
        <v>5022</v>
      </c>
      <c r="C439" s="19" t="s">
        <v>171</v>
      </c>
      <c r="D439" s="19" t="s">
        <v>494</v>
      </c>
      <c r="E439" s="19" t="s">
        <v>345</v>
      </c>
      <c r="F439" s="19" t="s">
        <v>642</v>
      </c>
      <c r="G439" s="20">
        <v>300</v>
      </c>
      <c r="I439" s="20">
        <v>15</v>
      </c>
      <c r="J439" s="4">
        <f>IF(SUMIF(G439:I439,"&lt;&gt;")=0,"",SUM(G439:I439))</f>
        <v>315</v>
      </c>
      <c r="K439" s="4">
        <f t="shared" si="78"/>
        <v>380</v>
      </c>
      <c r="L439" s="4">
        <f t="shared" si="79"/>
        <v>395</v>
      </c>
      <c r="M439" s="4">
        <f t="shared" si="80"/>
        <v>500</v>
      </c>
      <c r="N439" s="4">
        <f t="shared" si="81"/>
        <v>365</v>
      </c>
      <c r="O439" s="4">
        <f t="shared" si="82"/>
        <v>425</v>
      </c>
      <c r="P439" s="4">
        <f>IF((((Price25[Cost]*1.5)+50)/0.835)&lt;2500,
MROUND((((( Price25[Cost]*1.5)+50)/0.835)*1.05)*2,10),
MROUND((((( Price25[Cost]*1.5)+50)/0.835)*1.18)*2,10))</f>
        <v>1260</v>
      </c>
      <c r="Q439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570</v>
      </c>
    </row>
    <row r="440" spans="1:17" x14ac:dyDescent="0.25">
      <c r="A440" s="1"/>
      <c r="B440" s="18">
        <v>5023</v>
      </c>
      <c r="C440" s="19" t="s">
        <v>171</v>
      </c>
      <c r="D440" s="19" t="s">
        <v>494</v>
      </c>
      <c r="E440" s="19" t="s">
        <v>379</v>
      </c>
      <c r="F440" s="19" t="s">
        <v>384</v>
      </c>
      <c r="G440" s="20">
        <v>230</v>
      </c>
      <c r="I440" s="20">
        <v>15</v>
      </c>
      <c r="J440" s="4">
        <f t="shared" si="83"/>
        <v>245</v>
      </c>
      <c r="K440" s="4">
        <f t="shared" si="78"/>
        <v>295</v>
      </c>
      <c r="L440" s="4">
        <f t="shared" si="79"/>
        <v>310</v>
      </c>
      <c r="M440" s="4">
        <f t="shared" si="80"/>
        <v>400</v>
      </c>
      <c r="N440" s="4">
        <f t="shared" si="81"/>
        <v>290</v>
      </c>
      <c r="O440" s="4">
        <f t="shared" si="82"/>
        <v>335</v>
      </c>
      <c r="P440" s="4">
        <f>IF((((Price25[Cost]*1.5)+50)/0.835)&lt;2500,
MROUND((((( Price25[Cost]*1.5)+50)/0.835)*1.05)*2,10),
MROUND((((( Price25[Cost]*1.5)+50)/0.835)*1.18)*2,10))</f>
        <v>990</v>
      </c>
      <c r="Q440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470</v>
      </c>
    </row>
    <row r="441" spans="1:17" x14ac:dyDescent="0.25">
      <c r="A441" s="1"/>
      <c r="B441" s="18">
        <v>5024</v>
      </c>
      <c r="C441" s="19" t="s">
        <v>171</v>
      </c>
      <c r="D441" s="19" t="s">
        <v>494</v>
      </c>
      <c r="E441" s="19" t="s">
        <v>379</v>
      </c>
      <c r="F441" s="19" t="s">
        <v>385</v>
      </c>
      <c r="G441" s="20">
        <v>230</v>
      </c>
      <c r="I441" s="20">
        <v>15</v>
      </c>
      <c r="J441" s="4">
        <f t="shared" si="83"/>
        <v>245</v>
      </c>
      <c r="K441" s="4">
        <f t="shared" ref="K441:K517" si="84">IF(ISNUMBER(L441),
   IF(CEILING(ROUND(L441*0.95,2),5)=420,
      425,
      CEILING(ROUND(L441*0.95,2),5)
   ),
   ""
)</f>
        <v>295</v>
      </c>
      <c r="L441" s="4">
        <f t="shared" ref="L441:L517" si="85">IF(AND(ISNUMBER(J441),ISNUMBER(G441)),
   IF(CEILING(ROUND(J441*1.25,2),5)=420,
      425,
      CEILING(ROUND(J441*1.25,2),5)
   ),
   ""
)</f>
        <v>310</v>
      </c>
      <c r="M441" s="4">
        <f t="shared" ref="M441:M517" si="86">IF(AND(ISNUMBER(J441),ISNUMBER(G441)),
   IF(
      CEILING(
         ROUND((J441*1.5) * IF(J441*1.5 &lt;= 2500, 1.05, 1.18), 2),
         IF(ROUND((J441*1.5) * IF(J441*1.5 &lt;= 2500, 1.05, 1.18), 2) &lt; 2500, 25, 50)
      )=420,
      425,
      CEILING(
         ROUND((J441*1.5) * IF(J441*1.5 &lt;= 2500, 1.05, 1.18), 2),
         IF(ROUND((J441*1.5) * IF(J441*1.5 &lt;= 2500, 1.05, 1.18), 2) &lt; 2500, 25, 50)
      )
   ),
   ""
)</f>
        <v>400</v>
      </c>
      <c r="N441" s="4">
        <f t="shared" ref="N441:N517" si="87">IF(ISNUMBER(G441),
   IF(CEILING(ROUND(L441*0.92,2),5)=420,
      425,
      CEILING(ROUND(L441*0.92,2),5)
   ),
   ""
)</f>
        <v>290</v>
      </c>
      <c r="O441" s="4">
        <f t="shared" ref="O441:O517" si="88">IF(ISNUMBER(L441),
   IF(CEILING(ROUND(L441*1.07,2),5)=420,
      425,
      CEILING(ROUND(L441*1.07,2),5)
   ),
   ""
)</f>
        <v>335</v>
      </c>
      <c r="P441" s="4">
        <f>IF((((Price25[Cost]*1.5)+50)/0.835)&lt;2500,
MROUND((((( Price25[Cost]*1.5)+50)/0.835)*1.05)*2,10),
MROUND((((( Price25[Cost]*1.5)+50)/0.835)*1.18)*2,10))</f>
        <v>990</v>
      </c>
      <c r="Q441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470</v>
      </c>
    </row>
    <row r="442" spans="1:17" x14ac:dyDescent="0.25">
      <c r="A442" s="1"/>
      <c r="B442" s="18">
        <v>5025</v>
      </c>
      <c r="C442" s="19" t="s">
        <v>171</v>
      </c>
      <c r="D442" s="19" t="s">
        <v>494</v>
      </c>
      <c r="E442" s="19" t="s">
        <v>379</v>
      </c>
      <c r="F442" s="19" t="s">
        <v>386</v>
      </c>
      <c r="G442" s="20">
        <v>230</v>
      </c>
      <c r="I442" s="20">
        <v>15</v>
      </c>
      <c r="J442" s="4">
        <f t="shared" si="83"/>
        <v>245</v>
      </c>
      <c r="K442" s="4">
        <f t="shared" si="84"/>
        <v>295</v>
      </c>
      <c r="L442" s="4">
        <f t="shared" si="85"/>
        <v>310</v>
      </c>
      <c r="M442" s="4">
        <f t="shared" si="86"/>
        <v>400</v>
      </c>
      <c r="N442" s="4">
        <f t="shared" si="87"/>
        <v>290</v>
      </c>
      <c r="O442" s="4">
        <f t="shared" si="88"/>
        <v>335</v>
      </c>
      <c r="P442" s="4">
        <f>IF((((Price25[Cost]*1.5)+50)/0.835)&lt;2500,
MROUND((((( Price25[Cost]*1.5)+50)/0.835)*1.05)*2,10),
MROUND((((( Price25[Cost]*1.5)+50)/0.835)*1.18)*2,10))</f>
        <v>990</v>
      </c>
      <c r="Q442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470</v>
      </c>
    </row>
    <row r="443" spans="1:17" x14ac:dyDescent="0.25">
      <c r="A443" s="1"/>
      <c r="B443" s="18">
        <v>5026</v>
      </c>
      <c r="C443" s="19" t="s">
        <v>171</v>
      </c>
      <c r="D443" s="19" t="s">
        <v>494</v>
      </c>
      <c r="E443" s="19" t="s">
        <v>379</v>
      </c>
      <c r="F443" s="19" t="s">
        <v>387</v>
      </c>
      <c r="G443" s="20">
        <v>230</v>
      </c>
      <c r="I443" s="20">
        <v>15</v>
      </c>
      <c r="J443" s="4">
        <f t="shared" si="83"/>
        <v>245</v>
      </c>
      <c r="K443" s="4">
        <f t="shared" si="84"/>
        <v>295</v>
      </c>
      <c r="L443" s="4">
        <f t="shared" si="85"/>
        <v>310</v>
      </c>
      <c r="M443" s="4">
        <f t="shared" si="86"/>
        <v>400</v>
      </c>
      <c r="N443" s="4">
        <f t="shared" si="87"/>
        <v>290</v>
      </c>
      <c r="O443" s="4">
        <f t="shared" si="88"/>
        <v>335</v>
      </c>
      <c r="P443" s="4">
        <f>IF((((Price25[Cost]*1.5)+50)/0.835)&lt;2500,
MROUND((((( Price25[Cost]*1.5)+50)/0.835)*1.05)*2,10),
MROUND((((( Price25[Cost]*1.5)+50)/0.835)*1.18)*2,10))</f>
        <v>990</v>
      </c>
      <c r="Q443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470</v>
      </c>
    </row>
    <row r="444" spans="1:17" x14ac:dyDescent="0.25">
      <c r="A444" s="1"/>
      <c r="B444" s="18">
        <v>5027</v>
      </c>
      <c r="C444" s="19" t="s">
        <v>171</v>
      </c>
      <c r="D444" s="19" t="s">
        <v>494</v>
      </c>
      <c r="E444" s="19" t="s">
        <v>379</v>
      </c>
      <c r="F444" s="19" t="s">
        <v>388</v>
      </c>
      <c r="G444" s="20">
        <v>230</v>
      </c>
      <c r="I444" s="20">
        <v>15</v>
      </c>
      <c r="J444" s="4">
        <f t="shared" ref="J444:J533" si="89">IF(SUMIF(G444:I444,"&lt;&gt;")=0,"",SUM(G444:I444))</f>
        <v>245</v>
      </c>
      <c r="K444" s="4">
        <f t="shared" si="84"/>
        <v>295</v>
      </c>
      <c r="L444" s="4">
        <f t="shared" si="85"/>
        <v>310</v>
      </c>
      <c r="M444" s="4">
        <f t="shared" si="86"/>
        <v>400</v>
      </c>
      <c r="N444" s="4">
        <f t="shared" si="87"/>
        <v>290</v>
      </c>
      <c r="O444" s="4">
        <f t="shared" si="88"/>
        <v>335</v>
      </c>
      <c r="P444" s="4">
        <f>IF((((Price25[Cost]*1.5)+50)/0.835)&lt;2500,
MROUND((((( Price25[Cost]*1.5)+50)/0.835)*1.05)*2,10),
MROUND((((( Price25[Cost]*1.5)+50)/0.835)*1.18)*2,10))</f>
        <v>990</v>
      </c>
      <c r="Q444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470</v>
      </c>
    </row>
    <row r="445" spans="1:17" x14ac:dyDescent="0.25">
      <c r="A445" s="1"/>
      <c r="B445" s="18">
        <v>503</v>
      </c>
      <c r="C445" s="19" t="s">
        <v>171</v>
      </c>
      <c r="D445" s="19" t="s">
        <v>494</v>
      </c>
      <c r="E445" s="19" t="s">
        <v>251</v>
      </c>
      <c r="F445" s="19" t="s">
        <v>252</v>
      </c>
      <c r="G445" s="20">
        <v>220</v>
      </c>
      <c r="I445" s="20">
        <v>12</v>
      </c>
      <c r="J445" s="4">
        <f t="shared" si="89"/>
        <v>232</v>
      </c>
      <c r="K445" s="4">
        <f t="shared" si="84"/>
        <v>280</v>
      </c>
      <c r="L445" s="4">
        <f t="shared" si="85"/>
        <v>290</v>
      </c>
      <c r="M445" s="4">
        <f t="shared" si="86"/>
        <v>375</v>
      </c>
      <c r="N445" s="4">
        <f t="shared" si="87"/>
        <v>270</v>
      </c>
      <c r="O445" s="4">
        <f t="shared" si="88"/>
        <v>315</v>
      </c>
      <c r="P445" s="4">
        <f>IF((((Price25[Cost]*1.5)+50)/0.835)&lt;2500,
MROUND((((( Price25[Cost]*1.5)+50)/0.835)*1.05)*2,10),
MROUND((((( Price25[Cost]*1.5)+50)/0.835)*1.18)*2,10))</f>
        <v>960</v>
      </c>
      <c r="Q445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450</v>
      </c>
    </row>
    <row r="446" spans="1:17" x14ac:dyDescent="0.25">
      <c r="A446" s="1">
        <v>2026</v>
      </c>
      <c r="B446" s="18">
        <v>504</v>
      </c>
      <c r="C446" s="19" t="s">
        <v>171</v>
      </c>
      <c r="D446" s="19" t="s">
        <v>494</v>
      </c>
      <c r="E446" s="19" t="s">
        <v>864</v>
      </c>
      <c r="F446" s="19" t="s">
        <v>867</v>
      </c>
      <c r="G446" s="20">
        <v>197</v>
      </c>
      <c r="H446" s="20">
        <v>8</v>
      </c>
      <c r="I446" s="20">
        <v>15</v>
      </c>
      <c r="J446" s="4">
        <f t="shared" si="89"/>
        <v>220</v>
      </c>
      <c r="K446" s="4">
        <f t="shared" si="84"/>
        <v>265</v>
      </c>
      <c r="L446" s="4">
        <f t="shared" si="85"/>
        <v>275</v>
      </c>
      <c r="M446" s="4">
        <f t="shared" si="86"/>
        <v>350</v>
      </c>
      <c r="N446" s="4">
        <f t="shared" si="87"/>
        <v>255</v>
      </c>
      <c r="O446" s="4">
        <f t="shared" si="88"/>
        <v>295</v>
      </c>
      <c r="P446" s="4">
        <f>IF((((Price25[Cost]*1.5)+50)/0.835)&lt;2500,
MROUND((((( Price25[Cost]*1.5)+50)/0.835)*1.05)*2,10),
MROUND((((( Price25[Cost]*1.5)+50)/0.835)*1.18)*2,10))</f>
        <v>870</v>
      </c>
      <c r="Q446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420</v>
      </c>
    </row>
    <row r="447" spans="1:17" x14ac:dyDescent="0.25">
      <c r="A447" s="1"/>
      <c r="B447" s="18">
        <v>505</v>
      </c>
      <c r="C447" s="19" t="s">
        <v>171</v>
      </c>
      <c r="D447" s="19" t="s">
        <v>494</v>
      </c>
      <c r="E447" s="19" t="s">
        <v>249</v>
      </c>
      <c r="F447" s="19" t="s">
        <v>254</v>
      </c>
      <c r="G447" s="20">
        <v>140</v>
      </c>
      <c r="I447" s="20">
        <v>37</v>
      </c>
      <c r="J447" s="4">
        <f t="shared" si="89"/>
        <v>177</v>
      </c>
      <c r="K447" s="4">
        <f t="shared" si="84"/>
        <v>215</v>
      </c>
      <c r="L447" s="4">
        <f t="shared" si="85"/>
        <v>225</v>
      </c>
      <c r="M447" s="4">
        <f t="shared" si="86"/>
        <v>300</v>
      </c>
      <c r="N447" s="4">
        <f t="shared" si="87"/>
        <v>210</v>
      </c>
      <c r="O447" s="4">
        <f t="shared" si="88"/>
        <v>245</v>
      </c>
      <c r="P447" s="4">
        <f>IF((((Price25[Cost]*1.5)+50)/0.835)&lt;2500,
MROUND((((( Price25[Cost]*1.5)+50)/0.835)*1.05)*2,10),
MROUND((((( Price25[Cost]*1.5)+50)/0.835)*1.18)*2,10))</f>
        <v>650</v>
      </c>
      <c r="Q447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370</v>
      </c>
    </row>
    <row r="448" spans="1:17" x14ac:dyDescent="0.25">
      <c r="A448" s="1"/>
      <c r="B448" s="18">
        <v>5051</v>
      </c>
      <c r="C448" s="19" t="s">
        <v>171</v>
      </c>
      <c r="D448" s="19" t="s">
        <v>494</v>
      </c>
      <c r="E448" s="19" t="s">
        <v>249</v>
      </c>
      <c r="F448" s="19" t="s">
        <v>280</v>
      </c>
      <c r="G448" s="20">
        <v>150</v>
      </c>
      <c r="I448" s="20">
        <v>37</v>
      </c>
      <c r="J448" s="4">
        <f t="shared" si="89"/>
        <v>187</v>
      </c>
      <c r="K448" s="4">
        <f t="shared" si="84"/>
        <v>225</v>
      </c>
      <c r="L448" s="4">
        <f t="shared" si="85"/>
        <v>235</v>
      </c>
      <c r="M448" s="4">
        <f t="shared" si="86"/>
        <v>300</v>
      </c>
      <c r="N448" s="4">
        <f t="shared" si="87"/>
        <v>220</v>
      </c>
      <c r="O448" s="4">
        <f t="shared" si="88"/>
        <v>255</v>
      </c>
      <c r="P448" s="4">
        <f>IF((((Price25[Cost]*1.5)+50)/0.835)&lt;2500,
MROUND((((( Price25[Cost]*1.5)+50)/0.835)*1.05)*2,10),
MROUND((((( Price25[Cost]*1.5)+50)/0.835)*1.18)*2,10))</f>
        <v>690</v>
      </c>
      <c r="Q448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370</v>
      </c>
    </row>
    <row r="449" spans="1:17" x14ac:dyDescent="0.25">
      <c r="A449" s="1"/>
      <c r="B449" s="18">
        <v>506</v>
      </c>
      <c r="C449" s="19" t="s">
        <v>171</v>
      </c>
      <c r="D449" s="19" t="s">
        <v>494</v>
      </c>
      <c r="E449" s="19"/>
      <c r="F449" s="19" t="s">
        <v>100</v>
      </c>
      <c r="G449" s="20">
        <v>170</v>
      </c>
      <c r="I449" s="20">
        <v>205</v>
      </c>
      <c r="J449" s="4">
        <f t="shared" si="89"/>
        <v>375</v>
      </c>
      <c r="K449" s="4">
        <f t="shared" si="84"/>
        <v>450</v>
      </c>
      <c r="L449" s="4">
        <f t="shared" si="85"/>
        <v>470</v>
      </c>
      <c r="M449" s="4">
        <f t="shared" si="86"/>
        <v>600</v>
      </c>
      <c r="N449" s="4">
        <f t="shared" si="87"/>
        <v>435</v>
      </c>
      <c r="O449" s="4">
        <f t="shared" si="88"/>
        <v>505</v>
      </c>
      <c r="P449" s="4">
        <f>IF((((Price25[Cost]*1.5)+50)/0.835)&lt;2500,
MROUND((((( Price25[Cost]*1.5)+50)/0.835)*1.05)*2,10),
MROUND((((( Price25[Cost]*1.5)+50)/0.835)*1.18)*2,10))</f>
        <v>770</v>
      </c>
      <c r="Q449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670</v>
      </c>
    </row>
    <row r="450" spans="1:17" x14ac:dyDescent="0.25">
      <c r="A450" s="1">
        <v>2025</v>
      </c>
      <c r="B450" s="18">
        <v>507</v>
      </c>
      <c r="C450" s="19" t="s">
        <v>171</v>
      </c>
      <c r="D450" s="19" t="s">
        <v>494</v>
      </c>
      <c r="E450" s="19" t="s">
        <v>460</v>
      </c>
      <c r="F450" s="19" t="s">
        <v>551</v>
      </c>
      <c r="G450" s="20">
        <v>150</v>
      </c>
      <c r="H450" s="20">
        <v>10</v>
      </c>
      <c r="I450" s="20">
        <v>140</v>
      </c>
      <c r="J450" s="4">
        <f t="shared" si="89"/>
        <v>300</v>
      </c>
      <c r="K450" s="4">
        <f t="shared" si="84"/>
        <v>360</v>
      </c>
      <c r="L450" s="4">
        <f t="shared" si="85"/>
        <v>375</v>
      </c>
      <c r="M450" s="4">
        <f t="shared" si="86"/>
        <v>475</v>
      </c>
      <c r="N450" s="4">
        <f t="shared" si="87"/>
        <v>345</v>
      </c>
      <c r="O450" s="4">
        <f t="shared" si="88"/>
        <v>405</v>
      </c>
      <c r="P450" s="4">
        <f>IF((((Price25[Cost]*1.5)+50)/0.835)&lt;2500,
MROUND((((( Price25[Cost]*1.5)+50)/0.835)*1.05)*2,10),
MROUND((((( Price25[Cost]*1.5)+50)/0.835)*1.18)*2,10))</f>
        <v>690</v>
      </c>
      <c r="Q450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550</v>
      </c>
    </row>
    <row r="451" spans="1:17" x14ac:dyDescent="0.25">
      <c r="A451" s="1">
        <v>2025</v>
      </c>
      <c r="B451" s="18">
        <v>508</v>
      </c>
      <c r="C451" s="19" t="s">
        <v>171</v>
      </c>
      <c r="D451" s="19" t="s">
        <v>494</v>
      </c>
      <c r="E451" s="19"/>
      <c r="F451" s="19" t="s">
        <v>49</v>
      </c>
      <c r="G451" s="20">
        <v>160</v>
      </c>
      <c r="I451" s="20">
        <v>12</v>
      </c>
      <c r="J451" s="4">
        <f t="shared" si="89"/>
        <v>172</v>
      </c>
      <c r="K451" s="4">
        <f t="shared" si="84"/>
        <v>205</v>
      </c>
      <c r="L451" s="4">
        <f t="shared" si="85"/>
        <v>215</v>
      </c>
      <c r="M451" s="4">
        <f t="shared" si="86"/>
        <v>275</v>
      </c>
      <c r="N451" s="4">
        <f t="shared" si="87"/>
        <v>200</v>
      </c>
      <c r="O451" s="4">
        <f t="shared" si="88"/>
        <v>235</v>
      </c>
      <c r="P451" s="4">
        <f>IF((((Price25[Cost]*1.5)+50)/0.835)&lt;2500,
MROUND((((( Price25[Cost]*1.5)+50)/0.835)*1.05)*2,10),
MROUND((((( Price25[Cost]*1.5)+50)/0.835)*1.18)*2,10))</f>
        <v>730</v>
      </c>
      <c r="Q451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350</v>
      </c>
    </row>
    <row r="452" spans="1:17" x14ac:dyDescent="0.25">
      <c r="A452" s="1"/>
      <c r="B452" s="18">
        <v>5081</v>
      </c>
      <c r="C452" s="19" t="s">
        <v>171</v>
      </c>
      <c r="D452" s="19" t="s">
        <v>494</v>
      </c>
      <c r="E452" s="19"/>
      <c r="F452" s="19" t="s">
        <v>51</v>
      </c>
      <c r="G452" s="20">
        <v>155</v>
      </c>
      <c r="I452" s="20">
        <v>55</v>
      </c>
      <c r="J452" s="4">
        <f t="shared" si="89"/>
        <v>210</v>
      </c>
      <c r="K452" s="4">
        <f t="shared" si="84"/>
        <v>255</v>
      </c>
      <c r="L452" s="4">
        <f t="shared" si="85"/>
        <v>265</v>
      </c>
      <c r="M452" s="4">
        <f t="shared" si="86"/>
        <v>350</v>
      </c>
      <c r="N452" s="4">
        <f t="shared" si="87"/>
        <v>245</v>
      </c>
      <c r="O452" s="4">
        <f t="shared" si="88"/>
        <v>285</v>
      </c>
      <c r="P452" s="4">
        <f>IF((((Price25[Cost]*1.5)+50)/0.835)&lt;2500,
MROUND((((( Price25[Cost]*1.5)+50)/0.835)*1.05)*2,10),
MROUND((((( Price25[Cost]*1.5)+50)/0.835)*1.18)*2,10))</f>
        <v>710</v>
      </c>
      <c r="Q452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420</v>
      </c>
    </row>
    <row r="453" spans="1:17" x14ac:dyDescent="0.25">
      <c r="A453" s="1">
        <v>2026</v>
      </c>
      <c r="B453" s="18">
        <v>5082</v>
      </c>
      <c r="C453" s="19" t="s">
        <v>171</v>
      </c>
      <c r="D453" s="19" t="s">
        <v>494</v>
      </c>
      <c r="E453" s="19" t="s">
        <v>191</v>
      </c>
      <c r="F453" s="19" t="s">
        <v>923</v>
      </c>
      <c r="G453" s="20">
        <v>165</v>
      </c>
      <c r="I453" s="20">
        <v>222</v>
      </c>
      <c r="J453" s="4">
        <f t="shared" si="89"/>
        <v>387</v>
      </c>
      <c r="K453" s="4">
        <f t="shared" si="84"/>
        <v>465</v>
      </c>
      <c r="L453" s="4">
        <f t="shared" si="85"/>
        <v>485</v>
      </c>
      <c r="M453" s="4">
        <f t="shared" si="86"/>
        <v>625</v>
      </c>
      <c r="N453" s="4">
        <f t="shared" si="87"/>
        <v>450</v>
      </c>
      <c r="O453" s="4">
        <f t="shared" si="88"/>
        <v>520</v>
      </c>
      <c r="P453" s="4">
        <f>IF((((Price25[Cost]*1.5)+50)/0.835)&lt;2500,
MROUND((((( Price25[Cost]*1.5)+50)/0.835)*1.05)*2,10),
MROUND((((( Price25[Cost]*1.5)+50)/0.835)*1.18)*2,10))</f>
        <v>750</v>
      </c>
      <c r="Q453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700</v>
      </c>
    </row>
    <row r="454" spans="1:17" x14ac:dyDescent="0.25">
      <c r="A454" s="1">
        <v>2026</v>
      </c>
      <c r="B454" s="18">
        <v>5083</v>
      </c>
      <c r="C454" s="19" t="s">
        <v>171</v>
      </c>
      <c r="D454" s="19" t="s">
        <v>494</v>
      </c>
      <c r="E454" s="19" t="s">
        <v>535</v>
      </c>
      <c r="F454" s="19" t="s">
        <v>536</v>
      </c>
      <c r="G454" s="20">
        <v>165</v>
      </c>
      <c r="I454" s="20">
        <v>115</v>
      </c>
      <c r="J454" s="4">
        <f t="shared" si="89"/>
        <v>280</v>
      </c>
      <c r="K454" s="4">
        <f t="shared" si="84"/>
        <v>335</v>
      </c>
      <c r="L454" s="4">
        <f t="shared" si="85"/>
        <v>350</v>
      </c>
      <c r="M454" s="4">
        <f t="shared" si="86"/>
        <v>450</v>
      </c>
      <c r="N454" s="4">
        <f t="shared" si="87"/>
        <v>325</v>
      </c>
      <c r="O454" s="4">
        <f t="shared" si="88"/>
        <v>375</v>
      </c>
      <c r="P454" s="4">
        <f>IF((((Price25[Cost]*1.5)+50)/0.835)&lt;2500,
MROUND((((( Price25[Cost]*1.5)+50)/0.835)*1.05)*2,10),
MROUND((((( Price25[Cost]*1.5)+50)/0.835)*1.18)*2,10))</f>
        <v>750</v>
      </c>
      <c r="Q454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520</v>
      </c>
    </row>
    <row r="455" spans="1:17" x14ac:dyDescent="0.25">
      <c r="A455" s="1">
        <v>2026</v>
      </c>
      <c r="B455" s="18">
        <v>5085</v>
      </c>
      <c r="C455" s="19" t="s">
        <v>171</v>
      </c>
      <c r="D455" s="19" t="s">
        <v>494</v>
      </c>
      <c r="E455" s="19" t="s">
        <v>190</v>
      </c>
      <c r="F455" s="19" t="s">
        <v>1002</v>
      </c>
      <c r="G455" s="20">
        <v>165</v>
      </c>
      <c r="I455" s="20">
        <v>90</v>
      </c>
      <c r="J455" s="4">
        <f t="shared" si="89"/>
        <v>255</v>
      </c>
      <c r="K455" s="4">
        <f t="shared" si="84"/>
        <v>305</v>
      </c>
      <c r="L455" s="4">
        <f t="shared" si="85"/>
        <v>320</v>
      </c>
      <c r="M455" s="4">
        <f t="shared" si="86"/>
        <v>425</v>
      </c>
      <c r="N455" s="4">
        <f t="shared" si="87"/>
        <v>295</v>
      </c>
      <c r="O455" s="4">
        <f t="shared" si="88"/>
        <v>345</v>
      </c>
      <c r="P455" s="4">
        <f>IF((((Price25[Cost]*1.5)+50)/0.835)&lt;2500,
MROUND((((( Price25[Cost]*1.5)+50)/0.835)*1.05)*2,10),
MROUND((((( Price25[Cost]*1.5)+50)/0.835)*1.18)*2,10))</f>
        <v>750</v>
      </c>
      <c r="Q455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500</v>
      </c>
    </row>
    <row r="456" spans="1:17" x14ac:dyDescent="0.25">
      <c r="A456" s="1">
        <v>2026</v>
      </c>
      <c r="B456" s="18">
        <v>5086</v>
      </c>
      <c r="C456" s="19" t="s">
        <v>171</v>
      </c>
      <c r="D456" s="19" t="s">
        <v>494</v>
      </c>
      <c r="E456" s="19" t="s">
        <v>191</v>
      </c>
      <c r="F456" s="19" t="s">
        <v>912</v>
      </c>
      <c r="G456" s="20">
        <v>165</v>
      </c>
      <c r="I456" s="20">
        <v>140</v>
      </c>
      <c r="J456" s="4">
        <f t="shared" si="89"/>
        <v>305</v>
      </c>
      <c r="K456" s="4">
        <f t="shared" si="84"/>
        <v>370</v>
      </c>
      <c r="L456" s="4">
        <f t="shared" si="85"/>
        <v>385</v>
      </c>
      <c r="M456" s="4">
        <f t="shared" si="86"/>
        <v>500</v>
      </c>
      <c r="N456" s="4">
        <f t="shared" si="87"/>
        <v>355</v>
      </c>
      <c r="O456" s="4">
        <f t="shared" si="88"/>
        <v>415</v>
      </c>
      <c r="P456" s="4">
        <f>IF((((Price25[Cost]*1.5)+50)/0.835)&lt;2500,
MROUND((((( Price25[Cost]*1.5)+50)/0.835)*1.05)*2,10),
MROUND((((( Price25[Cost]*1.5)+50)/0.835)*1.18)*2,10))</f>
        <v>750</v>
      </c>
      <c r="Q456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570</v>
      </c>
    </row>
    <row r="457" spans="1:17" x14ac:dyDescent="0.25">
      <c r="A457" s="1">
        <v>2026</v>
      </c>
      <c r="B457" s="18">
        <v>5087</v>
      </c>
      <c r="C457" s="19" t="s">
        <v>171</v>
      </c>
      <c r="D457" s="19" t="s">
        <v>494</v>
      </c>
      <c r="E457" s="19" t="s">
        <v>191</v>
      </c>
      <c r="F457" s="19" t="s">
        <v>913</v>
      </c>
      <c r="G457" s="20">
        <v>165</v>
      </c>
      <c r="I457" s="20">
        <v>165</v>
      </c>
      <c r="J457" s="4">
        <f t="shared" si="89"/>
        <v>330</v>
      </c>
      <c r="K457" s="4">
        <f t="shared" si="84"/>
        <v>395</v>
      </c>
      <c r="L457" s="4">
        <f t="shared" si="85"/>
        <v>415</v>
      </c>
      <c r="M457" s="4">
        <f t="shared" si="86"/>
        <v>525</v>
      </c>
      <c r="N457" s="4">
        <f t="shared" si="87"/>
        <v>385</v>
      </c>
      <c r="O457" s="4">
        <f t="shared" si="88"/>
        <v>445</v>
      </c>
      <c r="P457" s="4">
        <f>IF((((Price25[Cost]*1.5)+50)/0.835)&lt;2500,
MROUND((((( Price25[Cost]*1.5)+50)/0.835)*1.05)*2,10),
MROUND((((( Price25[Cost]*1.5)+50)/0.835)*1.18)*2,10))</f>
        <v>750</v>
      </c>
      <c r="Q457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600</v>
      </c>
    </row>
    <row r="458" spans="1:17" x14ac:dyDescent="0.25">
      <c r="A458" s="1">
        <v>2026</v>
      </c>
      <c r="B458" s="18">
        <v>5088</v>
      </c>
      <c r="C458" s="19" t="s">
        <v>171</v>
      </c>
      <c r="D458" s="19" t="s">
        <v>494</v>
      </c>
      <c r="E458" s="19" t="s">
        <v>191</v>
      </c>
      <c r="F458" s="19" t="s">
        <v>914</v>
      </c>
      <c r="G458" s="20">
        <v>165</v>
      </c>
      <c r="I458" s="20">
        <v>133</v>
      </c>
      <c r="J458" s="4">
        <f t="shared" si="89"/>
        <v>298</v>
      </c>
      <c r="K458" s="4">
        <f t="shared" si="84"/>
        <v>360</v>
      </c>
      <c r="L458" s="4">
        <f t="shared" si="85"/>
        <v>375</v>
      </c>
      <c r="M458" s="4">
        <f t="shared" si="86"/>
        <v>475</v>
      </c>
      <c r="N458" s="4">
        <f t="shared" si="87"/>
        <v>345</v>
      </c>
      <c r="O458" s="4">
        <f t="shared" si="88"/>
        <v>405</v>
      </c>
      <c r="P458" s="4">
        <f>IF((((Price25[Cost]*1.5)+50)/0.835)&lt;2500,
MROUND((((( Price25[Cost]*1.5)+50)/0.835)*1.05)*2,10),
MROUND((((( Price25[Cost]*1.5)+50)/0.835)*1.18)*2,10))</f>
        <v>750</v>
      </c>
      <c r="Q458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550</v>
      </c>
    </row>
    <row r="459" spans="1:17" x14ac:dyDescent="0.25">
      <c r="A459" s="1"/>
      <c r="B459" s="18">
        <v>5089</v>
      </c>
      <c r="C459" s="19" t="s">
        <v>171</v>
      </c>
      <c r="D459" s="19" t="s">
        <v>494</v>
      </c>
      <c r="E459" s="19"/>
      <c r="F459" s="19" t="s">
        <v>282</v>
      </c>
      <c r="G459" s="20">
        <v>155</v>
      </c>
      <c r="I459" s="20">
        <v>34</v>
      </c>
      <c r="J459" s="4">
        <f t="shared" si="89"/>
        <v>189</v>
      </c>
      <c r="K459" s="4">
        <f t="shared" si="84"/>
        <v>230</v>
      </c>
      <c r="L459" s="4">
        <f t="shared" si="85"/>
        <v>240</v>
      </c>
      <c r="M459" s="4">
        <f t="shared" si="86"/>
        <v>300</v>
      </c>
      <c r="N459" s="4">
        <f t="shared" si="87"/>
        <v>225</v>
      </c>
      <c r="O459" s="4">
        <f t="shared" si="88"/>
        <v>260</v>
      </c>
      <c r="P459" s="4">
        <f>IF((((Price25[Cost]*1.5)+50)/0.835)&lt;2500,
MROUND((((( Price25[Cost]*1.5)+50)/0.835)*1.05)*2,10),
MROUND((((( Price25[Cost]*1.5)+50)/0.835)*1.18)*2,10))</f>
        <v>710</v>
      </c>
      <c r="Q459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370</v>
      </c>
    </row>
    <row r="460" spans="1:17" x14ac:dyDescent="0.25">
      <c r="A460" s="1">
        <v>2026</v>
      </c>
      <c r="B460" s="18">
        <v>5090</v>
      </c>
      <c r="C460" s="19" t="s">
        <v>171</v>
      </c>
      <c r="D460" s="19" t="s">
        <v>494</v>
      </c>
      <c r="E460" s="19" t="s">
        <v>190</v>
      </c>
      <c r="F460" s="19" t="s">
        <v>1001</v>
      </c>
      <c r="G460" s="20">
        <v>165</v>
      </c>
      <c r="I460" s="20">
        <v>95</v>
      </c>
      <c r="J460" s="4">
        <f t="shared" si="89"/>
        <v>260</v>
      </c>
      <c r="K460" s="4">
        <f t="shared" si="84"/>
        <v>310</v>
      </c>
      <c r="L460" s="4">
        <f t="shared" si="85"/>
        <v>325</v>
      </c>
      <c r="M460" s="4">
        <f t="shared" si="86"/>
        <v>425</v>
      </c>
      <c r="N460" s="4">
        <f t="shared" si="87"/>
        <v>300</v>
      </c>
      <c r="O460" s="4">
        <f t="shared" si="88"/>
        <v>350</v>
      </c>
      <c r="P460" s="4">
        <f>IF((((Price25[Cost]*1.5)+50)/0.835)&lt;2500,
MROUND((((( Price25[Cost]*1.5)+50)/0.835)*1.05)*2,10),
MROUND((((( Price25[Cost]*1.5)+50)/0.835)*1.18)*2,10))</f>
        <v>750</v>
      </c>
      <c r="Q460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500</v>
      </c>
    </row>
    <row r="461" spans="1:17" x14ac:dyDescent="0.25">
      <c r="A461" s="1">
        <v>2026</v>
      </c>
      <c r="B461" s="18">
        <v>509</v>
      </c>
      <c r="C461" s="19" t="s">
        <v>171</v>
      </c>
      <c r="D461" s="19" t="s">
        <v>494</v>
      </c>
      <c r="E461" s="19" t="s">
        <v>864</v>
      </c>
      <c r="F461" s="19" t="s">
        <v>997</v>
      </c>
      <c r="G461" s="20">
        <v>182</v>
      </c>
      <c r="H461" s="20">
        <v>8</v>
      </c>
      <c r="I461" s="20">
        <v>15</v>
      </c>
      <c r="J461" s="4">
        <f t="shared" si="89"/>
        <v>205</v>
      </c>
      <c r="K461" s="4">
        <f t="shared" si="84"/>
        <v>250</v>
      </c>
      <c r="L461" s="4">
        <f t="shared" si="85"/>
        <v>260</v>
      </c>
      <c r="M461" s="4">
        <f t="shared" si="86"/>
        <v>325</v>
      </c>
      <c r="N461" s="4">
        <f t="shared" si="87"/>
        <v>240</v>
      </c>
      <c r="O461" s="4">
        <f t="shared" si="88"/>
        <v>280</v>
      </c>
      <c r="P461" s="4">
        <f>IF((((Price25[Cost]*1.5)+50)/0.835)&lt;2500,
MROUND((((( Price25[Cost]*1.5)+50)/0.835)*1.05)*2,10),
MROUND((((( Price25[Cost]*1.5)+50)/0.835)*1.18)*2,10))</f>
        <v>810</v>
      </c>
      <c r="Q461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400</v>
      </c>
    </row>
    <row r="462" spans="1:17" x14ac:dyDescent="0.25">
      <c r="A462" s="1">
        <v>2026</v>
      </c>
      <c r="B462" s="18">
        <v>5091</v>
      </c>
      <c r="C462" s="19" t="s">
        <v>171</v>
      </c>
      <c r="D462" s="19" t="s">
        <v>494</v>
      </c>
      <c r="E462" s="19" t="s">
        <v>249</v>
      </c>
      <c r="F462" s="19" t="s">
        <v>973</v>
      </c>
      <c r="G462" s="20">
        <v>155</v>
      </c>
      <c r="I462" s="20">
        <v>130</v>
      </c>
      <c r="J462" s="4">
        <f t="shared" si="89"/>
        <v>285</v>
      </c>
      <c r="K462" s="4">
        <f t="shared" si="84"/>
        <v>345</v>
      </c>
      <c r="L462" s="4">
        <f t="shared" si="85"/>
        <v>360</v>
      </c>
      <c r="M462" s="4">
        <f t="shared" si="86"/>
        <v>450</v>
      </c>
      <c r="N462" s="4">
        <f t="shared" si="87"/>
        <v>335</v>
      </c>
      <c r="O462" s="4">
        <f t="shared" si="88"/>
        <v>390</v>
      </c>
      <c r="P462" s="4">
        <f>IF((((Price25[Cost]*1.5)+50)/0.835)&lt;2500,
MROUND((((( Price25[Cost]*1.5)+50)/0.835)*1.05)*2,10),
MROUND((((( Price25[Cost]*1.5)+50)/0.835)*1.18)*2,10))</f>
        <v>710</v>
      </c>
      <c r="Q462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520</v>
      </c>
    </row>
    <row r="463" spans="1:17" x14ac:dyDescent="0.25">
      <c r="A463" s="1">
        <v>2026</v>
      </c>
      <c r="B463" s="18">
        <v>5092</v>
      </c>
      <c r="C463" s="19" t="s">
        <v>171</v>
      </c>
      <c r="D463" s="19" t="s">
        <v>494</v>
      </c>
      <c r="E463" s="19" t="s">
        <v>190</v>
      </c>
      <c r="F463" s="19" t="s">
        <v>1003</v>
      </c>
      <c r="G463" s="20">
        <v>225</v>
      </c>
      <c r="I463" s="20">
        <v>65</v>
      </c>
      <c r="J463" s="4">
        <f t="shared" si="89"/>
        <v>290</v>
      </c>
      <c r="K463" s="4">
        <f t="shared" si="84"/>
        <v>350</v>
      </c>
      <c r="L463" s="4">
        <f t="shared" si="85"/>
        <v>365</v>
      </c>
      <c r="M463" s="4">
        <f t="shared" si="86"/>
        <v>475</v>
      </c>
      <c r="N463" s="4">
        <f t="shared" si="87"/>
        <v>340</v>
      </c>
      <c r="O463" s="4">
        <f t="shared" si="88"/>
        <v>395</v>
      </c>
      <c r="P463" s="4">
        <f>IF((((Price25[Cost]*1.5)+50)/0.835)&lt;2500,
MROUND((((( Price25[Cost]*1.5)+50)/0.835)*1.05)*2,10),
MROUND((((( Price25[Cost]*1.5)+50)/0.835)*1.18)*2,10))</f>
        <v>970</v>
      </c>
      <c r="Q463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550</v>
      </c>
    </row>
    <row r="464" spans="1:17" x14ac:dyDescent="0.25">
      <c r="A464" s="1">
        <v>2026</v>
      </c>
      <c r="B464" s="18">
        <v>5093</v>
      </c>
      <c r="C464" s="19" t="s">
        <v>171</v>
      </c>
      <c r="D464" s="19" t="s">
        <v>494</v>
      </c>
      <c r="E464" s="19" t="s">
        <v>190</v>
      </c>
      <c r="F464" s="19" t="s">
        <v>1000</v>
      </c>
      <c r="G464" s="20">
        <v>165</v>
      </c>
      <c r="I464" s="20">
        <v>65</v>
      </c>
      <c r="J464" s="4">
        <f t="shared" si="89"/>
        <v>230</v>
      </c>
      <c r="K464" s="4">
        <f t="shared" si="84"/>
        <v>280</v>
      </c>
      <c r="L464" s="4">
        <f t="shared" si="85"/>
        <v>290</v>
      </c>
      <c r="M464" s="4">
        <f t="shared" si="86"/>
        <v>375</v>
      </c>
      <c r="N464" s="4">
        <f t="shared" si="87"/>
        <v>270</v>
      </c>
      <c r="O464" s="4">
        <f t="shared" si="88"/>
        <v>315</v>
      </c>
      <c r="P464" s="4">
        <f>IF((((Price25[Cost]*1.5)+50)/0.835)&lt;2500,
MROUND((((( Price25[Cost]*1.5)+50)/0.835)*1.05)*2,10),
MROUND((((( Price25[Cost]*1.5)+50)/0.835)*1.18)*2,10))</f>
        <v>750</v>
      </c>
      <c r="Q464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450</v>
      </c>
    </row>
    <row r="465" spans="1:17" x14ac:dyDescent="0.25">
      <c r="A465" s="1">
        <v>2026</v>
      </c>
      <c r="B465" s="18">
        <v>5094</v>
      </c>
      <c r="C465" s="19" t="s">
        <v>171</v>
      </c>
      <c r="D465" s="19" t="s">
        <v>494</v>
      </c>
      <c r="E465" s="19" t="s">
        <v>191</v>
      </c>
      <c r="F465" s="19" t="s">
        <v>915</v>
      </c>
      <c r="G465" s="20">
        <v>165</v>
      </c>
      <c r="I465" s="20">
        <v>190</v>
      </c>
      <c r="J465" s="4">
        <f t="shared" si="89"/>
        <v>355</v>
      </c>
      <c r="K465" s="4">
        <f t="shared" si="84"/>
        <v>425</v>
      </c>
      <c r="L465" s="4">
        <f t="shared" si="85"/>
        <v>445</v>
      </c>
      <c r="M465" s="4">
        <f t="shared" si="86"/>
        <v>575</v>
      </c>
      <c r="N465" s="4">
        <f t="shared" si="87"/>
        <v>410</v>
      </c>
      <c r="O465" s="4">
        <f t="shared" si="88"/>
        <v>480</v>
      </c>
      <c r="P465" s="4">
        <f>IF((((Price25[Cost]*1.5)+50)/0.835)&lt;2500,
MROUND((((( Price25[Cost]*1.5)+50)/0.835)*1.05)*2,10),
MROUND((((( Price25[Cost]*1.5)+50)/0.835)*1.18)*2,10))</f>
        <v>750</v>
      </c>
      <c r="Q465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650</v>
      </c>
    </row>
    <row r="466" spans="1:17" x14ac:dyDescent="0.25">
      <c r="A466" s="1">
        <v>2026</v>
      </c>
      <c r="B466" s="18">
        <v>510</v>
      </c>
      <c r="C466" s="19" t="s">
        <v>171</v>
      </c>
      <c r="D466" s="19" t="s">
        <v>494</v>
      </c>
      <c r="E466" s="19" t="s">
        <v>237</v>
      </c>
      <c r="F466" s="19" t="s">
        <v>46</v>
      </c>
      <c r="G466" s="20">
        <v>165</v>
      </c>
      <c r="I466" s="20">
        <v>15</v>
      </c>
      <c r="J466" s="4">
        <f t="shared" si="89"/>
        <v>180</v>
      </c>
      <c r="K466" s="4">
        <f t="shared" si="84"/>
        <v>215</v>
      </c>
      <c r="L466" s="4">
        <f t="shared" si="85"/>
        <v>225</v>
      </c>
      <c r="M466" s="4">
        <f t="shared" si="86"/>
        <v>300</v>
      </c>
      <c r="N466" s="4">
        <f t="shared" si="87"/>
        <v>210</v>
      </c>
      <c r="O466" s="4">
        <f t="shared" si="88"/>
        <v>245</v>
      </c>
      <c r="P466" s="4">
        <f>IF((((Price25[Cost]*1.5)+50)/0.835)&lt;2500,
MROUND((((( Price25[Cost]*1.5)+50)/0.835)*1.05)*2,10),
MROUND((((( Price25[Cost]*1.5)+50)/0.835)*1.18)*2,10))</f>
        <v>750</v>
      </c>
      <c r="Q466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370</v>
      </c>
    </row>
    <row r="467" spans="1:17" x14ac:dyDescent="0.25">
      <c r="A467" s="1"/>
      <c r="B467" s="18">
        <v>5101</v>
      </c>
      <c r="C467" s="19" t="s">
        <v>171</v>
      </c>
      <c r="D467" s="19" t="s">
        <v>494</v>
      </c>
      <c r="E467" s="19" t="s">
        <v>379</v>
      </c>
      <c r="F467" s="19" t="s">
        <v>389</v>
      </c>
      <c r="G467" s="20">
        <v>235</v>
      </c>
      <c r="I467" s="20">
        <v>15</v>
      </c>
      <c r="J467" s="4">
        <f t="shared" si="89"/>
        <v>250</v>
      </c>
      <c r="K467" s="4">
        <f t="shared" si="84"/>
        <v>300</v>
      </c>
      <c r="L467" s="4">
        <f t="shared" si="85"/>
        <v>315</v>
      </c>
      <c r="M467" s="4">
        <f t="shared" si="86"/>
        <v>400</v>
      </c>
      <c r="N467" s="4">
        <f t="shared" si="87"/>
        <v>290</v>
      </c>
      <c r="O467" s="4">
        <f t="shared" si="88"/>
        <v>340</v>
      </c>
      <c r="P467" s="4">
        <f>IF((((Price25[Cost]*1.5)+50)/0.835)&lt;2500,
MROUND((((( Price25[Cost]*1.5)+50)/0.835)*1.05)*2,10),
MROUND((((( Price25[Cost]*1.5)+50)/0.835)*1.18)*2,10))</f>
        <v>1010</v>
      </c>
      <c r="Q467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470</v>
      </c>
    </row>
    <row r="468" spans="1:17" x14ac:dyDescent="0.25">
      <c r="A468" s="1"/>
      <c r="B468" s="18">
        <v>5102</v>
      </c>
      <c r="C468" s="19" t="s">
        <v>171</v>
      </c>
      <c r="D468" s="19" t="s">
        <v>494</v>
      </c>
      <c r="E468" s="19" t="s">
        <v>379</v>
      </c>
      <c r="F468" s="19" t="s">
        <v>390</v>
      </c>
      <c r="G468" s="20">
        <v>235</v>
      </c>
      <c r="I468" s="20">
        <v>15</v>
      </c>
      <c r="J468" s="4">
        <f t="shared" si="89"/>
        <v>250</v>
      </c>
      <c r="K468" s="4">
        <f t="shared" si="84"/>
        <v>300</v>
      </c>
      <c r="L468" s="4">
        <f t="shared" si="85"/>
        <v>315</v>
      </c>
      <c r="M468" s="4">
        <f t="shared" si="86"/>
        <v>400</v>
      </c>
      <c r="N468" s="4">
        <f t="shared" si="87"/>
        <v>290</v>
      </c>
      <c r="O468" s="4">
        <f t="shared" si="88"/>
        <v>340</v>
      </c>
      <c r="P468" s="4">
        <f>IF((((Price25[Cost]*1.5)+50)/0.835)&lt;2500,
MROUND((((( Price25[Cost]*1.5)+50)/0.835)*1.05)*2,10),
MROUND((((( Price25[Cost]*1.5)+50)/0.835)*1.18)*2,10))</f>
        <v>1010</v>
      </c>
      <c r="Q468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470</v>
      </c>
    </row>
    <row r="469" spans="1:17" x14ac:dyDescent="0.25">
      <c r="A469" s="1"/>
      <c r="B469" s="18">
        <v>5103</v>
      </c>
      <c r="C469" s="19" t="s">
        <v>171</v>
      </c>
      <c r="D469" s="19" t="s">
        <v>494</v>
      </c>
      <c r="E469" s="19" t="s">
        <v>379</v>
      </c>
      <c r="F469" s="19" t="s">
        <v>391</v>
      </c>
      <c r="G469" s="20">
        <v>230</v>
      </c>
      <c r="I469" s="20">
        <v>15</v>
      </c>
      <c r="J469" s="4">
        <f t="shared" si="89"/>
        <v>245</v>
      </c>
      <c r="K469" s="4">
        <f t="shared" si="84"/>
        <v>295</v>
      </c>
      <c r="L469" s="4">
        <f t="shared" si="85"/>
        <v>310</v>
      </c>
      <c r="M469" s="4">
        <f t="shared" si="86"/>
        <v>400</v>
      </c>
      <c r="N469" s="4">
        <f t="shared" si="87"/>
        <v>290</v>
      </c>
      <c r="O469" s="4">
        <f t="shared" si="88"/>
        <v>335</v>
      </c>
      <c r="P469" s="4">
        <f>IF((((Price25[Cost]*1.5)+50)/0.835)&lt;2500,
MROUND((((( Price25[Cost]*1.5)+50)/0.835)*1.05)*2,10),
MROUND((((( Price25[Cost]*1.5)+50)/0.835)*1.18)*2,10))</f>
        <v>990</v>
      </c>
      <c r="Q469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470</v>
      </c>
    </row>
    <row r="470" spans="1:17" x14ac:dyDescent="0.25">
      <c r="A470" s="1"/>
      <c r="B470" s="18">
        <v>512</v>
      </c>
      <c r="C470" s="19" t="s">
        <v>171</v>
      </c>
      <c r="D470" s="19" t="s">
        <v>494</v>
      </c>
      <c r="E470" s="19" t="s">
        <v>278</v>
      </c>
      <c r="F470" s="19" t="s">
        <v>295</v>
      </c>
      <c r="G470" s="20">
        <v>375</v>
      </c>
      <c r="I470" s="20">
        <v>12</v>
      </c>
      <c r="J470" s="4">
        <f t="shared" si="89"/>
        <v>387</v>
      </c>
      <c r="K470" s="4">
        <f t="shared" si="84"/>
        <v>465</v>
      </c>
      <c r="L470" s="4">
        <f t="shared" si="85"/>
        <v>485</v>
      </c>
      <c r="M470" s="4">
        <f t="shared" si="86"/>
        <v>625</v>
      </c>
      <c r="N470" s="4">
        <f t="shared" si="87"/>
        <v>450</v>
      </c>
      <c r="O470" s="4">
        <f t="shared" si="88"/>
        <v>520</v>
      </c>
      <c r="P470" s="4">
        <f>IF((((Price25[Cost]*1.5)+50)/0.835)&lt;2500,
MROUND((((( Price25[Cost]*1.5)+50)/0.835)*1.05)*2,10),
MROUND((((( Price25[Cost]*1.5)+50)/0.835)*1.18)*2,10))</f>
        <v>1540</v>
      </c>
      <c r="Q470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700</v>
      </c>
    </row>
    <row r="471" spans="1:17" x14ac:dyDescent="0.25">
      <c r="A471" s="1"/>
      <c r="B471" s="18">
        <v>515</v>
      </c>
      <c r="C471" s="19" t="s">
        <v>171</v>
      </c>
      <c r="D471" s="19" t="s">
        <v>494</v>
      </c>
      <c r="E471" s="19" t="s">
        <v>160</v>
      </c>
      <c r="F471" s="19" t="s">
        <v>159</v>
      </c>
      <c r="G471" s="20">
        <v>145</v>
      </c>
      <c r="I471" s="20">
        <v>12</v>
      </c>
      <c r="J471" s="4">
        <f t="shared" si="89"/>
        <v>157</v>
      </c>
      <c r="K471" s="4">
        <f t="shared" si="84"/>
        <v>190</v>
      </c>
      <c r="L471" s="4">
        <f t="shared" si="85"/>
        <v>200</v>
      </c>
      <c r="M471" s="4">
        <f t="shared" si="86"/>
        <v>250</v>
      </c>
      <c r="N471" s="4">
        <f t="shared" si="87"/>
        <v>185</v>
      </c>
      <c r="O471" s="4">
        <f t="shared" si="88"/>
        <v>215</v>
      </c>
      <c r="P471" s="4">
        <f>IF((((Price25[Cost]*1.5)+50)/0.835)&lt;2500,
MROUND((((( Price25[Cost]*1.5)+50)/0.835)*1.05)*2,10),
MROUND((((( Price25[Cost]*1.5)+50)/0.835)*1.18)*2,10))</f>
        <v>670</v>
      </c>
      <c r="Q471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320</v>
      </c>
    </row>
    <row r="472" spans="1:17" x14ac:dyDescent="0.25">
      <c r="A472" s="1">
        <v>2026</v>
      </c>
      <c r="B472" s="18">
        <v>516</v>
      </c>
      <c r="C472" s="19" t="s">
        <v>171</v>
      </c>
      <c r="D472" s="19" t="s">
        <v>494</v>
      </c>
      <c r="E472" s="19" t="s">
        <v>864</v>
      </c>
      <c r="F472" s="19" t="s">
        <v>890</v>
      </c>
      <c r="G472" s="20">
        <v>232</v>
      </c>
      <c r="H472" s="20">
        <v>8</v>
      </c>
      <c r="I472" s="20">
        <v>15</v>
      </c>
      <c r="J472" s="4">
        <f t="shared" si="89"/>
        <v>255</v>
      </c>
      <c r="K472" s="4">
        <f t="shared" si="84"/>
        <v>305</v>
      </c>
      <c r="L472" s="4">
        <f t="shared" si="85"/>
        <v>320</v>
      </c>
      <c r="M472" s="4">
        <f t="shared" si="86"/>
        <v>425</v>
      </c>
      <c r="N472" s="4">
        <f t="shared" si="87"/>
        <v>295</v>
      </c>
      <c r="O472" s="4">
        <f t="shared" si="88"/>
        <v>345</v>
      </c>
      <c r="P472" s="4">
        <f>IF((((Price25[Cost]*1.5)+50)/0.835)&lt;2500,
MROUND((((( Price25[Cost]*1.5)+50)/0.835)*1.05)*2,10),
MROUND((((( Price25[Cost]*1.5)+50)/0.835)*1.18)*2,10))</f>
        <v>1000</v>
      </c>
      <c r="Q472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500</v>
      </c>
    </row>
    <row r="473" spans="1:17" x14ac:dyDescent="0.25">
      <c r="A473" s="1"/>
      <c r="B473" s="18">
        <v>520</v>
      </c>
      <c r="C473" s="19" t="s">
        <v>171</v>
      </c>
      <c r="D473" s="19" t="s">
        <v>494</v>
      </c>
      <c r="E473" s="19" t="s">
        <v>80</v>
      </c>
      <c r="F473" s="19" t="s">
        <v>170</v>
      </c>
      <c r="G473" s="20">
        <v>270</v>
      </c>
      <c r="I473" s="20">
        <v>12</v>
      </c>
      <c r="J473" s="4">
        <f t="shared" si="89"/>
        <v>282</v>
      </c>
      <c r="K473" s="4">
        <f t="shared" si="84"/>
        <v>340</v>
      </c>
      <c r="L473" s="4">
        <f t="shared" si="85"/>
        <v>355</v>
      </c>
      <c r="M473" s="4">
        <f t="shared" si="86"/>
        <v>450</v>
      </c>
      <c r="N473" s="4">
        <f t="shared" si="87"/>
        <v>330</v>
      </c>
      <c r="O473" s="4">
        <f t="shared" si="88"/>
        <v>380</v>
      </c>
      <c r="P473" s="4">
        <f>IF((((Price25[Cost]*1.5)+50)/0.835)&lt;2500,
MROUND((((( Price25[Cost]*1.5)+50)/0.835)*1.05)*2,10),
MROUND((((( Price25[Cost]*1.5)+50)/0.835)*1.18)*2,10))</f>
        <v>1140</v>
      </c>
      <c r="Q473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520</v>
      </c>
    </row>
    <row r="474" spans="1:17" x14ac:dyDescent="0.25">
      <c r="A474" s="1"/>
      <c r="B474" s="18">
        <v>5201</v>
      </c>
      <c r="C474" s="19" t="s">
        <v>501</v>
      </c>
      <c r="D474" s="19" t="s">
        <v>494</v>
      </c>
      <c r="E474" s="19" t="s">
        <v>80</v>
      </c>
      <c r="F474" s="19" t="s">
        <v>172</v>
      </c>
      <c r="G474" s="20">
        <v>210</v>
      </c>
      <c r="I474" s="20">
        <v>12</v>
      </c>
      <c r="J474" s="4">
        <f t="shared" si="89"/>
        <v>222</v>
      </c>
      <c r="K474" s="4">
        <f t="shared" si="84"/>
        <v>270</v>
      </c>
      <c r="L474" s="4">
        <f t="shared" si="85"/>
        <v>280</v>
      </c>
      <c r="M474" s="4">
        <f t="shared" si="86"/>
        <v>350</v>
      </c>
      <c r="N474" s="4">
        <f t="shared" si="87"/>
        <v>260</v>
      </c>
      <c r="O474" s="4">
        <f t="shared" si="88"/>
        <v>300</v>
      </c>
      <c r="P474" s="4">
        <f>IF((((Price25[Cost]*1.5)+50)/0.835)&lt;2500,
MROUND((((( Price25[Cost]*1.5)+50)/0.835)*1.05)*2,10),
MROUND((((( Price25[Cost]*1.5)+50)/0.835)*1.18)*2,10))</f>
        <v>920</v>
      </c>
      <c r="Q474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420</v>
      </c>
    </row>
    <row r="475" spans="1:17" x14ac:dyDescent="0.25">
      <c r="A475" s="1">
        <v>2026</v>
      </c>
      <c r="B475" s="18">
        <v>522</v>
      </c>
      <c r="C475" s="19" t="s">
        <v>171</v>
      </c>
      <c r="D475" s="19" t="s">
        <v>494</v>
      </c>
      <c r="E475" s="19" t="s">
        <v>673</v>
      </c>
      <c r="F475" s="19" t="s">
        <v>840</v>
      </c>
      <c r="G475" s="20">
        <v>195</v>
      </c>
      <c r="I475" s="20">
        <v>15</v>
      </c>
      <c r="J475" s="4">
        <f t="shared" si="89"/>
        <v>210</v>
      </c>
      <c r="K475" s="4">
        <f t="shared" si="84"/>
        <v>255</v>
      </c>
      <c r="L475" s="4">
        <f t="shared" si="85"/>
        <v>265</v>
      </c>
      <c r="M475" s="4">
        <f t="shared" si="86"/>
        <v>350</v>
      </c>
      <c r="N475" s="4">
        <f t="shared" si="87"/>
        <v>245</v>
      </c>
      <c r="O475" s="4">
        <f t="shared" si="88"/>
        <v>285</v>
      </c>
      <c r="P475" s="4">
        <f>IF((((Price25[Cost]*1.5)+50)/0.835)&lt;2500,
MROUND((((( Price25[Cost]*1.5)+50)/0.835)*1.05)*2,10),
MROUND((((( Price25[Cost]*1.5)+50)/0.835)*1.18)*2,10))</f>
        <v>860</v>
      </c>
      <c r="Q475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420</v>
      </c>
    </row>
    <row r="476" spans="1:17" x14ac:dyDescent="0.25">
      <c r="A476" s="1">
        <v>2026</v>
      </c>
      <c r="B476" s="18">
        <v>5221</v>
      </c>
      <c r="C476" s="19" t="s">
        <v>171</v>
      </c>
      <c r="D476" s="19" t="s">
        <v>494</v>
      </c>
      <c r="E476" s="19" t="s">
        <v>779</v>
      </c>
      <c r="F476" s="19" t="s">
        <v>781</v>
      </c>
      <c r="G476" s="20">
        <v>375</v>
      </c>
      <c r="I476" s="20">
        <v>25</v>
      </c>
      <c r="J476" s="4">
        <f>IF(SUMIF(G476:I476,"&lt;&gt;")=0,"",SUM(G476:I476))</f>
        <v>400</v>
      </c>
      <c r="K476" s="4">
        <f t="shared" si="84"/>
        <v>475</v>
      </c>
      <c r="L476" s="4">
        <f t="shared" si="85"/>
        <v>500</v>
      </c>
      <c r="M476" s="4">
        <f t="shared" si="86"/>
        <v>650</v>
      </c>
      <c r="N476" s="4">
        <f t="shared" si="87"/>
        <v>460</v>
      </c>
      <c r="O476" s="4">
        <f t="shared" si="88"/>
        <v>535</v>
      </c>
      <c r="P476" s="4">
        <f>IF((((Price25[Cost]*1.5)+50)/0.835)&lt;2500,
MROUND((((( Price25[Cost]*1.5)+50)/0.835)*1.05)*2,10),
MROUND((((( Price25[Cost]*1.5)+50)/0.835)*1.18)*2,10))</f>
        <v>1540</v>
      </c>
      <c r="Q476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720</v>
      </c>
    </row>
    <row r="477" spans="1:17" x14ac:dyDescent="0.25">
      <c r="A477" s="1">
        <v>2026</v>
      </c>
      <c r="B477" s="18">
        <v>5222</v>
      </c>
      <c r="C477" s="19" t="s">
        <v>171</v>
      </c>
      <c r="D477" s="19" t="s">
        <v>494</v>
      </c>
      <c r="E477" s="19" t="s">
        <v>673</v>
      </c>
      <c r="F477" s="19" t="s">
        <v>845</v>
      </c>
      <c r="G477" s="20">
        <v>250</v>
      </c>
      <c r="I477" s="20">
        <v>12</v>
      </c>
      <c r="J477" s="4">
        <f t="shared" ref="J477:J485" si="90">IF(SUMIF(G477:I477,"&lt;&gt;")=0,"",SUM(G477:I477))</f>
        <v>262</v>
      </c>
      <c r="K477" s="4">
        <f t="shared" ref="K477:K485" si="91">IF(ISNUMBER(L477),
   IF(CEILING(ROUND(L477*0.95,2),5)=420,
      425,
      CEILING(ROUND(L477*0.95,2),5)
   ),
   ""
)</f>
        <v>315</v>
      </c>
      <c r="L477" s="4">
        <f t="shared" ref="L477:L485" si="92">IF(AND(ISNUMBER(J477),ISNUMBER(G477)),
   IF(CEILING(ROUND(J477*1.25,2),5)=420,
      425,
      CEILING(ROUND(J477*1.25,2),5)
   ),
   ""
)</f>
        <v>330</v>
      </c>
      <c r="M477" s="4">
        <f t="shared" ref="M477:M485" si="93">IF(AND(ISNUMBER(J477),ISNUMBER(G477)),
   IF(
      CEILING(
         ROUND((J477*1.5) * IF(J477*1.5 &lt;= 2500, 1.05, 1.18), 2),
         IF(ROUND((J477*1.5) * IF(J477*1.5 &lt;= 2500, 1.05, 1.18), 2) &lt; 2500, 25, 50)
      )=420,
      425,
      CEILING(
         ROUND((J477*1.5) * IF(J477*1.5 &lt;= 2500, 1.05, 1.18), 2),
         IF(ROUND((J477*1.5) * IF(J477*1.5 &lt;= 2500, 1.05, 1.18), 2) &lt; 2500, 25, 50)
      )
   ),
   ""
)</f>
        <v>425</v>
      </c>
      <c r="N477" s="4">
        <f t="shared" ref="N477:N485" si="94">IF(ISNUMBER(G477),
   IF(CEILING(ROUND(L477*0.92,2),5)=420,
      425,
      CEILING(ROUND(L477*0.92,2),5)
   ),
   ""
)</f>
        <v>305</v>
      </c>
      <c r="O477" s="4">
        <f t="shared" ref="O477:O485" si="95">IF(ISNUMBER(L477),
   IF(CEILING(ROUND(L477*1.07,2),5)=420,
      425,
      CEILING(ROUND(L477*1.07,2),5)
   ),
   ""
)</f>
        <v>355</v>
      </c>
      <c r="P477" s="4">
        <f>IF((((Price25[Cost]*1.5)+50)/0.835)&lt;2500,
MROUND((((( Price25[Cost]*1.5)+50)/0.835)*1.05)*2,10),
MROUND((((( Price25[Cost]*1.5)+50)/0.835)*1.18)*2,10))</f>
        <v>1070</v>
      </c>
      <c r="Q477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500</v>
      </c>
    </row>
    <row r="478" spans="1:17" x14ac:dyDescent="0.25">
      <c r="A478" s="1">
        <v>2026</v>
      </c>
      <c r="B478" s="18">
        <v>5223</v>
      </c>
      <c r="C478" s="19" t="s">
        <v>171</v>
      </c>
      <c r="D478" s="19" t="s">
        <v>494</v>
      </c>
      <c r="E478" s="19" t="s">
        <v>673</v>
      </c>
      <c r="F478" s="19" t="s">
        <v>846</v>
      </c>
      <c r="G478" s="20">
        <v>305</v>
      </c>
      <c r="I478" s="20">
        <v>12</v>
      </c>
      <c r="J478" s="4">
        <f t="shared" si="90"/>
        <v>317</v>
      </c>
      <c r="K478" s="4">
        <f t="shared" si="91"/>
        <v>380</v>
      </c>
      <c r="L478" s="4">
        <f t="shared" si="92"/>
        <v>400</v>
      </c>
      <c r="M478" s="4">
        <f t="shared" si="93"/>
        <v>500</v>
      </c>
      <c r="N478" s="4">
        <f t="shared" si="94"/>
        <v>370</v>
      </c>
      <c r="O478" s="4">
        <f t="shared" si="95"/>
        <v>430</v>
      </c>
      <c r="P478" s="4">
        <f>IF((((Price25[Cost]*1.5)+50)/0.835)&lt;2500,
MROUND((((( Price25[Cost]*1.5)+50)/0.835)*1.05)*2,10),
MROUND((((( Price25[Cost]*1.5)+50)/0.835)*1.18)*2,10))</f>
        <v>1280</v>
      </c>
      <c r="Q478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570</v>
      </c>
    </row>
    <row r="479" spans="1:17" x14ac:dyDescent="0.25">
      <c r="A479" s="1">
        <v>2026</v>
      </c>
      <c r="B479" s="18">
        <v>5224</v>
      </c>
      <c r="C479" s="19" t="s">
        <v>171</v>
      </c>
      <c r="D479" s="19" t="s">
        <v>494</v>
      </c>
      <c r="E479" s="19" t="s">
        <v>673</v>
      </c>
      <c r="F479" s="19" t="s">
        <v>847</v>
      </c>
      <c r="G479" s="20">
        <v>220</v>
      </c>
      <c r="I479" s="20">
        <v>12</v>
      </c>
      <c r="J479" s="4">
        <f t="shared" si="90"/>
        <v>232</v>
      </c>
      <c r="K479" s="4">
        <f t="shared" si="91"/>
        <v>280</v>
      </c>
      <c r="L479" s="4">
        <f t="shared" si="92"/>
        <v>290</v>
      </c>
      <c r="M479" s="4">
        <f t="shared" si="93"/>
        <v>375</v>
      </c>
      <c r="N479" s="4">
        <f t="shared" si="94"/>
        <v>270</v>
      </c>
      <c r="O479" s="4">
        <f t="shared" si="95"/>
        <v>315</v>
      </c>
      <c r="P479" s="4">
        <f>IF((((Price25[Cost]*1.5)+50)/0.835)&lt;2500,
MROUND((((( Price25[Cost]*1.5)+50)/0.835)*1.05)*2,10),
MROUND((((( Price25[Cost]*1.5)+50)/0.835)*1.18)*2,10))</f>
        <v>960</v>
      </c>
      <c r="Q479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450</v>
      </c>
    </row>
    <row r="480" spans="1:17" x14ac:dyDescent="0.25">
      <c r="A480" s="1">
        <v>2026</v>
      </c>
      <c r="B480" s="18">
        <v>5225</v>
      </c>
      <c r="C480" s="19" t="s">
        <v>171</v>
      </c>
      <c r="D480" s="19" t="s">
        <v>494</v>
      </c>
      <c r="E480" s="19" t="s">
        <v>673</v>
      </c>
      <c r="F480" s="19" t="s">
        <v>848</v>
      </c>
      <c r="G480" s="20">
        <v>250</v>
      </c>
      <c r="I480" s="20">
        <v>12</v>
      </c>
      <c r="J480" s="4">
        <f t="shared" si="90"/>
        <v>262</v>
      </c>
      <c r="K480" s="4">
        <f t="shared" si="91"/>
        <v>315</v>
      </c>
      <c r="L480" s="4">
        <f t="shared" si="92"/>
        <v>330</v>
      </c>
      <c r="M480" s="4">
        <f t="shared" si="93"/>
        <v>425</v>
      </c>
      <c r="N480" s="4">
        <f t="shared" si="94"/>
        <v>305</v>
      </c>
      <c r="O480" s="4">
        <f t="shared" si="95"/>
        <v>355</v>
      </c>
      <c r="P480" s="4">
        <f>IF((((Price25[Cost]*1.5)+50)/0.835)&lt;2500,
MROUND((((( Price25[Cost]*1.5)+50)/0.835)*1.05)*2,10),
MROUND((((( Price25[Cost]*1.5)+50)/0.835)*1.18)*2,10))</f>
        <v>1070</v>
      </c>
      <c r="Q480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500</v>
      </c>
    </row>
    <row r="481" spans="1:17" x14ac:dyDescent="0.25">
      <c r="A481" s="1">
        <v>2026</v>
      </c>
      <c r="B481" s="18">
        <v>5226</v>
      </c>
      <c r="C481" s="19" t="s">
        <v>171</v>
      </c>
      <c r="D481" s="19" t="s">
        <v>494</v>
      </c>
      <c r="E481" s="19" t="s">
        <v>673</v>
      </c>
      <c r="F481" s="19" t="s">
        <v>849</v>
      </c>
      <c r="G481" s="20">
        <v>395</v>
      </c>
      <c r="I481" s="20">
        <v>12</v>
      </c>
      <c r="J481" s="4">
        <f t="shared" si="90"/>
        <v>407</v>
      </c>
      <c r="K481" s="4">
        <f t="shared" si="91"/>
        <v>485</v>
      </c>
      <c r="L481" s="4">
        <f t="shared" si="92"/>
        <v>510</v>
      </c>
      <c r="M481" s="4">
        <f t="shared" si="93"/>
        <v>650</v>
      </c>
      <c r="N481" s="4">
        <f t="shared" si="94"/>
        <v>470</v>
      </c>
      <c r="O481" s="4">
        <f t="shared" si="95"/>
        <v>550</v>
      </c>
      <c r="P481" s="4">
        <f>IF((((Price25[Cost]*1.5)+50)/0.835)&lt;2500,
MROUND((((( Price25[Cost]*1.5)+50)/0.835)*1.05)*2,10),
MROUND((((( Price25[Cost]*1.5)+50)/0.835)*1.18)*2,10))</f>
        <v>1620</v>
      </c>
      <c r="Q481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720</v>
      </c>
    </row>
    <row r="482" spans="1:17" x14ac:dyDescent="0.25">
      <c r="A482" s="1">
        <v>2026</v>
      </c>
      <c r="B482" s="18">
        <v>5227</v>
      </c>
      <c r="C482" s="19" t="s">
        <v>171</v>
      </c>
      <c r="D482" s="19" t="s">
        <v>494</v>
      </c>
      <c r="E482" s="19" t="s">
        <v>673</v>
      </c>
      <c r="F482" s="19" t="s">
        <v>850</v>
      </c>
      <c r="G482" s="20">
        <v>365</v>
      </c>
      <c r="I482" s="20">
        <v>12</v>
      </c>
      <c r="J482" s="4">
        <f t="shared" si="90"/>
        <v>377</v>
      </c>
      <c r="K482" s="4">
        <f t="shared" si="91"/>
        <v>455</v>
      </c>
      <c r="L482" s="4">
        <f t="shared" si="92"/>
        <v>475</v>
      </c>
      <c r="M482" s="4">
        <f t="shared" si="93"/>
        <v>600</v>
      </c>
      <c r="N482" s="4">
        <f t="shared" si="94"/>
        <v>440</v>
      </c>
      <c r="O482" s="4">
        <f t="shared" si="95"/>
        <v>510</v>
      </c>
      <c r="P482" s="4">
        <f>IF((((Price25[Cost]*1.5)+50)/0.835)&lt;2500,
MROUND((((( Price25[Cost]*1.5)+50)/0.835)*1.05)*2,10),
MROUND((((( Price25[Cost]*1.5)+50)/0.835)*1.18)*2,10))</f>
        <v>1500</v>
      </c>
      <c r="Q482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670</v>
      </c>
    </row>
    <row r="483" spans="1:17" x14ac:dyDescent="0.25">
      <c r="A483" s="1">
        <v>2026</v>
      </c>
      <c r="B483" s="18">
        <v>5228</v>
      </c>
      <c r="C483" s="19" t="s">
        <v>171</v>
      </c>
      <c r="D483" s="19" t="s">
        <v>494</v>
      </c>
      <c r="E483" s="19" t="s">
        <v>673</v>
      </c>
      <c r="F483" s="19" t="s">
        <v>851</v>
      </c>
      <c r="G483" s="20">
        <v>415</v>
      </c>
      <c r="I483" s="20">
        <v>12</v>
      </c>
      <c r="J483" s="4">
        <f t="shared" si="90"/>
        <v>427</v>
      </c>
      <c r="K483" s="4">
        <f t="shared" si="91"/>
        <v>510</v>
      </c>
      <c r="L483" s="4">
        <f t="shared" si="92"/>
        <v>535</v>
      </c>
      <c r="M483" s="4">
        <f t="shared" si="93"/>
        <v>675</v>
      </c>
      <c r="N483" s="4">
        <f t="shared" si="94"/>
        <v>495</v>
      </c>
      <c r="O483" s="4">
        <f t="shared" si="95"/>
        <v>575</v>
      </c>
      <c r="P483" s="4">
        <f>IF((((Price25[Cost]*1.5)+50)/0.835)&lt;2500,
MROUND((((( Price25[Cost]*1.5)+50)/0.835)*1.05)*2,10),
MROUND((((( Price25[Cost]*1.5)+50)/0.835)*1.18)*2,10))</f>
        <v>1690</v>
      </c>
      <c r="Q483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750</v>
      </c>
    </row>
    <row r="484" spans="1:17" x14ac:dyDescent="0.25">
      <c r="A484" s="1">
        <v>2026</v>
      </c>
      <c r="B484" s="18">
        <v>5229</v>
      </c>
      <c r="C484" s="19" t="s">
        <v>171</v>
      </c>
      <c r="D484" s="19" t="s">
        <v>494</v>
      </c>
      <c r="E484" s="19" t="s">
        <v>673</v>
      </c>
      <c r="F484" s="19" t="s">
        <v>852</v>
      </c>
      <c r="G484" s="20">
        <v>415</v>
      </c>
      <c r="I484" s="20">
        <v>12</v>
      </c>
      <c r="J484" s="4">
        <f t="shared" si="90"/>
        <v>427</v>
      </c>
      <c r="K484" s="4">
        <f t="shared" si="91"/>
        <v>510</v>
      </c>
      <c r="L484" s="4">
        <f t="shared" si="92"/>
        <v>535</v>
      </c>
      <c r="M484" s="4">
        <f t="shared" si="93"/>
        <v>675</v>
      </c>
      <c r="N484" s="4">
        <f t="shared" si="94"/>
        <v>495</v>
      </c>
      <c r="O484" s="4">
        <f t="shared" si="95"/>
        <v>575</v>
      </c>
      <c r="P484" s="4">
        <f>IF((((Price25[Cost]*1.5)+50)/0.835)&lt;2500,
MROUND((((( Price25[Cost]*1.5)+50)/0.835)*1.05)*2,10),
MROUND((((( Price25[Cost]*1.5)+50)/0.835)*1.18)*2,10))</f>
        <v>1690</v>
      </c>
      <c r="Q484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750</v>
      </c>
    </row>
    <row r="485" spans="1:17" x14ac:dyDescent="0.25">
      <c r="A485" s="1">
        <v>2026</v>
      </c>
      <c r="B485" s="18">
        <v>5230</v>
      </c>
      <c r="C485" s="19" t="s">
        <v>171</v>
      </c>
      <c r="D485" s="19" t="s">
        <v>494</v>
      </c>
      <c r="E485" s="19" t="s">
        <v>673</v>
      </c>
      <c r="F485" s="19" t="s">
        <v>853</v>
      </c>
      <c r="G485" s="20">
        <v>395</v>
      </c>
      <c r="I485" s="20">
        <v>12</v>
      </c>
      <c r="J485" s="4">
        <f t="shared" si="90"/>
        <v>407</v>
      </c>
      <c r="K485" s="4">
        <f t="shared" si="91"/>
        <v>485</v>
      </c>
      <c r="L485" s="4">
        <f t="shared" si="92"/>
        <v>510</v>
      </c>
      <c r="M485" s="4">
        <f t="shared" si="93"/>
        <v>650</v>
      </c>
      <c r="N485" s="4">
        <f t="shared" si="94"/>
        <v>470</v>
      </c>
      <c r="O485" s="4">
        <f t="shared" si="95"/>
        <v>550</v>
      </c>
      <c r="P485" s="4">
        <f>IF((((Price25[Cost]*1.5)+50)/0.835)&lt;2500,
MROUND((((( Price25[Cost]*1.5)+50)/0.835)*1.05)*2,10),
MROUND((((( Price25[Cost]*1.5)+50)/0.835)*1.18)*2,10))</f>
        <v>1620</v>
      </c>
      <c r="Q485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720</v>
      </c>
    </row>
    <row r="486" spans="1:17" x14ac:dyDescent="0.25">
      <c r="A486" s="1">
        <v>2025</v>
      </c>
      <c r="B486" s="18">
        <v>523</v>
      </c>
      <c r="C486" s="19" t="s">
        <v>171</v>
      </c>
      <c r="D486" s="19" t="s">
        <v>494</v>
      </c>
      <c r="E486" s="19" t="s">
        <v>673</v>
      </c>
      <c r="F486" s="19" t="s">
        <v>685</v>
      </c>
      <c r="G486" s="20">
        <v>310</v>
      </c>
      <c r="I486" s="20">
        <v>12</v>
      </c>
      <c r="J486" s="4">
        <f t="shared" si="89"/>
        <v>322</v>
      </c>
      <c r="K486" s="4">
        <f t="shared" si="84"/>
        <v>385</v>
      </c>
      <c r="L486" s="4">
        <f t="shared" si="85"/>
        <v>405</v>
      </c>
      <c r="M486" s="4">
        <f t="shared" si="86"/>
        <v>525</v>
      </c>
      <c r="N486" s="4">
        <f t="shared" si="87"/>
        <v>375</v>
      </c>
      <c r="O486" s="4">
        <f t="shared" si="88"/>
        <v>435</v>
      </c>
      <c r="P486" s="4">
        <f>IF((((Price25[Cost]*1.5)+50)/0.835)&lt;2500,
MROUND((((( Price25[Cost]*1.5)+50)/0.835)*1.05)*2,10),
MROUND((((( Price25[Cost]*1.5)+50)/0.835)*1.18)*2,10))</f>
        <v>1300</v>
      </c>
      <c r="Q486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600</v>
      </c>
    </row>
    <row r="487" spans="1:17" x14ac:dyDescent="0.25">
      <c r="A487" s="1">
        <v>2026</v>
      </c>
      <c r="B487" s="18">
        <v>5231</v>
      </c>
      <c r="C487" s="19" t="s">
        <v>171</v>
      </c>
      <c r="D487" s="19" t="s">
        <v>494</v>
      </c>
      <c r="E487" s="19" t="s">
        <v>673</v>
      </c>
      <c r="F487" s="19" t="s">
        <v>841</v>
      </c>
      <c r="G487" s="20">
        <v>405</v>
      </c>
      <c r="I487" s="20">
        <v>12</v>
      </c>
      <c r="J487" s="4">
        <f t="shared" si="89"/>
        <v>417</v>
      </c>
      <c r="K487" s="4">
        <f t="shared" si="84"/>
        <v>500</v>
      </c>
      <c r="L487" s="4">
        <f t="shared" si="85"/>
        <v>525</v>
      </c>
      <c r="M487" s="4">
        <f t="shared" si="86"/>
        <v>675</v>
      </c>
      <c r="N487" s="4">
        <f t="shared" si="87"/>
        <v>485</v>
      </c>
      <c r="O487" s="4">
        <f t="shared" si="88"/>
        <v>565</v>
      </c>
      <c r="P487" s="4">
        <f>IF((((Price25[Cost]*1.5)+50)/0.835)&lt;2500,
MROUND((((( Price25[Cost]*1.5)+50)/0.835)*1.05)*2,10),
MROUND((((( Price25[Cost]*1.5)+50)/0.835)*1.18)*2,10))</f>
        <v>1650</v>
      </c>
      <c r="Q487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750</v>
      </c>
    </row>
    <row r="488" spans="1:17" x14ac:dyDescent="0.25">
      <c r="A488" s="1">
        <v>2025</v>
      </c>
      <c r="B488" s="18">
        <v>5232</v>
      </c>
      <c r="C488" s="19" t="s">
        <v>171</v>
      </c>
      <c r="D488" s="19" t="s">
        <v>494</v>
      </c>
      <c r="E488" s="19" t="s">
        <v>673</v>
      </c>
      <c r="F488" s="19" t="s">
        <v>687</v>
      </c>
      <c r="G488" s="20">
        <v>525</v>
      </c>
      <c r="I488" s="20">
        <v>12</v>
      </c>
      <c r="J488" s="4">
        <f t="shared" si="89"/>
        <v>537</v>
      </c>
      <c r="K488" s="4">
        <f t="shared" si="84"/>
        <v>645</v>
      </c>
      <c r="L488" s="4">
        <f t="shared" si="85"/>
        <v>675</v>
      </c>
      <c r="M488" s="4">
        <f t="shared" si="86"/>
        <v>850</v>
      </c>
      <c r="N488" s="4">
        <f t="shared" si="87"/>
        <v>625</v>
      </c>
      <c r="O488" s="4">
        <f t="shared" si="88"/>
        <v>725</v>
      </c>
      <c r="P488" s="4">
        <f>IF((((Price25[Cost]*1.5)+50)/0.835)&lt;2500,
MROUND((((( Price25[Cost]*1.5)+50)/0.835)*1.05)*2,10),
MROUND((((( Price25[Cost]*1.5)+50)/0.835)*1.18)*2,10))</f>
        <v>2110</v>
      </c>
      <c r="Q488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920</v>
      </c>
    </row>
    <row r="489" spans="1:17" x14ac:dyDescent="0.25">
      <c r="A489" s="1">
        <v>2025</v>
      </c>
      <c r="B489" s="18">
        <v>5233</v>
      </c>
      <c r="C489" s="19" t="s">
        <v>171</v>
      </c>
      <c r="D489" s="19" t="s">
        <v>494</v>
      </c>
      <c r="E489" s="19" t="s">
        <v>673</v>
      </c>
      <c r="F489" s="19" t="s">
        <v>98</v>
      </c>
      <c r="G489" s="20">
        <v>570</v>
      </c>
      <c r="I489" s="20">
        <v>12</v>
      </c>
      <c r="J489" s="4">
        <f t="shared" si="89"/>
        <v>582</v>
      </c>
      <c r="K489" s="4">
        <f t="shared" si="84"/>
        <v>695</v>
      </c>
      <c r="L489" s="4">
        <f t="shared" si="85"/>
        <v>730</v>
      </c>
      <c r="M489" s="4">
        <f t="shared" si="86"/>
        <v>925</v>
      </c>
      <c r="N489" s="4">
        <f t="shared" si="87"/>
        <v>675</v>
      </c>
      <c r="O489" s="4">
        <f t="shared" si="88"/>
        <v>785</v>
      </c>
      <c r="P489" s="4">
        <f>IF((((Price25[Cost]*1.5)+50)/0.835)&lt;2500,
MROUND((((( Price25[Cost]*1.5)+50)/0.835)*1.05)*2,10),
MROUND((((( Price25[Cost]*1.5)+50)/0.835)*1.18)*2,10))</f>
        <v>2280</v>
      </c>
      <c r="Q489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1000</v>
      </c>
    </row>
    <row r="490" spans="1:17" x14ac:dyDescent="0.25">
      <c r="A490" s="1">
        <v>2026</v>
      </c>
      <c r="B490" s="18">
        <v>5235</v>
      </c>
      <c r="C490" s="19" t="s">
        <v>171</v>
      </c>
      <c r="D490" s="19" t="s">
        <v>494</v>
      </c>
      <c r="E490" s="19" t="s">
        <v>673</v>
      </c>
      <c r="F490" s="19" t="s">
        <v>773</v>
      </c>
      <c r="G490" s="20">
        <v>115</v>
      </c>
      <c r="I490" s="20">
        <v>12</v>
      </c>
      <c r="J490" s="4">
        <f>IF(SUMIF(G490:I490,"&lt;&gt;")=0,"",SUM(G490:I490))</f>
        <v>127</v>
      </c>
      <c r="K490" s="4">
        <f t="shared" si="84"/>
        <v>155</v>
      </c>
      <c r="L490" s="4">
        <f t="shared" si="85"/>
        <v>160</v>
      </c>
      <c r="M490" s="4">
        <f t="shared" si="86"/>
        <v>225</v>
      </c>
      <c r="N490" s="4">
        <f t="shared" si="87"/>
        <v>150</v>
      </c>
      <c r="O490" s="4">
        <f t="shared" si="88"/>
        <v>175</v>
      </c>
      <c r="P490" s="4">
        <f>IF((((Price25[Cost]*1.5)+50)/0.835)&lt;2500,
MROUND((((( Price25[Cost]*1.5)+50)/0.835)*1.05)*2,10),
MROUND((((( Price25[Cost]*1.5)+50)/0.835)*1.18)*2,10))</f>
        <v>560</v>
      </c>
      <c r="Q490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300</v>
      </c>
    </row>
    <row r="491" spans="1:17" x14ac:dyDescent="0.25">
      <c r="A491" s="1">
        <v>2026</v>
      </c>
      <c r="B491" s="18">
        <v>5236</v>
      </c>
      <c r="C491" s="19" t="s">
        <v>171</v>
      </c>
      <c r="D491" s="19" t="s">
        <v>494</v>
      </c>
      <c r="E491" s="19" t="s">
        <v>673</v>
      </c>
      <c r="F491" s="19" t="s">
        <v>774</v>
      </c>
      <c r="G491" s="20">
        <v>180</v>
      </c>
      <c r="I491" s="20">
        <v>15</v>
      </c>
      <c r="J491" s="4">
        <f>IF(SUMIF(G491:I491,"&lt;&gt;")=0,"",SUM(G491:I491))</f>
        <v>195</v>
      </c>
      <c r="K491" s="4">
        <f t="shared" si="84"/>
        <v>235</v>
      </c>
      <c r="L491" s="4">
        <f t="shared" si="85"/>
        <v>245</v>
      </c>
      <c r="M491" s="4">
        <f t="shared" si="86"/>
        <v>325</v>
      </c>
      <c r="N491" s="4">
        <f t="shared" si="87"/>
        <v>230</v>
      </c>
      <c r="O491" s="4">
        <f t="shared" si="88"/>
        <v>265</v>
      </c>
      <c r="P491" s="4">
        <f>IF((((Price25[Cost]*1.5)+50)/0.835)&lt;2500,
MROUND((((( Price25[Cost]*1.5)+50)/0.835)*1.05)*2,10),
MROUND((((( Price25[Cost]*1.5)+50)/0.835)*1.18)*2,10))</f>
        <v>800</v>
      </c>
      <c r="Q491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400</v>
      </c>
    </row>
    <row r="492" spans="1:17" x14ac:dyDescent="0.25">
      <c r="A492" s="1">
        <v>2026</v>
      </c>
      <c r="B492" s="18">
        <v>5237</v>
      </c>
      <c r="C492" s="19" t="s">
        <v>171</v>
      </c>
      <c r="D492" s="19" t="s">
        <v>494</v>
      </c>
      <c r="E492" s="19" t="s">
        <v>673</v>
      </c>
      <c r="F492" s="19" t="s">
        <v>775</v>
      </c>
      <c r="G492" s="20">
        <v>195</v>
      </c>
      <c r="I492" s="20">
        <v>15</v>
      </c>
      <c r="J492" s="4">
        <f>IF(SUMIF(G492:I492,"&lt;&gt;")=0,"",SUM(G492:I492))</f>
        <v>210</v>
      </c>
      <c r="K492" s="4">
        <f t="shared" si="84"/>
        <v>255</v>
      </c>
      <c r="L492" s="4">
        <f t="shared" si="85"/>
        <v>265</v>
      </c>
      <c r="M492" s="4">
        <f t="shared" si="86"/>
        <v>350</v>
      </c>
      <c r="N492" s="4">
        <f t="shared" si="87"/>
        <v>245</v>
      </c>
      <c r="O492" s="4">
        <f t="shared" si="88"/>
        <v>285</v>
      </c>
      <c r="P492" s="4">
        <f>IF((((Price25[Cost]*1.5)+50)/0.835)&lt;2500,
MROUND((((( Price25[Cost]*1.5)+50)/0.835)*1.05)*2,10),
MROUND((((( Price25[Cost]*1.5)+50)/0.835)*1.18)*2,10))</f>
        <v>860</v>
      </c>
      <c r="Q492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420</v>
      </c>
    </row>
    <row r="493" spans="1:17" x14ac:dyDescent="0.25">
      <c r="A493" s="1">
        <v>2026</v>
      </c>
      <c r="B493" s="18">
        <v>5238</v>
      </c>
      <c r="C493" s="19" t="s">
        <v>171</v>
      </c>
      <c r="D493" s="19" t="s">
        <v>494</v>
      </c>
      <c r="E493" s="19" t="s">
        <v>673</v>
      </c>
      <c r="F493" s="19" t="s">
        <v>776</v>
      </c>
      <c r="G493" s="20">
        <v>155</v>
      </c>
      <c r="I493" s="20">
        <v>15</v>
      </c>
      <c r="J493" s="4">
        <f>IF(SUMIF(G493:I493,"&lt;&gt;")=0,"",SUM(G493:I493))</f>
        <v>170</v>
      </c>
      <c r="K493" s="4">
        <f t="shared" si="84"/>
        <v>205</v>
      </c>
      <c r="L493" s="4">
        <f t="shared" si="85"/>
        <v>215</v>
      </c>
      <c r="M493" s="4">
        <f t="shared" si="86"/>
        <v>275</v>
      </c>
      <c r="N493" s="4">
        <f t="shared" si="87"/>
        <v>200</v>
      </c>
      <c r="O493" s="4">
        <f t="shared" si="88"/>
        <v>235</v>
      </c>
      <c r="P493" s="4">
        <f>IF((((Price25[Cost]*1.5)+50)/0.835)&lt;2500,
MROUND((((( Price25[Cost]*1.5)+50)/0.835)*1.05)*2,10),
MROUND((((( Price25[Cost]*1.5)+50)/0.835)*1.18)*2,10))</f>
        <v>710</v>
      </c>
      <c r="Q493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350</v>
      </c>
    </row>
    <row r="494" spans="1:17" x14ac:dyDescent="0.25">
      <c r="A494" s="1">
        <v>2026</v>
      </c>
      <c r="B494" s="18">
        <v>5239</v>
      </c>
      <c r="C494" s="19" t="s">
        <v>171</v>
      </c>
      <c r="D494" s="19" t="s">
        <v>494</v>
      </c>
      <c r="E494" s="19" t="s">
        <v>673</v>
      </c>
      <c r="F494" s="19" t="s">
        <v>777</v>
      </c>
      <c r="G494" s="20">
        <v>185</v>
      </c>
      <c r="I494" s="20">
        <v>15</v>
      </c>
      <c r="J494" s="4">
        <f>IF(SUMIF(G494:I494,"&lt;&gt;")=0,"",SUM(G494:I494))</f>
        <v>200</v>
      </c>
      <c r="K494" s="4">
        <f t="shared" si="84"/>
        <v>240</v>
      </c>
      <c r="L494" s="4">
        <f t="shared" si="85"/>
        <v>250</v>
      </c>
      <c r="M494" s="4">
        <f t="shared" si="86"/>
        <v>325</v>
      </c>
      <c r="N494" s="4">
        <f t="shared" si="87"/>
        <v>230</v>
      </c>
      <c r="O494" s="4">
        <f t="shared" si="88"/>
        <v>270</v>
      </c>
      <c r="P494" s="4">
        <f>IF((((Price25[Cost]*1.5)+50)/0.835)&lt;2500,
MROUND((((( Price25[Cost]*1.5)+50)/0.835)*1.05)*2,10),
MROUND((((( Price25[Cost]*1.5)+50)/0.835)*1.18)*2,10))</f>
        <v>820</v>
      </c>
      <c r="Q494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400</v>
      </c>
    </row>
    <row r="495" spans="1:17" x14ac:dyDescent="0.25">
      <c r="A495" s="1">
        <v>2026</v>
      </c>
      <c r="B495" s="18">
        <v>524</v>
      </c>
      <c r="C495" s="19" t="s">
        <v>171</v>
      </c>
      <c r="D495" s="19" t="s">
        <v>494</v>
      </c>
      <c r="E495" s="19" t="s">
        <v>673</v>
      </c>
      <c r="F495" s="19" t="s">
        <v>842</v>
      </c>
      <c r="G495" s="20">
        <v>390</v>
      </c>
      <c r="I495" s="20">
        <v>12</v>
      </c>
      <c r="J495" s="4">
        <f t="shared" si="89"/>
        <v>402</v>
      </c>
      <c r="K495" s="4">
        <f t="shared" si="84"/>
        <v>480</v>
      </c>
      <c r="L495" s="4">
        <f t="shared" si="85"/>
        <v>505</v>
      </c>
      <c r="M495" s="4">
        <f t="shared" si="86"/>
        <v>650</v>
      </c>
      <c r="N495" s="4">
        <f t="shared" si="87"/>
        <v>465</v>
      </c>
      <c r="O495" s="4">
        <f t="shared" si="88"/>
        <v>545</v>
      </c>
      <c r="P495" s="4">
        <f>IF((((Price25[Cost]*1.5)+50)/0.835)&lt;2500,
MROUND((((( Price25[Cost]*1.5)+50)/0.835)*1.05)*2,10),
MROUND((((( Price25[Cost]*1.5)+50)/0.835)*1.18)*2,10))</f>
        <v>1600</v>
      </c>
      <c r="Q495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720</v>
      </c>
    </row>
    <row r="496" spans="1:17" x14ac:dyDescent="0.25">
      <c r="A496" s="1">
        <v>2026</v>
      </c>
      <c r="B496" s="18">
        <v>5241</v>
      </c>
      <c r="C496" s="19" t="s">
        <v>171</v>
      </c>
      <c r="D496" s="19" t="s">
        <v>494</v>
      </c>
      <c r="E496" s="19" t="s">
        <v>673</v>
      </c>
      <c r="F496" s="19" t="s">
        <v>854</v>
      </c>
      <c r="G496" s="20">
        <v>345</v>
      </c>
      <c r="I496" s="20">
        <v>12</v>
      </c>
      <c r="J496" s="4">
        <f t="shared" ref="J496:J498" si="96">IF(SUMIF(G496:I496,"&lt;&gt;")=0,"",SUM(G496:I496))</f>
        <v>357</v>
      </c>
      <c r="K496" s="4">
        <f t="shared" ref="K496:K498" si="97">IF(ISNUMBER(L496),
   IF(CEILING(ROUND(L496*0.95,2),5)=420,
      425,
      CEILING(ROUND(L496*0.95,2),5)
   ),
   ""
)</f>
        <v>430</v>
      </c>
      <c r="L496" s="4">
        <f t="shared" ref="L496:L498" si="98">IF(AND(ISNUMBER(J496),ISNUMBER(G496)),
   IF(CEILING(ROUND(J496*1.25,2),5)=420,
      425,
      CEILING(ROUND(J496*1.25,2),5)
   ),
   ""
)</f>
        <v>450</v>
      </c>
      <c r="M496" s="4">
        <f t="shared" ref="M496:M498" si="99">IF(AND(ISNUMBER(J496),ISNUMBER(G496)),
   IF(
      CEILING(
         ROUND((J496*1.5) * IF(J496*1.5 &lt;= 2500, 1.05, 1.18), 2),
         IF(ROUND((J496*1.5) * IF(J496*1.5 &lt;= 2500, 1.05, 1.18), 2) &lt; 2500, 25, 50)
      )=420,
      425,
      CEILING(
         ROUND((J496*1.5) * IF(J496*1.5 &lt;= 2500, 1.05, 1.18), 2),
         IF(ROUND((J496*1.5) * IF(J496*1.5 &lt;= 2500, 1.05, 1.18), 2) &lt; 2500, 25, 50)
      )
   ),
   ""
)</f>
        <v>575</v>
      </c>
      <c r="N496" s="4">
        <f t="shared" ref="N496:N498" si="100">IF(ISNUMBER(G496),
   IF(CEILING(ROUND(L496*0.92,2),5)=420,
      425,
      CEILING(ROUND(L496*0.92,2),5)
   ),
   ""
)</f>
        <v>415</v>
      </c>
      <c r="O496" s="4">
        <f t="shared" ref="O496:O498" si="101">IF(ISNUMBER(L496),
   IF(CEILING(ROUND(L496*1.07,2),5)=420,
      425,
      CEILING(ROUND(L496*1.07,2),5)
   ),
   ""
)</f>
        <v>485</v>
      </c>
      <c r="P496" s="4">
        <f>IF((((Price25[Cost]*1.5)+50)/0.835)&lt;2500,
MROUND((((( Price25[Cost]*1.5)+50)/0.835)*1.05)*2,10),
MROUND((((( Price25[Cost]*1.5)+50)/0.835)*1.18)*2,10))</f>
        <v>1430</v>
      </c>
      <c r="Q496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650</v>
      </c>
    </row>
    <row r="497" spans="1:17" x14ac:dyDescent="0.25">
      <c r="A497" s="1">
        <v>2026</v>
      </c>
      <c r="B497" s="18">
        <v>5242</v>
      </c>
      <c r="C497" s="19" t="s">
        <v>171</v>
      </c>
      <c r="D497" s="19" t="s">
        <v>494</v>
      </c>
      <c r="E497" s="19" t="s">
        <v>673</v>
      </c>
      <c r="F497" s="19" t="s">
        <v>855</v>
      </c>
      <c r="G497" s="20">
        <v>345</v>
      </c>
      <c r="I497" s="20">
        <v>12</v>
      </c>
      <c r="J497" s="4">
        <f t="shared" si="96"/>
        <v>357</v>
      </c>
      <c r="K497" s="4">
        <f t="shared" si="97"/>
        <v>430</v>
      </c>
      <c r="L497" s="4">
        <f t="shared" si="98"/>
        <v>450</v>
      </c>
      <c r="M497" s="4">
        <f t="shared" si="99"/>
        <v>575</v>
      </c>
      <c r="N497" s="4">
        <f t="shared" si="100"/>
        <v>415</v>
      </c>
      <c r="O497" s="4">
        <f t="shared" si="101"/>
        <v>485</v>
      </c>
      <c r="P497" s="4">
        <f>IF((((Price25[Cost]*1.5)+50)/0.835)&lt;2500,
MROUND((((( Price25[Cost]*1.5)+50)/0.835)*1.05)*2,10),
MROUND((((( Price25[Cost]*1.5)+50)/0.835)*1.18)*2,10))</f>
        <v>1430</v>
      </c>
      <c r="Q497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650</v>
      </c>
    </row>
    <row r="498" spans="1:17" x14ac:dyDescent="0.25">
      <c r="A498" s="1">
        <v>2026</v>
      </c>
      <c r="B498" s="18">
        <v>5243</v>
      </c>
      <c r="C498" s="19" t="s">
        <v>171</v>
      </c>
      <c r="D498" s="19" t="s">
        <v>494</v>
      </c>
      <c r="E498" s="19" t="s">
        <v>673</v>
      </c>
      <c r="F498" s="19" t="s">
        <v>856</v>
      </c>
      <c r="G498" s="20">
        <v>345</v>
      </c>
      <c r="I498" s="20">
        <v>12</v>
      </c>
      <c r="J498" s="4">
        <f t="shared" si="96"/>
        <v>357</v>
      </c>
      <c r="K498" s="4">
        <f t="shared" si="97"/>
        <v>430</v>
      </c>
      <c r="L498" s="4">
        <f t="shared" si="98"/>
        <v>450</v>
      </c>
      <c r="M498" s="4">
        <f t="shared" si="99"/>
        <v>575</v>
      </c>
      <c r="N498" s="4">
        <f t="shared" si="100"/>
        <v>415</v>
      </c>
      <c r="O498" s="4">
        <f t="shared" si="101"/>
        <v>485</v>
      </c>
      <c r="P498" s="4">
        <f>IF((((Price25[Cost]*1.5)+50)/0.835)&lt;2500,
MROUND((((( Price25[Cost]*1.5)+50)/0.835)*1.05)*2,10),
MROUND((((( Price25[Cost]*1.5)+50)/0.835)*1.18)*2,10))</f>
        <v>1430</v>
      </c>
      <c r="Q498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650</v>
      </c>
    </row>
    <row r="499" spans="1:17" x14ac:dyDescent="0.25">
      <c r="A499" s="1">
        <v>2026</v>
      </c>
      <c r="B499" s="18">
        <v>5244</v>
      </c>
      <c r="C499" s="19" t="s">
        <v>171</v>
      </c>
      <c r="D499" s="19" t="s">
        <v>494</v>
      </c>
      <c r="E499" s="19" t="s">
        <v>673</v>
      </c>
      <c r="F499" s="19" t="s">
        <v>857</v>
      </c>
      <c r="G499" s="20">
        <v>445</v>
      </c>
      <c r="I499" s="20">
        <v>12</v>
      </c>
      <c r="J499" s="4">
        <f>IF(SUMIF(G499:I499,"&lt;&gt;")=0,"",SUM(G499:I499))</f>
        <v>457</v>
      </c>
      <c r="K499" s="4">
        <f>IF(ISNUMBER(L499),
   IF(CEILING(ROUND(L499*0.95,2),5)=420,
      425,
      CEILING(ROUND(L499*0.95,2),5)
   ),
   ""
)</f>
        <v>550</v>
      </c>
      <c r="L499" s="4">
        <f>IF(AND(ISNUMBER(J499),ISNUMBER(G499)),
   IF(CEILING(ROUND(J499*1.25,2),5)=420,
      425,
      CEILING(ROUND(J499*1.25,2),5)
   ),
   ""
)</f>
        <v>575</v>
      </c>
      <c r="M499" s="4">
        <f>IF(AND(ISNUMBER(J499),ISNUMBER(G499)),
   IF(
      CEILING(
         ROUND((J499*1.5) * IF(J499*1.5 &lt;= 2500, 1.05, 1.18), 2),
         IF(ROUND((J499*1.5) * IF(J499*1.5 &lt;= 2500, 1.05, 1.18), 2) &lt; 2500, 25, 50)
      )=420,
      425,
      CEILING(
         ROUND((J499*1.5) * IF(J499*1.5 &lt;= 2500, 1.05, 1.18), 2),
         IF(ROUND((J499*1.5) * IF(J499*1.5 &lt;= 2500, 1.05, 1.18), 2) &lt; 2500, 25, 50)
      )
   ),
   ""
)</f>
        <v>725</v>
      </c>
      <c r="N499" s="4">
        <f>IF(ISNUMBER(G499),
   IF(CEILING(ROUND(L499*0.92,2),5)=420,
      425,
      CEILING(ROUND(L499*0.92,2),5)
   ),
   ""
)</f>
        <v>530</v>
      </c>
      <c r="O499" s="4">
        <f>IF(ISNUMBER(L499),
   IF(CEILING(ROUND(L499*1.07,2),5)=420,
      425,
      CEILING(ROUND(L499*1.07,2),5)
   ),
   ""
)</f>
        <v>620</v>
      </c>
      <c r="P499" s="4">
        <f>IF((((Price25[Cost]*1.5)+50)/0.835)&lt;2500,
MROUND((((( Price25[Cost]*1.5)+50)/0.835)*1.05)*2,10),
MROUND((((( Price25[Cost]*1.5)+50)/0.835)*1.18)*2,10))</f>
        <v>1800</v>
      </c>
      <c r="Q499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800</v>
      </c>
    </row>
    <row r="500" spans="1:17" x14ac:dyDescent="0.25">
      <c r="A500" s="1">
        <v>2026</v>
      </c>
      <c r="B500" s="18">
        <v>527</v>
      </c>
      <c r="C500" s="19" t="s">
        <v>171</v>
      </c>
      <c r="D500" s="19" t="s">
        <v>494</v>
      </c>
      <c r="E500" s="19" t="s">
        <v>191</v>
      </c>
      <c r="F500" s="19" t="s">
        <v>909</v>
      </c>
      <c r="G500" s="20">
        <v>165</v>
      </c>
      <c r="I500" s="20">
        <v>197</v>
      </c>
      <c r="J500" s="4">
        <f t="shared" si="89"/>
        <v>362</v>
      </c>
      <c r="K500" s="4">
        <f t="shared" si="84"/>
        <v>435</v>
      </c>
      <c r="L500" s="4">
        <f t="shared" si="85"/>
        <v>455</v>
      </c>
      <c r="M500" s="4">
        <f t="shared" si="86"/>
        <v>575</v>
      </c>
      <c r="N500" s="4">
        <f t="shared" si="87"/>
        <v>425</v>
      </c>
      <c r="O500" s="4">
        <f t="shared" si="88"/>
        <v>490</v>
      </c>
      <c r="P500" s="4">
        <f>IF((((Price25[Cost]*1.5)+50)/0.835)&lt;2500,
MROUND((((( Price25[Cost]*1.5)+50)/0.835)*1.05)*2,10),
MROUND((((( Price25[Cost]*1.5)+50)/0.835)*1.18)*2,10))</f>
        <v>750</v>
      </c>
      <c r="Q500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650</v>
      </c>
    </row>
    <row r="501" spans="1:17" x14ac:dyDescent="0.25">
      <c r="A501" s="1">
        <v>2025</v>
      </c>
      <c r="B501" s="18">
        <v>529</v>
      </c>
      <c r="C501" s="19" t="s">
        <v>171</v>
      </c>
      <c r="D501" s="19" t="s">
        <v>494</v>
      </c>
      <c r="E501" s="19" t="s">
        <v>191</v>
      </c>
      <c r="F501" s="19" t="s">
        <v>537</v>
      </c>
      <c r="G501" s="20">
        <v>150</v>
      </c>
      <c r="H501" s="20">
        <v>5</v>
      </c>
      <c r="I501" s="20">
        <v>215</v>
      </c>
      <c r="J501" s="4">
        <f t="shared" si="89"/>
        <v>370</v>
      </c>
      <c r="K501" s="4">
        <f t="shared" si="84"/>
        <v>445</v>
      </c>
      <c r="L501" s="4">
        <f t="shared" si="85"/>
        <v>465</v>
      </c>
      <c r="M501" s="4">
        <f t="shared" si="86"/>
        <v>600</v>
      </c>
      <c r="N501" s="4">
        <f t="shared" si="87"/>
        <v>430</v>
      </c>
      <c r="O501" s="4">
        <f t="shared" si="88"/>
        <v>500</v>
      </c>
      <c r="P501" s="4">
        <f>IF((((Price25[Cost]*1.5)+50)/0.835)&lt;2500,
MROUND((((( Price25[Cost]*1.5)+50)/0.835)*1.05)*2,10),
MROUND((((( Price25[Cost]*1.5)+50)/0.835)*1.18)*2,10))</f>
        <v>690</v>
      </c>
      <c r="Q501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670</v>
      </c>
    </row>
    <row r="502" spans="1:17" x14ac:dyDescent="0.25">
      <c r="A502" s="1"/>
      <c r="B502" s="18">
        <v>530</v>
      </c>
      <c r="C502" s="19" t="s">
        <v>171</v>
      </c>
      <c r="D502" s="19" t="s">
        <v>494</v>
      </c>
      <c r="E502" s="19" t="s">
        <v>235</v>
      </c>
      <c r="F502" s="19" t="s">
        <v>248</v>
      </c>
      <c r="G502" s="20">
        <v>150</v>
      </c>
      <c r="H502" s="20">
        <v>5</v>
      </c>
      <c r="I502" s="20">
        <v>12</v>
      </c>
      <c r="J502" s="4">
        <f t="shared" si="89"/>
        <v>167</v>
      </c>
      <c r="K502" s="4">
        <f t="shared" si="84"/>
        <v>200</v>
      </c>
      <c r="L502" s="4">
        <f t="shared" si="85"/>
        <v>210</v>
      </c>
      <c r="M502" s="4">
        <f t="shared" si="86"/>
        <v>275</v>
      </c>
      <c r="N502" s="4">
        <f t="shared" si="87"/>
        <v>195</v>
      </c>
      <c r="O502" s="4">
        <f t="shared" si="88"/>
        <v>225</v>
      </c>
      <c r="P502" s="4">
        <f>IF((((Price25[Cost]*1.5)+50)/0.835)&lt;2500,
MROUND((((( Price25[Cost]*1.5)+50)/0.835)*1.05)*2,10),
MROUND((((( Price25[Cost]*1.5)+50)/0.835)*1.18)*2,10))</f>
        <v>690</v>
      </c>
      <c r="Q502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350</v>
      </c>
    </row>
    <row r="503" spans="1:17" x14ac:dyDescent="0.25">
      <c r="A503" s="1"/>
      <c r="B503" s="18">
        <v>5302</v>
      </c>
      <c r="C503" s="19" t="s">
        <v>171</v>
      </c>
      <c r="D503" s="19" t="s">
        <v>494</v>
      </c>
      <c r="E503" s="19" t="s">
        <v>235</v>
      </c>
      <c r="F503" s="19" t="s">
        <v>281</v>
      </c>
      <c r="G503" s="20">
        <v>150</v>
      </c>
      <c r="I503" s="20">
        <v>42</v>
      </c>
      <c r="J503" s="4">
        <f t="shared" si="89"/>
        <v>192</v>
      </c>
      <c r="K503" s="4">
        <f t="shared" si="84"/>
        <v>230</v>
      </c>
      <c r="L503" s="4">
        <f t="shared" si="85"/>
        <v>240</v>
      </c>
      <c r="M503" s="4">
        <f t="shared" si="86"/>
        <v>325</v>
      </c>
      <c r="N503" s="4">
        <f t="shared" si="87"/>
        <v>225</v>
      </c>
      <c r="O503" s="4">
        <f t="shared" si="88"/>
        <v>260</v>
      </c>
      <c r="P503" s="4">
        <f>IF((((Price25[Cost]*1.5)+50)/0.835)&lt;2500,
MROUND((((( Price25[Cost]*1.5)+50)/0.835)*1.05)*2,10),
MROUND((((( Price25[Cost]*1.5)+50)/0.835)*1.18)*2,10))</f>
        <v>690</v>
      </c>
      <c r="Q503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400</v>
      </c>
    </row>
    <row r="504" spans="1:17" x14ac:dyDescent="0.25">
      <c r="A504" s="1"/>
      <c r="B504" s="18">
        <v>5303</v>
      </c>
      <c r="C504" s="19" t="s">
        <v>171</v>
      </c>
      <c r="D504" s="19" t="s">
        <v>494</v>
      </c>
      <c r="E504" s="19" t="s">
        <v>235</v>
      </c>
      <c r="F504" s="19" t="s">
        <v>283</v>
      </c>
      <c r="G504" s="20">
        <v>150</v>
      </c>
      <c r="I504" s="20">
        <v>60</v>
      </c>
      <c r="J504" s="4">
        <f t="shared" si="89"/>
        <v>210</v>
      </c>
      <c r="K504" s="4">
        <f t="shared" si="84"/>
        <v>255</v>
      </c>
      <c r="L504" s="4">
        <f t="shared" si="85"/>
        <v>265</v>
      </c>
      <c r="M504" s="4">
        <f t="shared" si="86"/>
        <v>350</v>
      </c>
      <c r="N504" s="4">
        <f t="shared" si="87"/>
        <v>245</v>
      </c>
      <c r="O504" s="4">
        <f t="shared" si="88"/>
        <v>285</v>
      </c>
      <c r="P504" s="4">
        <f>IF((((Price25[Cost]*1.5)+50)/0.835)&lt;2500,
MROUND((((( Price25[Cost]*1.5)+50)/0.835)*1.05)*2,10),
MROUND((((( Price25[Cost]*1.5)+50)/0.835)*1.18)*2,10))</f>
        <v>690</v>
      </c>
      <c r="Q504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420</v>
      </c>
    </row>
    <row r="505" spans="1:17" x14ac:dyDescent="0.25">
      <c r="A505" s="1"/>
      <c r="B505" s="18">
        <v>533</v>
      </c>
      <c r="C505" s="19" t="s">
        <v>171</v>
      </c>
      <c r="D505" s="19" t="s">
        <v>494</v>
      </c>
      <c r="E505" s="19"/>
      <c r="F505" s="19" t="s">
        <v>43</v>
      </c>
      <c r="G505" s="20">
        <v>90</v>
      </c>
      <c r="I505" s="20">
        <v>10</v>
      </c>
      <c r="J505" s="4">
        <f t="shared" si="89"/>
        <v>100</v>
      </c>
      <c r="K505" s="4">
        <f t="shared" si="84"/>
        <v>120</v>
      </c>
      <c r="L505" s="4">
        <f t="shared" si="85"/>
        <v>125</v>
      </c>
      <c r="M505" s="4">
        <f t="shared" si="86"/>
        <v>175</v>
      </c>
      <c r="N505" s="4">
        <f t="shared" si="87"/>
        <v>115</v>
      </c>
      <c r="O505" s="4">
        <f t="shared" si="88"/>
        <v>135</v>
      </c>
      <c r="P505" s="4">
        <f>IF((((Price25[Cost]*1.5)+50)/0.835)&lt;2500,
MROUND((((( Price25[Cost]*1.5)+50)/0.835)*1.05)*2,10),
MROUND((((( Price25[Cost]*1.5)+50)/0.835)*1.18)*2,10))</f>
        <v>470</v>
      </c>
      <c r="Q505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250</v>
      </c>
    </row>
    <row r="506" spans="1:17" x14ac:dyDescent="0.25">
      <c r="A506" s="1">
        <v>2026</v>
      </c>
      <c r="B506" s="18">
        <v>535</v>
      </c>
      <c r="C506" s="19" t="s">
        <v>171</v>
      </c>
      <c r="D506" s="19" t="s">
        <v>494</v>
      </c>
      <c r="E506" s="19" t="s">
        <v>195</v>
      </c>
      <c r="F506" s="19" t="s">
        <v>194</v>
      </c>
      <c r="G506" s="20">
        <v>205</v>
      </c>
      <c r="I506" s="20">
        <v>15</v>
      </c>
      <c r="J506" s="4">
        <f t="shared" si="89"/>
        <v>220</v>
      </c>
      <c r="K506" s="4">
        <f t="shared" si="84"/>
        <v>265</v>
      </c>
      <c r="L506" s="4">
        <f t="shared" si="85"/>
        <v>275</v>
      </c>
      <c r="M506" s="4">
        <f t="shared" si="86"/>
        <v>350</v>
      </c>
      <c r="N506" s="4">
        <f t="shared" si="87"/>
        <v>255</v>
      </c>
      <c r="O506" s="4">
        <f t="shared" si="88"/>
        <v>295</v>
      </c>
      <c r="P506" s="4">
        <f>IF((((Price25[Cost]*1.5)+50)/0.835)&lt;2500,
MROUND((((( Price25[Cost]*1.5)+50)/0.835)*1.05)*2,10),
MROUND((((( Price25[Cost]*1.5)+50)/0.835)*1.18)*2,10))</f>
        <v>900</v>
      </c>
      <c r="Q506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420</v>
      </c>
    </row>
    <row r="507" spans="1:17" x14ac:dyDescent="0.25">
      <c r="A507" s="1"/>
      <c r="B507" s="18">
        <v>536</v>
      </c>
      <c r="C507" s="19" t="s">
        <v>171</v>
      </c>
      <c r="D507" s="19" t="s">
        <v>494</v>
      </c>
      <c r="E507" s="19" t="s">
        <v>195</v>
      </c>
      <c r="F507" s="19" t="s">
        <v>196</v>
      </c>
      <c r="G507" s="20">
        <v>215</v>
      </c>
      <c r="I507" s="20">
        <v>15</v>
      </c>
      <c r="J507" s="4">
        <f t="shared" si="89"/>
        <v>230</v>
      </c>
      <c r="K507" s="4">
        <f t="shared" si="84"/>
        <v>280</v>
      </c>
      <c r="L507" s="4">
        <f t="shared" si="85"/>
        <v>290</v>
      </c>
      <c r="M507" s="4">
        <f t="shared" si="86"/>
        <v>375</v>
      </c>
      <c r="N507" s="4">
        <f t="shared" si="87"/>
        <v>270</v>
      </c>
      <c r="O507" s="4">
        <f t="shared" si="88"/>
        <v>315</v>
      </c>
      <c r="P507" s="4">
        <f>IF((((Price25[Cost]*1.5)+50)/0.835)&lt;2500,
MROUND((((( Price25[Cost]*1.5)+50)/0.835)*1.05)*2,10),
MROUND((((( Price25[Cost]*1.5)+50)/0.835)*1.18)*2,10))</f>
        <v>940</v>
      </c>
      <c r="Q507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450</v>
      </c>
    </row>
    <row r="508" spans="1:17" x14ac:dyDescent="0.25">
      <c r="A508" s="1">
        <v>2026</v>
      </c>
      <c r="B508" s="18">
        <v>537</v>
      </c>
      <c r="C508" s="19" t="s">
        <v>171</v>
      </c>
      <c r="D508" s="19" t="s">
        <v>494</v>
      </c>
      <c r="E508" s="19" t="s">
        <v>249</v>
      </c>
      <c r="F508" s="19" t="s">
        <v>62</v>
      </c>
      <c r="G508" s="20">
        <v>155</v>
      </c>
      <c r="I508" s="20">
        <v>12</v>
      </c>
      <c r="J508" s="4">
        <f t="shared" si="89"/>
        <v>167</v>
      </c>
      <c r="K508" s="4">
        <f t="shared" si="84"/>
        <v>200</v>
      </c>
      <c r="L508" s="4">
        <f t="shared" si="85"/>
        <v>210</v>
      </c>
      <c r="M508" s="4">
        <f t="shared" si="86"/>
        <v>275</v>
      </c>
      <c r="N508" s="4">
        <f t="shared" si="87"/>
        <v>195</v>
      </c>
      <c r="O508" s="4">
        <f t="shared" si="88"/>
        <v>225</v>
      </c>
      <c r="P508" s="4">
        <f>IF((((Price25[Cost]*1.5)+50)/0.835)&lt;2500,
MROUND((((( Price25[Cost]*1.5)+50)/0.835)*1.05)*2,10),
MROUND((((( Price25[Cost]*1.5)+50)/0.835)*1.18)*2,10))</f>
        <v>710</v>
      </c>
      <c r="Q508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350</v>
      </c>
    </row>
    <row r="509" spans="1:17" x14ac:dyDescent="0.25">
      <c r="A509" s="1">
        <v>2025</v>
      </c>
      <c r="B509" s="18">
        <v>538</v>
      </c>
      <c r="C509" s="19" t="s">
        <v>171</v>
      </c>
      <c r="D509" s="19" t="s">
        <v>494</v>
      </c>
      <c r="E509" s="19" t="s">
        <v>249</v>
      </c>
      <c r="F509" s="19" t="s">
        <v>428</v>
      </c>
      <c r="G509" s="20">
        <v>138</v>
      </c>
      <c r="I509" s="20">
        <v>12</v>
      </c>
      <c r="J509" s="4">
        <f t="shared" si="89"/>
        <v>150</v>
      </c>
      <c r="K509" s="4">
        <f t="shared" si="84"/>
        <v>185</v>
      </c>
      <c r="L509" s="4">
        <f t="shared" si="85"/>
        <v>190</v>
      </c>
      <c r="M509" s="4">
        <f t="shared" si="86"/>
        <v>250</v>
      </c>
      <c r="N509" s="4">
        <f t="shared" si="87"/>
        <v>175</v>
      </c>
      <c r="O509" s="4">
        <f t="shared" si="88"/>
        <v>205</v>
      </c>
      <c r="P509" s="4">
        <f>IF((((Price25[Cost]*1.5)+50)/0.835)&lt;2500,
MROUND((((( Price25[Cost]*1.5)+50)/0.835)*1.05)*2,10),
MROUND((((( Price25[Cost]*1.5)+50)/0.835)*1.18)*2,10))</f>
        <v>650</v>
      </c>
      <c r="Q509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320</v>
      </c>
    </row>
    <row r="510" spans="1:17" x14ac:dyDescent="0.25">
      <c r="A510" s="1">
        <v>2026</v>
      </c>
      <c r="B510" s="18">
        <v>539</v>
      </c>
      <c r="C510" s="19" t="s">
        <v>171</v>
      </c>
      <c r="D510" s="19" t="s">
        <v>494</v>
      </c>
      <c r="E510" s="19" t="s">
        <v>249</v>
      </c>
      <c r="F510" s="19" t="s">
        <v>255</v>
      </c>
      <c r="G510" s="20">
        <v>160</v>
      </c>
      <c r="I510" s="20">
        <v>12</v>
      </c>
      <c r="J510" s="4">
        <f t="shared" si="89"/>
        <v>172</v>
      </c>
      <c r="K510" s="4">
        <f t="shared" si="84"/>
        <v>205</v>
      </c>
      <c r="L510" s="4">
        <f t="shared" si="85"/>
        <v>215</v>
      </c>
      <c r="M510" s="4">
        <f t="shared" si="86"/>
        <v>275</v>
      </c>
      <c r="N510" s="4">
        <f t="shared" si="87"/>
        <v>200</v>
      </c>
      <c r="O510" s="4">
        <f t="shared" si="88"/>
        <v>235</v>
      </c>
      <c r="P510" s="4">
        <f>IF((((Price25[Cost]*1.5)+50)/0.835)&lt;2500,
MROUND((((( Price25[Cost]*1.5)+50)/0.835)*1.05)*2,10),
MROUND((((( Price25[Cost]*1.5)+50)/0.835)*1.18)*2,10))</f>
        <v>730</v>
      </c>
      <c r="Q510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350</v>
      </c>
    </row>
    <row r="511" spans="1:17" x14ac:dyDescent="0.25">
      <c r="A511" s="1">
        <v>2026</v>
      </c>
      <c r="B511" s="18">
        <v>551</v>
      </c>
      <c r="C511" s="19" t="s">
        <v>171</v>
      </c>
      <c r="D511" s="19" t="s">
        <v>494</v>
      </c>
      <c r="E511" s="19"/>
      <c r="F511" s="19" t="s">
        <v>22</v>
      </c>
      <c r="G511" s="20">
        <v>165</v>
      </c>
      <c r="I511" s="20">
        <v>15</v>
      </c>
      <c r="J511" s="4">
        <f t="shared" si="89"/>
        <v>180</v>
      </c>
      <c r="K511" s="4">
        <f t="shared" si="84"/>
        <v>215</v>
      </c>
      <c r="L511" s="4">
        <f t="shared" si="85"/>
        <v>225</v>
      </c>
      <c r="M511" s="4">
        <f t="shared" si="86"/>
        <v>300</v>
      </c>
      <c r="N511" s="4">
        <f t="shared" si="87"/>
        <v>210</v>
      </c>
      <c r="O511" s="4">
        <f t="shared" si="88"/>
        <v>245</v>
      </c>
      <c r="P511" s="4">
        <f>IF((((Price25[Cost]*1.5)+50)/0.835)&lt;2500,
MROUND((((( Price25[Cost]*1.5)+50)/0.835)*1.05)*2,10),
MROUND((((( Price25[Cost]*1.5)+50)/0.835)*1.18)*2,10))</f>
        <v>750</v>
      </c>
      <c r="Q511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370</v>
      </c>
    </row>
    <row r="512" spans="1:17" x14ac:dyDescent="0.25">
      <c r="A512" s="1">
        <v>2026</v>
      </c>
      <c r="B512" s="18">
        <v>552</v>
      </c>
      <c r="C512" s="19" t="s">
        <v>171</v>
      </c>
      <c r="D512" s="19" t="s">
        <v>494</v>
      </c>
      <c r="E512" s="19" t="s">
        <v>313</v>
      </c>
      <c r="F512" s="19" t="s">
        <v>871</v>
      </c>
      <c r="G512" s="20">
        <v>140</v>
      </c>
      <c r="I512" s="20">
        <v>30</v>
      </c>
      <c r="J512" s="4">
        <f>IF(SUMIF(G512:I512,"&lt;&gt;")=0,"",SUM(G512:I512))</f>
        <v>170</v>
      </c>
      <c r="K512" s="4">
        <f>IF(ISNUMBER(L512),
   IF(CEILING(ROUND(L512*0.95,2),5)=420,
      425,
      CEILING(ROUND(L512*0.95,2),5)
   ),
   ""
)</f>
        <v>205</v>
      </c>
      <c r="L512" s="4">
        <f>IF(AND(ISNUMBER(J512),ISNUMBER(G512)),
   IF(CEILING(ROUND(J512*1.25,2),5)=420,
      425,
      CEILING(ROUND(J512*1.25,2),5)
   ),
   ""
)</f>
        <v>215</v>
      </c>
      <c r="M512" s="4">
        <f>IF(AND(ISNUMBER(J512),ISNUMBER(G512)),
   IF(
      CEILING(
         ROUND((J512*1.5) * IF(J512*1.5 &lt;= 2500, 1.05, 1.18), 2),
         IF(ROUND((J512*1.5) * IF(J512*1.5 &lt;= 2500, 1.05, 1.18), 2) &lt; 2500, 25, 50)
      )=420,
      425,
      CEILING(
         ROUND((J512*1.5) * IF(J512*1.5 &lt;= 2500, 1.05, 1.18), 2),
         IF(ROUND((J512*1.5) * IF(J512*1.5 &lt;= 2500, 1.05, 1.18), 2) &lt; 2500, 25, 50)
      )
   ),
   ""
)</f>
        <v>275</v>
      </c>
      <c r="N512" s="4">
        <f>IF(ISNUMBER(G512),
   IF(CEILING(ROUND(L512*0.92,2),5)=420,
      425,
      CEILING(ROUND(L512*0.92,2),5)
   ),
   ""
)</f>
        <v>200</v>
      </c>
      <c r="O512" s="4">
        <f>IF(ISNUMBER(L512),
   IF(CEILING(ROUND(L512*1.07,2),5)=420,
      425,
      CEILING(ROUND(L512*1.07,2),5)
   ),
   ""
)</f>
        <v>235</v>
      </c>
      <c r="P512" s="4">
        <f>IF((((Price25[Cost]*1.5)+50)/0.835)&lt;2500,
MROUND((((( Price25[Cost]*1.5)+50)/0.835)*1.05)*2,10),
MROUND((((( Price25[Cost]*1.5)+50)/0.835)*1.18)*2,10))</f>
        <v>650</v>
      </c>
      <c r="Q512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350</v>
      </c>
    </row>
    <row r="513" spans="1:17" x14ac:dyDescent="0.25">
      <c r="A513" s="1">
        <v>2026</v>
      </c>
      <c r="B513" s="18">
        <v>554</v>
      </c>
      <c r="C513" s="19" t="s">
        <v>171</v>
      </c>
      <c r="D513" s="19" t="s">
        <v>494</v>
      </c>
      <c r="E513" s="19" t="s">
        <v>919</v>
      </c>
      <c r="F513" s="19" t="s">
        <v>920</v>
      </c>
      <c r="G513" s="20">
        <v>212</v>
      </c>
      <c r="H513" s="20">
        <v>8</v>
      </c>
      <c r="I513" s="20">
        <v>15</v>
      </c>
      <c r="J513" s="4">
        <f t="shared" si="89"/>
        <v>235</v>
      </c>
      <c r="K513" s="4">
        <f t="shared" si="84"/>
        <v>285</v>
      </c>
      <c r="L513" s="4">
        <f t="shared" si="85"/>
        <v>295</v>
      </c>
      <c r="M513" s="4">
        <f t="shared" si="86"/>
        <v>375</v>
      </c>
      <c r="N513" s="4">
        <f t="shared" si="87"/>
        <v>275</v>
      </c>
      <c r="O513" s="4">
        <f t="shared" si="88"/>
        <v>320</v>
      </c>
      <c r="P513" s="4">
        <f>IF((((Price25[Cost]*1.5)+50)/0.835)&lt;2500,
MROUND((((( Price25[Cost]*1.5)+50)/0.835)*1.05)*2,10),
MROUND((((( Price25[Cost]*1.5)+50)/0.835)*1.18)*2,10))</f>
        <v>930</v>
      </c>
      <c r="Q513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450</v>
      </c>
    </row>
    <row r="514" spans="1:17" x14ac:dyDescent="0.25">
      <c r="A514" s="1"/>
      <c r="B514" s="18">
        <v>5541</v>
      </c>
      <c r="C514" s="19" t="s">
        <v>171</v>
      </c>
      <c r="D514" s="19" t="s">
        <v>494</v>
      </c>
      <c r="E514" s="19"/>
      <c r="F514" s="19" t="s">
        <v>45</v>
      </c>
      <c r="G514" s="20">
        <v>195</v>
      </c>
      <c r="I514" s="20">
        <v>12</v>
      </c>
      <c r="J514" s="4">
        <f t="shared" si="89"/>
        <v>207</v>
      </c>
      <c r="K514" s="4">
        <f t="shared" si="84"/>
        <v>250</v>
      </c>
      <c r="L514" s="4">
        <f t="shared" si="85"/>
        <v>260</v>
      </c>
      <c r="M514" s="4">
        <f t="shared" si="86"/>
        <v>350</v>
      </c>
      <c r="N514" s="4">
        <f t="shared" si="87"/>
        <v>240</v>
      </c>
      <c r="O514" s="4">
        <f t="shared" si="88"/>
        <v>280</v>
      </c>
      <c r="P514" s="4">
        <f>IF((((Price25[Cost]*1.5)+50)/0.835)&lt;2500,
MROUND((((( Price25[Cost]*1.5)+50)/0.835)*1.05)*2,10),
MROUND((((( Price25[Cost]*1.5)+50)/0.835)*1.18)*2,10))</f>
        <v>860</v>
      </c>
      <c r="Q514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420</v>
      </c>
    </row>
    <row r="515" spans="1:17" x14ac:dyDescent="0.25">
      <c r="A515" s="1">
        <v>2026</v>
      </c>
      <c r="B515" s="18">
        <v>556</v>
      </c>
      <c r="C515" s="19" t="s">
        <v>171</v>
      </c>
      <c r="D515" s="19" t="s">
        <v>494</v>
      </c>
      <c r="E515" s="19" t="s">
        <v>191</v>
      </c>
      <c r="F515" s="19" t="s">
        <v>908</v>
      </c>
      <c r="G515" s="20">
        <v>165</v>
      </c>
      <c r="I515" s="20">
        <v>245</v>
      </c>
      <c r="J515" s="4">
        <f t="shared" si="89"/>
        <v>410</v>
      </c>
      <c r="K515" s="4">
        <f t="shared" si="84"/>
        <v>490</v>
      </c>
      <c r="L515" s="4">
        <f t="shared" si="85"/>
        <v>515</v>
      </c>
      <c r="M515" s="4">
        <f t="shared" si="86"/>
        <v>650</v>
      </c>
      <c r="N515" s="4">
        <f t="shared" si="87"/>
        <v>475</v>
      </c>
      <c r="O515" s="4">
        <f t="shared" si="88"/>
        <v>555</v>
      </c>
      <c r="P515" s="4">
        <f>IF((((Price25[Cost]*1.5)+50)/0.835)&lt;2500,
MROUND((((( Price25[Cost]*1.5)+50)/0.835)*1.05)*2,10),
MROUND((((( Price25[Cost]*1.5)+50)/0.835)*1.18)*2,10))</f>
        <v>750</v>
      </c>
      <c r="Q515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720</v>
      </c>
    </row>
    <row r="516" spans="1:17" x14ac:dyDescent="0.25">
      <c r="A516" s="1">
        <v>2025</v>
      </c>
      <c r="B516" s="18">
        <v>557</v>
      </c>
      <c r="C516" s="19" t="s">
        <v>171</v>
      </c>
      <c r="D516" s="19" t="s">
        <v>494</v>
      </c>
      <c r="E516" s="19"/>
      <c r="F516" s="19" t="s">
        <v>192</v>
      </c>
      <c r="G516" s="20">
        <v>150</v>
      </c>
      <c r="H516" s="20">
        <v>5</v>
      </c>
      <c r="I516" s="20">
        <v>190</v>
      </c>
      <c r="J516" s="4">
        <f t="shared" si="89"/>
        <v>345</v>
      </c>
      <c r="K516" s="4">
        <f t="shared" si="84"/>
        <v>415</v>
      </c>
      <c r="L516" s="4">
        <f t="shared" si="85"/>
        <v>435</v>
      </c>
      <c r="M516" s="4">
        <f t="shared" si="86"/>
        <v>550</v>
      </c>
      <c r="N516" s="4">
        <f t="shared" si="87"/>
        <v>405</v>
      </c>
      <c r="O516" s="4">
        <f t="shared" si="88"/>
        <v>470</v>
      </c>
      <c r="P516" s="4">
        <f>IF((((Price25[Cost]*1.5)+50)/0.835)&lt;2500,
MROUND((((( Price25[Cost]*1.5)+50)/0.835)*1.05)*2,10),
MROUND((((( Price25[Cost]*1.5)+50)/0.835)*1.18)*2,10))</f>
        <v>690</v>
      </c>
      <c r="Q516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620</v>
      </c>
    </row>
    <row r="517" spans="1:17" x14ac:dyDescent="0.25">
      <c r="A517" s="1">
        <v>2025</v>
      </c>
      <c r="B517" s="18">
        <v>558</v>
      </c>
      <c r="C517" s="19" t="s">
        <v>171</v>
      </c>
      <c r="D517" s="19" t="s">
        <v>494</v>
      </c>
      <c r="E517" s="19" t="s">
        <v>460</v>
      </c>
      <c r="F517" s="19" t="s">
        <v>479</v>
      </c>
      <c r="G517" s="20">
        <v>150</v>
      </c>
      <c r="H517" s="20">
        <v>5</v>
      </c>
      <c r="I517" s="20">
        <v>200</v>
      </c>
      <c r="J517" s="4">
        <f t="shared" si="89"/>
        <v>355</v>
      </c>
      <c r="K517" s="4">
        <f t="shared" si="84"/>
        <v>425</v>
      </c>
      <c r="L517" s="4">
        <f t="shared" si="85"/>
        <v>445</v>
      </c>
      <c r="M517" s="4">
        <f t="shared" si="86"/>
        <v>575</v>
      </c>
      <c r="N517" s="4">
        <f t="shared" si="87"/>
        <v>410</v>
      </c>
      <c r="O517" s="4">
        <f t="shared" si="88"/>
        <v>480</v>
      </c>
      <c r="P517" s="4">
        <f>IF((((Price25[Cost]*1.5)+50)/0.835)&lt;2500,
MROUND((((( Price25[Cost]*1.5)+50)/0.835)*1.05)*2,10),
MROUND((((( Price25[Cost]*1.5)+50)/0.835)*1.18)*2,10))</f>
        <v>690</v>
      </c>
      <c r="Q517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650</v>
      </c>
    </row>
    <row r="518" spans="1:17" x14ac:dyDescent="0.25">
      <c r="A518" s="1">
        <v>2026</v>
      </c>
      <c r="B518" s="18">
        <v>5581</v>
      </c>
      <c r="C518" s="19" t="s">
        <v>171</v>
      </c>
      <c r="D518" s="19" t="s">
        <v>494</v>
      </c>
      <c r="E518" s="19" t="s">
        <v>460</v>
      </c>
      <c r="F518" s="19" t="s">
        <v>896</v>
      </c>
      <c r="G518" s="20">
        <v>165</v>
      </c>
      <c r="I518" s="20">
        <v>325</v>
      </c>
      <c r="J518" s="4">
        <f t="shared" ref="J518:J526" si="102">IF(SUMIF(G518:I518,"&lt;&gt;")=0,"",SUM(G518:I518))</f>
        <v>490</v>
      </c>
      <c r="K518" s="4">
        <f t="shared" ref="K518:K526" si="103">IF(ISNUMBER(L518),
   IF(CEILING(ROUND(L518*0.95,2),5)=420,
      425,
      CEILING(ROUND(L518*0.95,2),5)
   ),
   ""
)</f>
        <v>585</v>
      </c>
      <c r="L518" s="4">
        <f t="shared" ref="L518:L526" si="104">IF(AND(ISNUMBER(J518),ISNUMBER(G518)),
   IF(CEILING(ROUND(J518*1.25,2),5)=420,
      425,
      CEILING(ROUND(J518*1.25,2),5)
   ),
   ""
)</f>
        <v>615</v>
      </c>
      <c r="M518" s="4">
        <f t="shared" ref="M518:M526" si="105">IF(AND(ISNUMBER(J518),ISNUMBER(G518)),
   IF(
      CEILING(
         ROUND((J518*1.5) * IF(J518*1.5 &lt;= 2500, 1.05, 1.18), 2),
         IF(ROUND((J518*1.5) * IF(J518*1.5 &lt;= 2500, 1.05, 1.18), 2) &lt; 2500, 25, 50)
      )=420,
      425,
      CEILING(
         ROUND((J518*1.5) * IF(J518*1.5 &lt;= 2500, 1.05, 1.18), 2),
         IF(ROUND((J518*1.5) * IF(J518*1.5 &lt;= 2500, 1.05, 1.18), 2) &lt; 2500, 25, 50)
      )
   ),
   ""
)</f>
        <v>775</v>
      </c>
      <c r="N518" s="4">
        <f t="shared" ref="N518:N526" si="106">IF(ISNUMBER(G518),
   IF(CEILING(ROUND(L518*0.92,2),5)=420,
      425,
      CEILING(ROUND(L518*0.92,2),5)
   ),
   ""
)</f>
        <v>570</v>
      </c>
      <c r="O518" s="4">
        <f t="shared" ref="O518:O526" si="107">IF(ISNUMBER(L518),
   IF(CEILING(ROUND(L518*1.07,2),5)=420,
      425,
      CEILING(ROUND(L518*1.07,2),5)
   ),
   ""
)</f>
        <v>660</v>
      </c>
      <c r="P518" s="4">
        <f>IF((((Price25[Cost]*1.5)+50)/0.835)&lt;2500,
MROUND((((( Price25[Cost]*1.5)+50)/0.835)*1.05)*2,10),
MROUND((((( Price25[Cost]*1.5)+50)/0.835)*1.18)*2,10))</f>
        <v>750</v>
      </c>
      <c r="Q518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850</v>
      </c>
    </row>
    <row r="519" spans="1:17" x14ac:dyDescent="0.25">
      <c r="A519" s="1">
        <v>2026</v>
      </c>
      <c r="B519" s="18">
        <v>5582</v>
      </c>
      <c r="C519" s="19" t="s">
        <v>171</v>
      </c>
      <c r="D519" s="19" t="s">
        <v>494</v>
      </c>
      <c r="E519" s="19" t="s">
        <v>460</v>
      </c>
      <c r="F519" s="19" t="s">
        <v>897</v>
      </c>
      <c r="G519" s="20">
        <v>165</v>
      </c>
      <c r="I519" s="20">
        <v>360</v>
      </c>
      <c r="J519" s="4">
        <f t="shared" si="102"/>
        <v>525</v>
      </c>
      <c r="K519" s="4">
        <f t="shared" si="103"/>
        <v>630</v>
      </c>
      <c r="L519" s="4">
        <f t="shared" si="104"/>
        <v>660</v>
      </c>
      <c r="M519" s="4">
        <f t="shared" si="105"/>
        <v>850</v>
      </c>
      <c r="N519" s="4">
        <f t="shared" si="106"/>
        <v>610</v>
      </c>
      <c r="O519" s="4">
        <f t="shared" si="107"/>
        <v>710</v>
      </c>
      <c r="P519" s="4">
        <f>IF((((Price25[Cost]*1.5)+50)/0.835)&lt;2500,
MROUND((((( Price25[Cost]*1.5)+50)/0.835)*1.05)*2,10),
MROUND((((( Price25[Cost]*1.5)+50)/0.835)*1.18)*2,10))</f>
        <v>750</v>
      </c>
      <c r="Q519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920</v>
      </c>
    </row>
    <row r="520" spans="1:17" x14ac:dyDescent="0.25">
      <c r="A520" s="1">
        <v>2026</v>
      </c>
      <c r="B520" s="18">
        <v>5583</v>
      </c>
      <c r="C520" s="19" t="s">
        <v>171</v>
      </c>
      <c r="D520" s="19" t="s">
        <v>494</v>
      </c>
      <c r="E520" s="19" t="s">
        <v>460</v>
      </c>
      <c r="F520" s="19" t="s">
        <v>898</v>
      </c>
      <c r="G520" s="20">
        <v>165</v>
      </c>
      <c r="I520" s="20">
        <v>310</v>
      </c>
      <c r="J520" s="4">
        <f t="shared" si="102"/>
        <v>475</v>
      </c>
      <c r="K520" s="4">
        <f t="shared" si="103"/>
        <v>570</v>
      </c>
      <c r="L520" s="4">
        <f t="shared" si="104"/>
        <v>595</v>
      </c>
      <c r="M520" s="4">
        <f t="shared" si="105"/>
        <v>750</v>
      </c>
      <c r="N520" s="4">
        <f t="shared" si="106"/>
        <v>550</v>
      </c>
      <c r="O520" s="4">
        <f t="shared" si="107"/>
        <v>640</v>
      </c>
      <c r="P520" s="4">
        <f>IF((((Price25[Cost]*1.5)+50)/0.835)&lt;2500,
MROUND((((( Price25[Cost]*1.5)+50)/0.835)*1.05)*2,10),
MROUND((((( Price25[Cost]*1.5)+50)/0.835)*1.18)*2,10))</f>
        <v>750</v>
      </c>
      <c r="Q520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820</v>
      </c>
    </row>
    <row r="521" spans="1:17" x14ac:dyDescent="0.25">
      <c r="A521" s="1">
        <v>2026</v>
      </c>
      <c r="B521" s="18">
        <v>5584</v>
      </c>
      <c r="C521" s="19" t="s">
        <v>171</v>
      </c>
      <c r="D521" s="19" t="s">
        <v>494</v>
      </c>
      <c r="E521" s="19" t="s">
        <v>460</v>
      </c>
      <c r="F521" s="19" t="s">
        <v>925</v>
      </c>
      <c r="G521" s="20">
        <v>165</v>
      </c>
      <c r="I521" s="20">
        <v>210</v>
      </c>
      <c r="J521" s="4">
        <f t="shared" si="102"/>
        <v>375</v>
      </c>
      <c r="K521" s="4">
        <f t="shared" si="103"/>
        <v>450</v>
      </c>
      <c r="L521" s="4">
        <f t="shared" si="104"/>
        <v>470</v>
      </c>
      <c r="M521" s="4">
        <f t="shared" si="105"/>
        <v>600</v>
      </c>
      <c r="N521" s="4">
        <f t="shared" si="106"/>
        <v>435</v>
      </c>
      <c r="O521" s="4">
        <f t="shared" si="107"/>
        <v>505</v>
      </c>
      <c r="P521" s="4">
        <f>IF((((Price25[Cost]*1.5)+50)/0.835)&lt;2500,
MROUND((((( Price25[Cost]*1.5)+50)/0.835)*1.05)*2,10),
MROUND((((( Price25[Cost]*1.5)+50)/0.835)*1.18)*2,10))</f>
        <v>750</v>
      </c>
      <c r="Q521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670</v>
      </c>
    </row>
    <row r="522" spans="1:17" x14ac:dyDescent="0.25">
      <c r="A522" s="1">
        <v>2026</v>
      </c>
      <c r="B522" s="18">
        <v>5585</v>
      </c>
      <c r="C522" s="19" t="s">
        <v>171</v>
      </c>
      <c r="D522" s="19" t="s">
        <v>494</v>
      </c>
      <c r="E522" s="19" t="s">
        <v>460</v>
      </c>
      <c r="F522" s="19" t="s">
        <v>926</v>
      </c>
      <c r="G522" s="20">
        <v>165</v>
      </c>
      <c r="I522" s="20">
        <v>210</v>
      </c>
      <c r="J522" s="4">
        <f t="shared" si="102"/>
        <v>375</v>
      </c>
      <c r="K522" s="4">
        <f t="shared" si="103"/>
        <v>450</v>
      </c>
      <c r="L522" s="4">
        <f t="shared" si="104"/>
        <v>470</v>
      </c>
      <c r="M522" s="4">
        <f t="shared" si="105"/>
        <v>600</v>
      </c>
      <c r="N522" s="4">
        <f t="shared" si="106"/>
        <v>435</v>
      </c>
      <c r="O522" s="4">
        <f t="shared" si="107"/>
        <v>505</v>
      </c>
      <c r="P522" s="4">
        <f>IF((((Price25[Cost]*1.5)+50)/0.835)&lt;2500,
MROUND((((( Price25[Cost]*1.5)+50)/0.835)*1.05)*2,10),
MROUND((((( Price25[Cost]*1.5)+50)/0.835)*1.18)*2,10))</f>
        <v>750</v>
      </c>
      <c r="Q522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670</v>
      </c>
    </row>
    <row r="523" spans="1:17" x14ac:dyDescent="0.25">
      <c r="A523" s="1">
        <v>2026</v>
      </c>
      <c r="B523" s="18">
        <v>5586</v>
      </c>
      <c r="C523" s="19" t="s">
        <v>171</v>
      </c>
      <c r="D523" s="19" t="s">
        <v>494</v>
      </c>
      <c r="E523" s="19" t="s">
        <v>460</v>
      </c>
      <c r="F523" s="19" t="s">
        <v>927</v>
      </c>
      <c r="G523" s="20">
        <v>165</v>
      </c>
      <c r="I523" s="20">
        <v>235</v>
      </c>
      <c r="J523" s="4">
        <f t="shared" si="102"/>
        <v>400</v>
      </c>
      <c r="K523" s="4">
        <f t="shared" si="103"/>
        <v>475</v>
      </c>
      <c r="L523" s="4">
        <f t="shared" si="104"/>
        <v>500</v>
      </c>
      <c r="M523" s="4">
        <f t="shared" si="105"/>
        <v>650</v>
      </c>
      <c r="N523" s="4">
        <f t="shared" si="106"/>
        <v>460</v>
      </c>
      <c r="O523" s="4">
        <f t="shared" si="107"/>
        <v>535</v>
      </c>
      <c r="P523" s="4">
        <f>IF((((Price25[Cost]*1.5)+50)/0.835)&lt;2500,
MROUND((((( Price25[Cost]*1.5)+50)/0.835)*1.05)*2,10),
MROUND((((( Price25[Cost]*1.5)+50)/0.835)*1.18)*2,10))</f>
        <v>750</v>
      </c>
      <c r="Q523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720</v>
      </c>
    </row>
    <row r="524" spans="1:17" x14ac:dyDescent="0.25">
      <c r="A524" s="1">
        <v>2026</v>
      </c>
      <c r="B524" s="18">
        <v>5587</v>
      </c>
      <c r="C524" s="19" t="s">
        <v>171</v>
      </c>
      <c r="D524" s="19" t="s">
        <v>494</v>
      </c>
      <c r="E524" s="19" t="s">
        <v>460</v>
      </c>
      <c r="F524" s="19" t="s">
        <v>928</v>
      </c>
      <c r="G524" s="20">
        <v>165</v>
      </c>
      <c r="I524" s="20">
        <v>255</v>
      </c>
      <c r="J524" s="4">
        <f t="shared" si="102"/>
        <v>420</v>
      </c>
      <c r="K524" s="4">
        <f t="shared" si="103"/>
        <v>500</v>
      </c>
      <c r="L524" s="4">
        <f t="shared" si="104"/>
        <v>525</v>
      </c>
      <c r="M524" s="4">
        <f t="shared" si="105"/>
        <v>675</v>
      </c>
      <c r="N524" s="4">
        <f t="shared" si="106"/>
        <v>485</v>
      </c>
      <c r="O524" s="4">
        <f t="shared" si="107"/>
        <v>565</v>
      </c>
      <c r="P524" s="4">
        <f>IF((((Price25[Cost]*1.5)+50)/0.835)&lt;2500,
MROUND((((( Price25[Cost]*1.5)+50)/0.835)*1.05)*2,10),
MROUND((((( Price25[Cost]*1.5)+50)/0.835)*1.18)*2,10))</f>
        <v>750</v>
      </c>
      <c r="Q524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750</v>
      </c>
    </row>
    <row r="525" spans="1:17" x14ac:dyDescent="0.25">
      <c r="A525" s="1">
        <v>2026</v>
      </c>
      <c r="B525" s="18">
        <v>5588</v>
      </c>
      <c r="C525" s="19" t="s">
        <v>171</v>
      </c>
      <c r="D525" s="19" t="s">
        <v>494</v>
      </c>
      <c r="E525" s="19" t="s">
        <v>460</v>
      </c>
      <c r="F525" s="19" t="s">
        <v>929</v>
      </c>
      <c r="G525" s="20">
        <v>165</v>
      </c>
      <c r="I525" s="20">
        <v>225</v>
      </c>
      <c r="J525" s="4">
        <f t="shared" si="102"/>
        <v>390</v>
      </c>
      <c r="K525" s="4">
        <f t="shared" si="103"/>
        <v>470</v>
      </c>
      <c r="L525" s="4">
        <f t="shared" si="104"/>
        <v>490</v>
      </c>
      <c r="M525" s="4">
        <f t="shared" si="105"/>
        <v>625</v>
      </c>
      <c r="N525" s="4">
        <f t="shared" si="106"/>
        <v>455</v>
      </c>
      <c r="O525" s="4">
        <f t="shared" si="107"/>
        <v>525</v>
      </c>
      <c r="P525" s="4">
        <f>IF((((Price25[Cost]*1.5)+50)/0.835)&lt;2500,
MROUND((((( Price25[Cost]*1.5)+50)/0.835)*1.05)*2,10),
MROUND((((( Price25[Cost]*1.5)+50)/0.835)*1.18)*2,10))</f>
        <v>750</v>
      </c>
      <c r="Q525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700</v>
      </c>
    </row>
    <row r="526" spans="1:17" x14ac:dyDescent="0.25">
      <c r="A526" s="1">
        <v>2026</v>
      </c>
      <c r="B526" s="18">
        <v>5589</v>
      </c>
      <c r="C526" s="19" t="s">
        <v>171</v>
      </c>
      <c r="D526" s="19" t="s">
        <v>494</v>
      </c>
      <c r="E526" s="19" t="s">
        <v>460</v>
      </c>
      <c r="F526" s="19"/>
      <c r="G526" s="20">
        <v>165</v>
      </c>
      <c r="J526" s="4">
        <f t="shared" si="102"/>
        <v>165</v>
      </c>
      <c r="K526" s="4">
        <f t="shared" si="103"/>
        <v>200</v>
      </c>
      <c r="L526" s="4">
        <f t="shared" si="104"/>
        <v>210</v>
      </c>
      <c r="M526" s="4">
        <f t="shared" si="105"/>
        <v>275</v>
      </c>
      <c r="N526" s="4">
        <f t="shared" si="106"/>
        <v>195</v>
      </c>
      <c r="O526" s="4">
        <f t="shared" si="107"/>
        <v>225</v>
      </c>
      <c r="P526" s="4">
        <f>IF((((Price25[Cost]*1.5)+50)/0.835)&lt;2500,
MROUND((((( Price25[Cost]*1.5)+50)/0.835)*1.05)*2,10),
MROUND((((( Price25[Cost]*1.5)+50)/0.835)*1.18)*2,10))</f>
        <v>750</v>
      </c>
      <c r="Q526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350</v>
      </c>
    </row>
    <row r="527" spans="1:17" x14ac:dyDescent="0.25">
      <c r="A527" s="1">
        <v>2026</v>
      </c>
      <c r="B527" s="18">
        <v>5590</v>
      </c>
      <c r="C527" s="19"/>
      <c r="D527" s="19"/>
      <c r="E527" s="19"/>
      <c r="F527" s="19"/>
      <c r="G527" s="20">
        <v>165</v>
      </c>
      <c r="J527" s="4">
        <f>IF(SUMIF(G527:I527,"&lt;&gt;")=0,"",SUM(G527:I527))</f>
        <v>165</v>
      </c>
      <c r="K527" s="4">
        <f>IF(ISNUMBER(L527),
   IF(CEILING(ROUND(L527*0.95,2),5)=420,
      425,
      CEILING(ROUND(L527*0.95,2),5)
   ),
   ""
)</f>
        <v>200</v>
      </c>
      <c r="L527" s="4">
        <f>IF(AND(ISNUMBER(J527),ISNUMBER(G527)),
   IF(CEILING(ROUND(J527*1.25,2),5)=420,
      425,
      CEILING(ROUND(J527*1.25,2),5)
   ),
   ""
)</f>
        <v>210</v>
      </c>
      <c r="M527" s="4">
        <f>IF(AND(ISNUMBER(J527),ISNUMBER(G527)),
   IF(
      CEILING(
         ROUND((J527*1.5) * IF(J527*1.5 &lt;= 2500, 1.05, 1.18), 2),
         IF(ROUND((J527*1.5) * IF(J527*1.5 &lt;= 2500, 1.05, 1.18), 2) &lt; 2500, 25, 50)
      )=420,
      425,
      CEILING(
         ROUND((J527*1.5) * IF(J527*1.5 &lt;= 2500, 1.05, 1.18), 2),
         IF(ROUND((J527*1.5) * IF(J527*1.5 &lt;= 2500, 1.05, 1.18), 2) &lt; 2500, 25, 50)
      )
   ),
   ""
)</f>
        <v>275</v>
      </c>
      <c r="N527" s="4">
        <f>IF(ISNUMBER(G527),
   IF(CEILING(ROUND(L527*0.92,2),5)=420,
      425,
      CEILING(ROUND(L527*0.92,2),5)
   ),
   ""
)</f>
        <v>195</v>
      </c>
      <c r="O527" s="4">
        <f>IF(ISNUMBER(L527),
   IF(CEILING(ROUND(L527*1.07,2),5)=420,
      425,
      CEILING(ROUND(L527*1.07,2),5)
   ),
   ""
)</f>
        <v>225</v>
      </c>
      <c r="P527" s="4">
        <f>IF((((Price25[Cost]*1.5)+50)/0.835)&lt;2500,
MROUND((((( Price25[Cost]*1.5)+50)/0.835)*1.05)*2,10),
MROUND((((( Price25[Cost]*1.5)+50)/0.835)*1.18)*2,10))</f>
        <v>750</v>
      </c>
      <c r="Q527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350</v>
      </c>
    </row>
    <row r="528" spans="1:17" x14ac:dyDescent="0.25">
      <c r="A528" s="1"/>
      <c r="B528" s="18">
        <v>560</v>
      </c>
      <c r="C528" s="19" t="s">
        <v>171</v>
      </c>
      <c r="D528" s="19" t="s">
        <v>494</v>
      </c>
      <c r="E528" s="19"/>
      <c r="F528" s="19" t="s">
        <v>59</v>
      </c>
      <c r="G528" s="20">
        <v>145</v>
      </c>
      <c r="I528" s="20">
        <v>54</v>
      </c>
      <c r="J528" s="4">
        <f t="shared" si="89"/>
        <v>199</v>
      </c>
      <c r="K528" s="4">
        <f t="shared" ref="K528:K593" si="108">IF(ISNUMBER(L528),
   IF(CEILING(ROUND(L528*0.95,2),5)=420,
      425,
      CEILING(ROUND(L528*0.95,2),5)
   ),
   ""
)</f>
        <v>240</v>
      </c>
      <c r="L528" s="4">
        <f t="shared" ref="L528:L593" si="109">IF(AND(ISNUMBER(J528),ISNUMBER(G528)),
   IF(CEILING(ROUND(J528*1.25,2),5)=420,
      425,
      CEILING(ROUND(J528*1.25,2),5)
   ),
   ""
)</f>
        <v>250</v>
      </c>
      <c r="M528" s="4">
        <f t="shared" ref="M528:M593" si="110">IF(AND(ISNUMBER(J528),ISNUMBER(G528)),
   IF(
      CEILING(
         ROUND((J528*1.5) * IF(J528*1.5 &lt;= 2500, 1.05, 1.18), 2),
         IF(ROUND((J528*1.5) * IF(J528*1.5 &lt;= 2500, 1.05, 1.18), 2) &lt; 2500, 25, 50)
      )=420,
      425,
      CEILING(
         ROUND((J528*1.5) * IF(J528*1.5 &lt;= 2500, 1.05, 1.18), 2),
         IF(ROUND((J528*1.5) * IF(J528*1.5 &lt;= 2500, 1.05, 1.18), 2) &lt; 2500, 25, 50)
      )
   ),
   ""
)</f>
        <v>325</v>
      </c>
      <c r="N528" s="4">
        <f t="shared" ref="N528:N593" si="111">IF(ISNUMBER(G528),
   IF(CEILING(ROUND(L528*0.92,2),5)=420,
      425,
      CEILING(ROUND(L528*0.92,2),5)
   ),
   ""
)</f>
        <v>230</v>
      </c>
      <c r="O528" s="4">
        <f t="shared" ref="O528:O593" si="112">IF(ISNUMBER(L528),
   IF(CEILING(ROUND(L528*1.07,2),5)=420,
      425,
      CEILING(ROUND(L528*1.07,2),5)
   ),
   ""
)</f>
        <v>270</v>
      </c>
      <c r="P528" s="4">
        <f>IF((((Price25[Cost]*1.5)+50)/0.835)&lt;2500,
MROUND((((( Price25[Cost]*1.5)+50)/0.835)*1.05)*2,10),
MROUND((((( Price25[Cost]*1.5)+50)/0.835)*1.18)*2,10))</f>
        <v>670</v>
      </c>
      <c r="Q528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400</v>
      </c>
    </row>
    <row r="529" spans="1:17" x14ac:dyDescent="0.25">
      <c r="A529" s="1">
        <v>2025</v>
      </c>
      <c r="B529" s="18">
        <v>561</v>
      </c>
      <c r="C529" s="19" t="s">
        <v>171</v>
      </c>
      <c r="D529" s="19" t="s">
        <v>494</v>
      </c>
      <c r="E529" s="19" t="s">
        <v>197</v>
      </c>
      <c r="F529" s="19" t="s">
        <v>613</v>
      </c>
      <c r="G529" s="20">
        <v>160</v>
      </c>
      <c r="I529" s="20">
        <v>285</v>
      </c>
      <c r="J529" s="4">
        <f t="shared" si="89"/>
        <v>445</v>
      </c>
      <c r="K529" s="4">
        <f t="shared" si="108"/>
        <v>535</v>
      </c>
      <c r="L529" s="4">
        <f t="shared" si="109"/>
        <v>560</v>
      </c>
      <c r="M529" s="4">
        <f t="shared" si="110"/>
        <v>725</v>
      </c>
      <c r="N529" s="4">
        <f t="shared" si="111"/>
        <v>520</v>
      </c>
      <c r="O529" s="4">
        <f t="shared" si="112"/>
        <v>600</v>
      </c>
      <c r="P529" s="4">
        <f>IF((((Price25[Cost]*1.5)+50)/0.835)&lt;2500,
MROUND((((( Price25[Cost]*1.5)+50)/0.835)*1.05)*2,10),
MROUND((((( Price25[Cost]*1.5)+50)/0.835)*1.18)*2,10))</f>
        <v>730</v>
      </c>
      <c r="Q529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800</v>
      </c>
    </row>
    <row r="530" spans="1:17" x14ac:dyDescent="0.25">
      <c r="A530" s="1">
        <v>2026</v>
      </c>
      <c r="B530" s="18">
        <v>562</v>
      </c>
      <c r="C530" s="19" t="s">
        <v>171</v>
      </c>
      <c r="D530" s="19" t="s">
        <v>494</v>
      </c>
      <c r="E530" s="19" t="s">
        <v>191</v>
      </c>
      <c r="F530" s="19" t="s">
        <v>907</v>
      </c>
      <c r="G530" s="20">
        <v>165</v>
      </c>
      <c r="I530" s="20">
        <v>222</v>
      </c>
      <c r="J530" s="4">
        <f t="shared" si="89"/>
        <v>387</v>
      </c>
      <c r="K530" s="4">
        <f t="shared" si="108"/>
        <v>465</v>
      </c>
      <c r="L530" s="4">
        <f t="shared" si="109"/>
        <v>485</v>
      </c>
      <c r="M530" s="4">
        <f t="shared" si="110"/>
        <v>625</v>
      </c>
      <c r="N530" s="4">
        <f t="shared" si="111"/>
        <v>450</v>
      </c>
      <c r="O530" s="4">
        <f t="shared" si="112"/>
        <v>520</v>
      </c>
      <c r="P530" s="4">
        <f>IF((((Price25[Cost]*1.5)+50)/0.835)&lt;2500,
MROUND((((( Price25[Cost]*1.5)+50)/0.835)*1.05)*2,10),
MROUND((((( Price25[Cost]*1.5)+50)/0.835)*1.18)*2,10))</f>
        <v>750</v>
      </c>
      <c r="Q530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700</v>
      </c>
    </row>
    <row r="531" spans="1:17" x14ac:dyDescent="0.25">
      <c r="A531" s="1">
        <v>2025</v>
      </c>
      <c r="B531" s="18">
        <v>563</v>
      </c>
      <c r="C531" s="19" t="s">
        <v>171</v>
      </c>
      <c r="D531" s="19" t="s">
        <v>494</v>
      </c>
      <c r="E531" s="19" t="s">
        <v>190</v>
      </c>
      <c r="F531" s="19" t="s">
        <v>570</v>
      </c>
      <c r="G531" s="20">
        <v>160</v>
      </c>
      <c r="I531" s="20">
        <v>135</v>
      </c>
      <c r="J531" s="4">
        <f t="shared" si="89"/>
        <v>295</v>
      </c>
      <c r="K531" s="4">
        <f t="shared" si="108"/>
        <v>355</v>
      </c>
      <c r="L531" s="4">
        <f t="shared" si="109"/>
        <v>370</v>
      </c>
      <c r="M531" s="4">
        <f t="shared" si="110"/>
        <v>475</v>
      </c>
      <c r="N531" s="4">
        <f t="shared" si="111"/>
        <v>345</v>
      </c>
      <c r="O531" s="4">
        <f t="shared" si="112"/>
        <v>400</v>
      </c>
      <c r="P531" s="4">
        <f>IF((((Price25[Cost]*1.5)+50)/0.835)&lt;2500,
MROUND((((( Price25[Cost]*1.5)+50)/0.835)*1.05)*2,10),
MROUND((((( Price25[Cost]*1.5)+50)/0.835)*1.18)*2,10))</f>
        <v>730</v>
      </c>
      <c r="Q531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550</v>
      </c>
    </row>
    <row r="532" spans="1:17" x14ac:dyDescent="0.25">
      <c r="A532" s="1"/>
      <c r="B532" s="18">
        <v>568</v>
      </c>
      <c r="C532" s="19" t="s">
        <v>171</v>
      </c>
      <c r="D532" s="19" t="s">
        <v>494</v>
      </c>
      <c r="E532" s="19"/>
      <c r="F532" s="19" t="s">
        <v>286</v>
      </c>
      <c r="G532" s="20">
        <v>145</v>
      </c>
      <c r="I532" s="20">
        <v>167</v>
      </c>
      <c r="J532" s="4">
        <f t="shared" si="89"/>
        <v>312</v>
      </c>
      <c r="K532" s="4">
        <f t="shared" si="108"/>
        <v>375</v>
      </c>
      <c r="L532" s="4">
        <f t="shared" si="109"/>
        <v>390</v>
      </c>
      <c r="M532" s="4">
        <f t="shared" si="110"/>
        <v>500</v>
      </c>
      <c r="N532" s="4">
        <f t="shared" si="111"/>
        <v>360</v>
      </c>
      <c r="O532" s="4">
        <f t="shared" si="112"/>
        <v>425</v>
      </c>
      <c r="P532" s="4">
        <f>IF((((Price25[Cost]*1.5)+50)/0.835)&lt;2500,
MROUND((((( Price25[Cost]*1.5)+50)/0.835)*1.05)*2,10),
MROUND((((( Price25[Cost]*1.5)+50)/0.835)*1.18)*2,10))</f>
        <v>670</v>
      </c>
      <c r="Q532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570</v>
      </c>
    </row>
    <row r="533" spans="1:17" x14ac:dyDescent="0.25">
      <c r="A533" s="1"/>
      <c r="B533" s="18">
        <v>572</v>
      </c>
      <c r="C533" s="19" t="s">
        <v>171</v>
      </c>
      <c r="D533" s="19" t="s">
        <v>494</v>
      </c>
      <c r="E533" s="19"/>
      <c r="F533" s="19" t="s">
        <v>69</v>
      </c>
      <c r="G533" s="20">
        <v>170</v>
      </c>
      <c r="I533" s="20">
        <v>215</v>
      </c>
      <c r="J533" s="4">
        <f t="shared" si="89"/>
        <v>385</v>
      </c>
      <c r="K533" s="4">
        <f t="shared" si="108"/>
        <v>465</v>
      </c>
      <c r="L533" s="4">
        <f t="shared" si="109"/>
        <v>485</v>
      </c>
      <c r="M533" s="4">
        <f t="shared" si="110"/>
        <v>625</v>
      </c>
      <c r="N533" s="4">
        <f t="shared" si="111"/>
        <v>450</v>
      </c>
      <c r="O533" s="4">
        <f t="shared" si="112"/>
        <v>520</v>
      </c>
      <c r="P533" s="4">
        <f>IF((((Price25[Cost]*1.5)+50)/0.835)&lt;2500,
MROUND((((( Price25[Cost]*1.5)+50)/0.835)*1.05)*2,10),
MROUND((((( Price25[Cost]*1.5)+50)/0.835)*1.18)*2,10))</f>
        <v>770</v>
      </c>
      <c r="Q533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700</v>
      </c>
    </row>
    <row r="534" spans="1:17" x14ac:dyDescent="0.25">
      <c r="A534" s="1">
        <v>2026</v>
      </c>
      <c r="B534" s="18">
        <v>573</v>
      </c>
      <c r="C534" s="19" t="s">
        <v>171</v>
      </c>
      <c r="D534" s="19" t="s">
        <v>494</v>
      </c>
      <c r="E534" s="19" t="s">
        <v>191</v>
      </c>
      <c r="F534" s="19" t="s">
        <v>910</v>
      </c>
      <c r="G534" s="20">
        <v>165</v>
      </c>
      <c r="I534" s="20">
        <v>265</v>
      </c>
      <c r="J534" s="4">
        <f t="shared" ref="J534:J601" si="113">IF(SUMIF(G534:I534,"&lt;&gt;")=0,"",SUM(G534:I534))</f>
        <v>430</v>
      </c>
      <c r="K534" s="4">
        <f t="shared" si="108"/>
        <v>515</v>
      </c>
      <c r="L534" s="4">
        <f t="shared" si="109"/>
        <v>540</v>
      </c>
      <c r="M534" s="4">
        <f t="shared" si="110"/>
        <v>700</v>
      </c>
      <c r="N534" s="4">
        <f t="shared" si="111"/>
        <v>500</v>
      </c>
      <c r="O534" s="4">
        <f t="shared" si="112"/>
        <v>580</v>
      </c>
      <c r="P534" s="4">
        <f>IF((((Price25[Cost]*1.5)+50)/0.835)&lt;2500,
MROUND((((( Price25[Cost]*1.5)+50)/0.835)*1.05)*2,10),
MROUND((((( Price25[Cost]*1.5)+50)/0.835)*1.18)*2,10))</f>
        <v>750</v>
      </c>
      <c r="Q534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770</v>
      </c>
    </row>
    <row r="535" spans="1:17" x14ac:dyDescent="0.25">
      <c r="A535" s="1"/>
      <c r="B535" s="18">
        <v>574</v>
      </c>
      <c r="C535" s="19" t="s">
        <v>171</v>
      </c>
      <c r="D535" s="19" t="s">
        <v>494</v>
      </c>
      <c r="E535" s="19"/>
      <c r="F535" s="19" t="s">
        <v>121</v>
      </c>
      <c r="G535" s="20">
        <v>160</v>
      </c>
      <c r="I535" s="20">
        <v>185</v>
      </c>
      <c r="J535" s="4">
        <f t="shared" si="113"/>
        <v>345</v>
      </c>
      <c r="K535" s="4">
        <f t="shared" si="108"/>
        <v>415</v>
      </c>
      <c r="L535" s="4">
        <f t="shared" si="109"/>
        <v>435</v>
      </c>
      <c r="M535" s="4">
        <f t="shared" si="110"/>
        <v>550</v>
      </c>
      <c r="N535" s="4">
        <f t="shared" si="111"/>
        <v>405</v>
      </c>
      <c r="O535" s="4">
        <f t="shared" si="112"/>
        <v>470</v>
      </c>
      <c r="P535" s="4">
        <f>IF((((Price25[Cost]*1.5)+50)/0.835)&lt;2500,
MROUND((((( Price25[Cost]*1.5)+50)/0.835)*1.05)*2,10),
MROUND((((( Price25[Cost]*1.5)+50)/0.835)*1.18)*2,10))</f>
        <v>730</v>
      </c>
      <c r="Q535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620</v>
      </c>
    </row>
    <row r="536" spans="1:17" x14ac:dyDescent="0.25">
      <c r="A536" s="1"/>
      <c r="B536" s="18">
        <v>577</v>
      </c>
      <c r="C536" s="19" t="s">
        <v>171</v>
      </c>
      <c r="D536" s="19" t="s">
        <v>494</v>
      </c>
      <c r="E536" s="19"/>
      <c r="F536" s="19" t="s">
        <v>36</v>
      </c>
      <c r="G536" s="20">
        <v>135</v>
      </c>
      <c r="I536" s="20">
        <v>325</v>
      </c>
      <c r="J536" s="4">
        <f t="shared" si="113"/>
        <v>460</v>
      </c>
      <c r="K536" s="4">
        <f t="shared" si="108"/>
        <v>550</v>
      </c>
      <c r="L536" s="4">
        <f t="shared" si="109"/>
        <v>575</v>
      </c>
      <c r="M536" s="4">
        <f t="shared" si="110"/>
        <v>725</v>
      </c>
      <c r="N536" s="4">
        <f t="shared" si="111"/>
        <v>530</v>
      </c>
      <c r="O536" s="4">
        <f t="shared" si="112"/>
        <v>620</v>
      </c>
      <c r="P536" s="4">
        <f>IF((((Price25[Cost]*1.5)+50)/0.835)&lt;2500,
MROUND((((( Price25[Cost]*1.5)+50)/0.835)*1.05)*2,10),
MROUND((((( Price25[Cost]*1.5)+50)/0.835)*1.18)*2,10))</f>
        <v>640</v>
      </c>
      <c r="Q536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800</v>
      </c>
    </row>
    <row r="537" spans="1:17" x14ac:dyDescent="0.25">
      <c r="A537" s="1"/>
      <c r="B537" s="18">
        <v>5771</v>
      </c>
      <c r="C537" s="19" t="s">
        <v>171</v>
      </c>
      <c r="D537" s="19" t="s">
        <v>494</v>
      </c>
      <c r="E537" s="19"/>
      <c r="F537" s="19" t="s">
        <v>103</v>
      </c>
      <c r="G537" s="20">
        <v>135</v>
      </c>
      <c r="I537" s="20">
        <v>400</v>
      </c>
      <c r="J537" s="4">
        <f t="shared" si="113"/>
        <v>535</v>
      </c>
      <c r="K537" s="4">
        <f t="shared" si="108"/>
        <v>640</v>
      </c>
      <c r="L537" s="4">
        <f t="shared" si="109"/>
        <v>670</v>
      </c>
      <c r="M537" s="4">
        <f t="shared" si="110"/>
        <v>850</v>
      </c>
      <c r="N537" s="4">
        <f t="shared" si="111"/>
        <v>620</v>
      </c>
      <c r="O537" s="4">
        <f t="shared" si="112"/>
        <v>720</v>
      </c>
      <c r="P537" s="4">
        <f>IF((((Price25[Cost]*1.5)+50)/0.835)&lt;2500,
MROUND((((( Price25[Cost]*1.5)+50)/0.835)*1.05)*2,10),
MROUND((((( Price25[Cost]*1.5)+50)/0.835)*1.18)*2,10))</f>
        <v>640</v>
      </c>
      <c r="Q537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920</v>
      </c>
    </row>
    <row r="538" spans="1:17" x14ac:dyDescent="0.25">
      <c r="A538" s="1"/>
      <c r="B538" s="18">
        <v>5772</v>
      </c>
      <c r="C538" s="19" t="s">
        <v>171</v>
      </c>
      <c r="D538" s="19" t="s">
        <v>494</v>
      </c>
      <c r="E538" s="19"/>
      <c r="F538" s="19" t="s">
        <v>36</v>
      </c>
      <c r="G538" s="20">
        <v>135</v>
      </c>
      <c r="I538" s="20">
        <v>400</v>
      </c>
      <c r="J538" s="4">
        <f t="shared" si="113"/>
        <v>535</v>
      </c>
      <c r="K538" s="4">
        <f t="shared" si="108"/>
        <v>640</v>
      </c>
      <c r="L538" s="4">
        <f t="shared" si="109"/>
        <v>670</v>
      </c>
      <c r="M538" s="4">
        <f t="shared" si="110"/>
        <v>850</v>
      </c>
      <c r="N538" s="4">
        <f t="shared" si="111"/>
        <v>620</v>
      </c>
      <c r="O538" s="4">
        <f t="shared" si="112"/>
        <v>720</v>
      </c>
      <c r="P538" s="4">
        <f>IF((((Price25[Cost]*1.5)+50)/0.835)&lt;2500,
MROUND((((( Price25[Cost]*1.5)+50)/0.835)*1.05)*2,10),
MROUND((((( Price25[Cost]*1.5)+50)/0.835)*1.18)*2,10))</f>
        <v>640</v>
      </c>
      <c r="Q538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920</v>
      </c>
    </row>
    <row r="539" spans="1:17" x14ac:dyDescent="0.25">
      <c r="A539" s="1"/>
      <c r="B539" s="18">
        <v>5773</v>
      </c>
      <c r="C539" s="19" t="s">
        <v>171</v>
      </c>
      <c r="D539" s="19" t="s">
        <v>494</v>
      </c>
      <c r="E539" s="19"/>
      <c r="F539" s="19" t="s">
        <v>36</v>
      </c>
      <c r="G539" s="20">
        <v>135</v>
      </c>
      <c r="I539" s="20">
        <v>425</v>
      </c>
      <c r="J539" s="4">
        <f t="shared" si="113"/>
        <v>560</v>
      </c>
      <c r="K539" s="4">
        <f t="shared" si="108"/>
        <v>665</v>
      </c>
      <c r="L539" s="4">
        <f t="shared" si="109"/>
        <v>700</v>
      </c>
      <c r="M539" s="4">
        <f t="shared" si="110"/>
        <v>900</v>
      </c>
      <c r="N539" s="4">
        <f t="shared" si="111"/>
        <v>645</v>
      </c>
      <c r="O539" s="4">
        <f t="shared" si="112"/>
        <v>750</v>
      </c>
      <c r="P539" s="4">
        <f>IF((((Price25[Cost]*1.5)+50)/0.835)&lt;2500,
MROUND((((( Price25[Cost]*1.5)+50)/0.835)*1.05)*2,10),
MROUND((((( Price25[Cost]*1.5)+50)/0.835)*1.18)*2,10))</f>
        <v>640</v>
      </c>
      <c r="Q539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970</v>
      </c>
    </row>
    <row r="540" spans="1:17" x14ac:dyDescent="0.25">
      <c r="A540" s="1">
        <v>2026</v>
      </c>
      <c r="B540" s="18">
        <v>5774</v>
      </c>
      <c r="C540" s="19" t="s">
        <v>171</v>
      </c>
      <c r="D540" s="19" t="s">
        <v>494</v>
      </c>
      <c r="E540" s="19" t="s">
        <v>191</v>
      </c>
      <c r="F540" s="19" t="s">
        <v>911</v>
      </c>
      <c r="G540" s="20">
        <v>165</v>
      </c>
      <c r="I540" s="20">
        <v>305</v>
      </c>
      <c r="J540" s="4">
        <f t="shared" si="113"/>
        <v>470</v>
      </c>
      <c r="K540" s="4">
        <f t="shared" si="108"/>
        <v>565</v>
      </c>
      <c r="L540" s="4">
        <f t="shared" si="109"/>
        <v>590</v>
      </c>
      <c r="M540" s="4">
        <f t="shared" si="110"/>
        <v>750</v>
      </c>
      <c r="N540" s="4">
        <f t="shared" si="111"/>
        <v>545</v>
      </c>
      <c r="O540" s="4">
        <f t="shared" si="112"/>
        <v>635</v>
      </c>
      <c r="P540" s="4">
        <f>IF((((Price25[Cost]*1.5)+50)/0.835)&lt;2500,
MROUND((((( Price25[Cost]*1.5)+50)/0.835)*1.05)*2,10),
MROUND((((( Price25[Cost]*1.5)+50)/0.835)*1.18)*2,10))</f>
        <v>750</v>
      </c>
      <c r="Q540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820</v>
      </c>
    </row>
    <row r="541" spans="1:17" x14ac:dyDescent="0.25">
      <c r="A541" s="1"/>
      <c r="B541" s="18">
        <v>578</v>
      </c>
      <c r="C541" s="19" t="s">
        <v>171</v>
      </c>
      <c r="D541" s="19" t="s">
        <v>494</v>
      </c>
      <c r="E541" s="19" t="s">
        <v>313</v>
      </c>
      <c r="F541" s="19" t="s">
        <v>314</v>
      </c>
      <c r="G541" s="20">
        <v>130</v>
      </c>
      <c r="I541" s="20">
        <v>185</v>
      </c>
      <c r="J541" s="4">
        <f t="shared" si="113"/>
        <v>315</v>
      </c>
      <c r="K541" s="4">
        <f t="shared" si="108"/>
        <v>380</v>
      </c>
      <c r="L541" s="4">
        <f t="shared" si="109"/>
        <v>395</v>
      </c>
      <c r="M541" s="4">
        <f t="shared" si="110"/>
        <v>500</v>
      </c>
      <c r="N541" s="4">
        <f t="shared" si="111"/>
        <v>365</v>
      </c>
      <c r="O541" s="4">
        <f t="shared" si="112"/>
        <v>425</v>
      </c>
      <c r="P541" s="4">
        <f>IF((((Price25[Cost]*1.5)+50)/0.835)&lt;2500,
MROUND((((( Price25[Cost]*1.5)+50)/0.835)*1.05)*2,10),
MROUND((((( Price25[Cost]*1.5)+50)/0.835)*1.18)*2,10))</f>
        <v>620</v>
      </c>
      <c r="Q541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570</v>
      </c>
    </row>
    <row r="542" spans="1:17" x14ac:dyDescent="0.25">
      <c r="A542" s="1">
        <v>2026</v>
      </c>
      <c r="B542" s="18">
        <v>582</v>
      </c>
      <c r="C542" s="19" t="s">
        <v>171</v>
      </c>
      <c r="D542" s="19" t="s">
        <v>494</v>
      </c>
      <c r="E542" s="19" t="s">
        <v>195</v>
      </c>
      <c r="F542" s="19" t="s">
        <v>993</v>
      </c>
      <c r="G542" s="20">
        <v>185</v>
      </c>
      <c r="I542" s="20">
        <v>15</v>
      </c>
      <c r="J542" s="4">
        <f t="shared" si="113"/>
        <v>200</v>
      </c>
      <c r="K542" s="4">
        <f t="shared" si="108"/>
        <v>240</v>
      </c>
      <c r="L542" s="4">
        <f t="shared" si="109"/>
        <v>250</v>
      </c>
      <c r="M542" s="4">
        <f t="shared" si="110"/>
        <v>325</v>
      </c>
      <c r="N542" s="4">
        <f t="shared" si="111"/>
        <v>230</v>
      </c>
      <c r="O542" s="4">
        <f t="shared" si="112"/>
        <v>270</v>
      </c>
      <c r="P542" s="4">
        <f>IF((((Price25[Cost]*1.5)+50)/0.835)&lt;2500,
MROUND((((( Price25[Cost]*1.5)+50)/0.835)*1.05)*2,10),
MROUND((((( Price25[Cost]*1.5)+50)/0.835)*1.18)*2,10))</f>
        <v>820</v>
      </c>
      <c r="Q542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400</v>
      </c>
    </row>
    <row r="543" spans="1:17" x14ac:dyDescent="0.25">
      <c r="A543" s="1"/>
      <c r="B543" s="18">
        <v>5821</v>
      </c>
      <c r="C543" s="19" t="s">
        <v>171</v>
      </c>
      <c r="D543" s="19" t="s">
        <v>494</v>
      </c>
      <c r="E543" s="19"/>
      <c r="F543" s="19" t="s">
        <v>108</v>
      </c>
      <c r="G543" s="20">
        <v>180</v>
      </c>
      <c r="I543" s="20">
        <v>55</v>
      </c>
      <c r="J543" s="4">
        <f t="shared" si="113"/>
        <v>235</v>
      </c>
      <c r="K543" s="4">
        <f t="shared" si="108"/>
        <v>285</v>
      </c>
      <c r="L543" s="4">
        <f t="shared" si="109"/>
        <v>295</v>
      </c>
      <c r="M543" s="4">
        <f t="shared" si="110"/>
        <v>375</v>
      </c>
      <c r="N543" s="4">
        <f t="shared" si="111"/>
        <v>275</v>
      </c>
      <c r="O543" s="4">
        <f t="shared" si="112"/>
        <v>320</v>
      </c>
      <c r="P543" s="4">
        <f>IF((((Price25[Cost]*1.5)+50)/0.835)&lt;2500,
MROUND((((( Price25[Cost]*1.5)+50)/0.835)*1.05)*2,10),
MROUND((((( Price25[Cost]*1.5)+50)/0.835)*1.18)*2,10))</f>
        <v>800</v>
      </c>
      <c r="Q543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450</v>
      </c>
    </row>
    <row r="544" spans="1:17" x14ac:dyDescent="0.25">
      <c r="A544" s="1"/>
      <c r="B544" s="18">
        <v>5822</v>
      </c>
      <c r="C544" s="19" t="s">
        <v>171</v>
      </c>
      <c r="D544" s="19" t="s">
        <v>494</v>
      </c>
      <c r="E544" s="19"/>
      <c r="F544" s="19" t="s">
        <v>101</v>
      </c>
      <c r="G544" s="20">
        <v>180</v>
      </c>
      <c r="I544" s="20">
        <v>107</v>
      </c>
      <c r="J544" s="4">
        <f t="shared" si="113"/>
        <v>287</v>
      </c>
      <c r="K544" s="4">
        <f t="shared" si="108"/>
        <v>345</v>
      </c>
      <c r="L544" s="4">
        <f t="shared" si="109"/>
        <v>360</v>
      </c>
      <c r="M544" s="4">
        <f t="shared" si="110"/>
        <v>475</v>
      </c>
      <c r="N544" s="4">
        <f t="shared" si="111"/>
        <v>335</v>
      </c>
      <c r="O544" s="4">
        <f t="shared" si="112"/>
        <v>390</v>
      </c>
      <c r="P544" s="4">
        <f>IF((((Price25[Cost]*1.5)+50)/0.835)&lt;2500,
MROUND((((( Price25[Cost]*1.5)+50)/0.835)*1.05)*2,10),
MROUND((((( Price25[Cost]*1.5)+50)/0.835)*1.18)*2,10))</f>
        <v>800</v>
      </c>
      <c r="Q544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550</v>
      </c>
    </row>
    <row r="545" spans="1:17" x14ac:dyDescent="0.25">
      <c r="A545" s="1"/>
      <c r="B545" s="18">
        <v>5823</v>
      </c>
      <c r="C545" s="19" t="s">
        <v>171</v>
      </c>
      <c r="D545" s="19" t="s">
        <v>494</v>
      </c>
      <c r="E545" s="19"/>
      <c r="F545" s="19" t="s">
        <v>104</v>
      </c>
      <c r="G545" s="20">
        <v>180</v>
      </c>
      <c r="I545" s="20">
        <v>92</v>
      </c>
      <c r="J545" s="4">
        <f t="shared" si="113"/>
        <v>272</v>
      </c>
      <c r="K545" s="4">
        <f t="shared" si="108"/>
        <v>325</v>
      </c>
      <c r="L545" s="4">
        <f t="shared" si="109"/>
        <v>340</v>
      </c>
      <c r="M545" s="4">
        <f t="shared" si="110"/>
        <v>450</v>
      </c>
      <c r="N545" s="4">
        <f t="shared" si="111"/>
        <v>315</v>
      </c>
      <c r="O545" s="4">
        <f t="shared" si="112"/>
        <v>365</v>
      </c>
      <c r="P545" s="4">
        <f>IF((((Price25[Cost]*1.5)+50)/0.835)&lt;2500,
MROUND((((( Price25[Cost]*1.5)+50)/0.835)*1.05)*2,10),
MROUND((((( Price25[Cost]*1.5)+50)/0.835)*1.18)*2,10))</f>
        <v>800</v>
      </c>
      <c r="Q545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520</v>
      </c>
    </row>
    <row r="546" spans="1:17" x14ac:dyDescent="0.25">
      <c r="A546" s="1">
        <v>2026</v>
      </c>
      <c r="B546" s="18">
        <v>596</v>
      </c>
      <c r="C546" s="19" t="s">
        <v>171</v>
      </c>
      <c r="D546" s="19" t="s">
        <v>494</v>
      </c>
      <c r="E546" s="19" t="s">
        <v>249</v>
      </c>
      <c r="F546" s="19" t="s">
        <v>253</v>
      </c>
      <c r="G546" s="20">
        <v>150</v>
      </c>
      <c r="I546" s="20">
        <v>15</v>
      </c>
      <c r="J546" s="4">
        <f t="shared" si="113"/>
        <v>165</v>
      </c>
      <c r="K546" s="4">
        <f t="shared" si="108"/>
        <v>200</v>
      </c>
      <c r="L546" s="4">
        <f t="shared" si="109"/>
        <v>210</v>
      </c>
      <c r="M546" s="4">
        <f t="shared" si="110"/>
        <v>275</v>
      </c>
      <c r="N546" s="4">
        <f t="shared" si="111"/>
        <v>195</v>
      </c>
      <c r="O546" s="4">
        <f t="shared" si="112"/>
        <v>225</v>
      </c>
      <c r="P546" s="4">
        <f>IF((((Price25[Cost]*1.5)+50)/0.835)&lt;2500,
MROUND((((( Price25[Cost]*1.5)+50)/0.835)*1.05)*2,10),
MROUND((((( Price25[Cost]*1.5)+50)/0.835)*1.18)*2,10))</f>
        <v>690</v>
      </c>
      <c r="Q546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350</v>
      </c>
    </row>
    <row r="547" spans="1:17" x14ac:dyDescent="0.25">
      <c r="A547" s="1"/>
      <c r="B547" s="18">
        <v>597</v>
      </c>
      <c r="C547" s="19" t="s">
        <v>171</v>
      </c>
      <c r="D547" s="19" t="s">
        <v>494</v>
      </c>
      <c r="E547" s="19"/>
      <c r="F547" s="19" t="s">
        <v>52</v>
      </c>
      <c r="G547" s="20">
        <v>135</v>
      </c>
      <c r="I547" s="20">
        <v>12</v>
      </c>
      <c r="J547" s="4">
        <f t="shared" si="113"/>
        <v>147</v>
      </c>
      <c r="K547" s="4">
        <f t="shared" si="108"/>
        <v>180</v>
      </c>
      <c r="L547" s="4">
        <f t="shared" si="109"/>
        <v>185</v>
      </c>
      <c r="M547" s="4">
        <f t="shared" si="110"/>
        <v>250</v>
      </c>
      <c r="N547" s="4">
        <f t="shared" si="111"/>
        <v>175</v>
      </c>
      <c r="O547" s="4">
        <f t="shared" si="112"/>
        <v>200</v>
      </c>
      <c r="P547" s="4">
        <f>IF((((Price25[Cost]*1.5)+50)/0.835)&lt;2500,
MROUND((((( Price25[Cost]*1.5)+50)/0.835)*1.05)*2,10),
MROUND((((( Price25[Cost]*1.5)+50)/0.835)*1.18)*2,10))</f>
        <v>640</v>
      </c>
      <c r="Q547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320</v>
      </c>
    </row>
    <row r="548" spans="1:17" x14ac:dyDescent="0.25">
      <c r="A548" s="1"/>
      <c r="B548" s="18">
        <v>599</v>
      </c>
      <c r="C548" s="19" t="s">
        <v>171</v>
      </c>
      <c r="D548" s="19" t="s">
        <v>494</v>
      </c>
      <c r="E548" s="19"/>
      <c r="F548" s="19" t="s">
        <v>289</v>
      </c>
      <c r="G548" s="20">
        <v>170</v>
      </c>
      <c r="I548" s="20">
        <v>222</v>
      </c>
      <c r="J548" s="4">
        <f t="shared" si="113"/>
        <v>392</v>
      </c>
      <c r="K548" s="4">
        <f t="shared" si="108"/>
        <v>470</v>
      </c>
      <c r="L548" s="4">
        <f t="shared" si="109"/>
        <v>490</v>
      </c>
      <c r="M548" s="4">
        <f t="shared" si="110"/>
        <v>625</v>
      </c>
      <c r="N548" s="4">
        <f t="shared" si="111"/>
        <v>455</v>
      </c>
      <c r="O548" s="4">
        <f t="shared" si="112"/>
        <v>525</v>
      </c>
      <c r="P548" s="4">
        <f>IF((((Price25[Cost]*1.5)+50)/0.835)&lt;2500,
MROUND((((( Price25[Cost]*1.5)+50)/0.835)*1.05)*2,10),
MROUND((((( Price25[Cost]*1.5)+50)/0.835)*1.18)*2,10))</f>
        <v>770</v>
      </c>
      <c r="Q548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700</v>
      </c>
    </row>
    <row r="549" spans="1:17" x14ac:dyDescent="0.25">
      <c r="A549" s="1">
        <v>2026</v>
      </c>
      <c r="B549" s="18">
        <v>601</v>
      </c>
      <c r="C549" s="19" t="s">
        <v>277</v>
      </c>
      <c r="D549" s="19" t="s">
        <v>494</v>
      </c>
      <c r="E549" s="19" t="s">
        <v>190</v>
      </c>
      <c r="F549" s="19" t="s">
        <v>903</v>
      </c>
      <c r="G549" s="20">
        <v>230</v>
      </c>
      <c r="I549" s="20">
        <v>220</v>
      </c>
      <c r="J549" s="4">
        <f t="shared" si="113"/>
        <v>450</v>
      </c>
      <c r="K549" s="4">
        <f t="shared" si="108"/>
        <v>540</v>
      </c>
      <c r="L549" s="4">
        <f t="shared" si="109"/>
        <v>565</v>
      </c>
      <c r="M549" s="4">
        <f t="shared" si="110"/>
        <v>725</v>
      </c>
      <c r="N549" s="4">
        <f t="shared" si="111"/>
        <v>520</v>
      </c>
      <c r="O549" s="4">
        <f t="shared" si="112"/>
        <v>605</v>
      </c>
      <c r="P549" s="4">
        <f>IF((((Price25[Cost]*1.5)+50)/0.835)&lt;2500,
MROUND((((( Price25[Cost]*1.5)+50)/0.835)*1.05)*2,10),
MROUND((((( Price25[Cost]*1.5)+50)/0.835)*1.18)*2,10))</f>
        <v>990</v>
      </c>
      <c r="Q549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800</v>
      </c>
    </row>
    <row r="550" spans="1:17" x14ac:dyDescent="0.25">
      <c r="A550" s="1">
        <v>2026</v>
      </c>
      <c r="B550" s="18">
        <v>6011</v>
      </c>
      <c r="C550" s="19" t="s">
        <v>277</v>
      </c>
      <c r="D550" s="19" t="s">
        <v>494</v>
      </c>
      <c r="E550" s="19" t="s">
        <v>191</v>
      </c>
      <c r="F550" s="19" t="s">
        <v>858</v>
      </c>
      <c r="G550" s="20">
        <v>230</v>
      </c>
      <c r="I550" s="20">
        <v>185</v>
      </c>
      <c r="J550" s="4">
        <f t="shared" si="113"/>
        <v>415</v>
      </c>
      <c r="K550" s="4">
        <f t="shared" si="108"/>
        <v>495</v>
      </c>
      <c r="L550" s="4">
        <f t="shared" si="109"/>
        <v>520</v>
      </c>
      <c r="M550" s="4">
        <f t="shared" si="110"/>
        <v>675</v>
      </c>
      <c r="N550" s="4">
        <f t="shared" si="111"/>
        <v>480</v>
      </c>
      <c r="O550" s="4">
        <f t="shared" si="112"/>
        <v>560</v>
      </c>
      <c r="P550" s="4">
        <f>IF((((Price25[Cost]*1.5)+50)/0.835)&lt;2500,
MROUND((((( Price25[Cost]*1.5)+50)/0.835)*1.05)*2,10),
MROUND((((( Price25[Cost]*1.5)+50)/0.835)*1.18)*2,10))</f>
        <v>990</v>
      </c>
      <c r="Q550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750</v>
      </c>
    </row>
    <row r="551" spans="1:17" x14ac:dyDescent="0.25">
      <c r="A551" s="1">
        <v>2026</v>
      </c>
      <c r="B551" s="18">
        <v>602</v>
      </c>
      <c r="C551" s="19" t="s">
        <v>277</v>
      </c>
      <c r="D551" s="19" t="s">
        <v>494</v>
      </c>
      <c r="E551" s="19" t="s">
        <v>190</v>
      </c>
      <c r="F551" s="19" t="s">
        <v>954</v>
      </c>
      <c r="G551" s="20">
        <v>225</v>
      </c>
      <c r="I551" s="20">
        <v>165</v>
      </c>
      <c r="J551" s="4">
        <f t="shared" si="113"/>
        <v>390</v>
      </c>
      <c r="K551" s="4">
        <f t="shared" si="108"/>
        <v>470</v>
      </c>
      <c r="L551" s="4">
        <f t="shared" si="109"/>
        <v>490</v>
      </c>
      <c r="M551" s="4">
        <f t="shared" si="110"/>
        <v>625</v>
      </c>
      <c r="N551" s="4">
        <f t="shared" si="111"/>
        <v>455</v>
      </c>
      <c r="O551" s="4">
        <f t="shared" si="112"/>
        <v>525</v>
      </c>
      <c r="P551" s="4">
        <f>IF((((Price25[Cost]*1.5)+50)/0.835)&lt;2500,
MROUND((((( Price25[Cost]*1.5)+50)/0.835)*1.05)*2,10),
MROUND((((( Price25[Cost]*1.5)+50)/0.835)*1.18)*2,10))</f>
        <v>970</v>
      </c>
      <c r="Q551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700</v>
      </c>
    </row>
    <row r="552" spans="1:17" x14ac:dyDescent="0.25">
      <c r="A552" s="1">
        <v>2026</v>
      </c>
      <c r="B552" s="18">
        <v>6021</v>
      </c>
      <c r="C552" s="19" t="s">
        <v>277</v>
      </c>
      <c r="D552" s="19" t="s">
        <v>494</v>
      </c>
      <c r="E552" s="19" t="s">
        <v>190</v>
      </c>
      <c r="F552" s="19" t="s">
        <v>904</v>
      </c>
      <c r="G552" s="20">
        <v>230</v>
      </c>
      <c r="I552" s="20">
        <v>160</v>
      </c>
      <c r="J552" s="4">
        <f t="shared" si="113"/>
        <v>390</v>
      </c>
      <c r="K552" s="4">
        <f t="shared" si="108"/>
        <v>470</v>
      </c>
      <c r="L552" s="4">
        <f t="shared" si="109"/>
        <v>490</v>
      </c>
      <c r="M552" s="4">
        <f t="shared" si="110"/>
        <v>625</v>
      </c>
      <c r="N552" s="4">
        <f t="shared" si="111"/>
        <v>455</v>
      </c>
      <c r="O552" s="4">
        <f t="shared" si="112"/>
        <v>525</v>
      </c>
      <c r="P552" s="4">
        <f>IF((((Price25[Cost]*1.5)+50)/0.835)&lt;2500,
MROUND((((( Price25[Cost]*1.5)+50)/0.835)*1.05)*2,10),
MROUND((((( Price25[Cost]*1.5)+50)/0.835)*1.18)*2,10))</f>
        <v>990</v>
      </c>
      <c r="Q552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700</v>
      </c>
    </row>
    <row r="553" spans="1:17" x14ac:dyDescent="0.25">
      <c r="A553" s="1">
        <v>2026</v>
      </c>
      <c r="B553" s="18">
        <v>603</v>
      </c>
      <c r="C553" s="19" t="s">
        <v>277</v>
      </c>
      <c r="D553" s="19" t="s">
        <v>494</v>
      </c>
      <c r="E553" s="19" t="s">
        <v>191</v>
      </c>
      <c r="F553" s="19" t="s">
        <v>838</v>
      </c>
      <c r="G553" s="20">
        <v>230</v>
      </c>
      <c r="I553" s="20">
        <v>155</v>
      </c>
      <c r="J553" s="4">
        <f t="shared" si="113"/>
        <v>385</v>
      </c>
      <c r="K553" s="4">
        <f t="shared" si="108"/>
        <v>465</v>
      </c>
      <c r="L553" s="4">
        <f t="shared" si="109"/>
        <v>485</v>
      </c>
      <c r="M553" s="4">
        <f t="shared" si="110"/>
        <v>625</v>
      </c>
      <c r="N553" s="4">
        <f t="shared" si="111"/>
        <v>450</v>
      </c>
      <c r="O553" s="4">
        <f t="shared" si="112"/>
        <v>520</v>
      </c>
      <c r="P553" s="4">
        <f>IF((((Price25[Cost]*1.5)+50)/0.835)&lt;2500,
MROUND((((( Price25[Cost]*1.5)+50)/0.835)*1.05)*2,10),
MROUND((((( Price25[Cost]*1.5)+50)/0.835)*1.18)*2,10))</f>
        <v>990</v>
      </c>
      <c r="Q553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700</v>
      </c>
    </row>
    <row r="554" spans="1:17" x14ac:dyDescent="0.25">
      <c r="A554" s="1">
        <v>2025</v>
      </c>
      <c r="B554" s="18">
        <v>604</v>
      </c>
      <c r="C554" s="19" t="s">
        <v>277</v>
      </c>
      <c r="D554" s="19" t="s">
        <v>494</v>
      </c>
      <c r="E554" s="19" t="s">
        <v>191</v>
      </c>
      <c r="F554" s="19" t="s">
        <v>449</v>
      </c>
      <c r="G554" s="20">
        <v>220</v>
      </c>
      <c r="H554" s="20">
        <v>5</v>
      </c>
      <c r="I554" s="20">
        <v>230</v>
      </c>
      <c r="J554" s="4">
        <f t="shared" si="113"/>
        <v>455</v>
      </c>
      <c r="K554" s="4">
        <f t="shared" si="108"/>
        <v>545</v>
      </c>
      <c r="L554" s="4">
        <f t="shared" si="109"/>
        <v>570</v>
      </c>
      <c r="M554" s="4">
        <f t="shared" si="110"/>
        <v>725</v>
      </c>
      <c r="N554" s="4">
        <f t="shared" si="111"/>
        <v>525</v>
      </c>
      <c r="O554" s="4">
        <f t="shared" si="112"/>
        <v>610</v>
      </c>
      <c r="P554" s="4">
        <f>IF((((Price25[Cost]*1.5)+50)/0.835)&lt;2500,
MROUND((((( Price25[Cost]*1.5)+50)/0.835)*1.05)*2,10),
MROUND((((( Price25[Cost]*1.5)+50)/0.835)*1.18)*2,10))</f>
        <v>960</v>
      </c>
      <c r="Q554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800</v>
      </c>
    </row>
    <row r="555" spans="1:17" x14ac:dyDescent="0.25">
      <c r="A555" s="1">
        <v>2026</v>
      </c>
      <c r="B555" s="18">
        <v>605</v>
      </c>
      <c r="C555" s="19" t="s">
        <v>277</v>
      </c>
      <c r="D555" s="19" t="s">
        <v>494</v>
      </c>
      <c r="E555" s="19" t="s">
        <v>191</v>
      </c>
      <c r="F555" s="19" t="s">
        <v>859</v>
      </c>
      <c r="G555" s="20">
        <v>230</v>
      </c>
      <c r="I555" s="20">
        <v>220</v>
      </c>
      <c r="J555" s="4">
        <f t="shared" si="113"/>
        <v>450</v>
      </c>
      <c r="K555" s="4">
        <f t="shared" si="108"/>
        <v>540</v>
      </c>
      <c r="L555" s="4">
        <f t="shared" si="109"/>
        <v>565</v>
      </c>
      <c r="M555" s="4">
        <f t="shared" si="110"/>
        <v>725</v>
      </c>
      <c r="N555" s="4">
        <f t="shared" si="111"/>
        <v>520</v>
      </c>
      <c r="O555" s="4">
        <f t="shared" si="112"/>
        <v>605</v>
      </c>
      <c r="P555" s="4">
        <f>IF((((Price25[Cost]*1.5)+50)/0.835)&lt;2500,
MROUND((((( Price25[Cost]*1.5)+50)/0.835)*1.05)*2,10),
MROUND((((( Price25[Cost]*1.5)+50)/0.835)*1.18)*2,10))</f>
        <v>990</v>
      </c>
      <c r="Q555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800</v>
      </c>
    </row>
    <row r="556" spans="1:17" x14ac:dyDescent="0.25">
      <c r="A556" s="1">
        <v>2026</v>
      </c>
      <c r="B556" s="18">
        <v>6051</v>
      </c>
      <c r="C556" s="19" t="s">
        <v>277</v>
      </c>
      <c r="D556" s="19" t="s">
        <v>494</v>
      </c>
      <c r="E556" s="19" t="s">
        <v>191</v>
      </c>
      <c r="F556" s="19" t="s">
        <v>1008</v>
      </c>
      <c r="G556" s="20">
        <v>235</v>
      </c>
      <c r="I556" s="20">
        <v>165</v>
      </c>
      <c r="J556" s="4">
        <f t="shared" si="113"/>
        <v>400</v>
      </c>
      <c r="K556" s="4">
        <f t="shared" si="108"/>
        <v>475</v>
      </c>
      <c r="L556" s="4">
        <f t="shared" si="109"/>
        <v>500</v>
      </c>
      <c r="M556" s="4">
        <f t="shared" si="110"/>
        <v>650</v>
      </c>
      <c r="N556" s="4">
        <f t="shared" si="111"/>
        <v>460</v>
      </c>
      <c r="O556" s="4">
        <f t="shared" si="112"/>
        <v>535</v>
      </c>
      <c r="P556" s="4">
        <f>IF((((Price25[Cost]*1.5)+50)/0.835)&lt;2500,
MROUND((((( Price25[Cost]*1.5)+50)/0.835)*1.05)*2,10),
MROUND((((( Price25[Cost]*1.5)+50)/0.835)*1.18)*2,10))</f>
        <v>1010</v>
      </c>
      <c r="Q556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720</v>
      </c>
    </row>
    <row r="557" spans="1:17" x14ac:dyDescent="0.25">
      <c r="A557" s="1">
        <v>2026</v>
      </c>
      <c r="B557" s="18">
        <v>607</v>
      </c>
      <c r="C557" s="19" t="s">
        <v>277</v>
      </c>
      <c r="D557" s="19" t="s">
        <v>494</v>
      </c>
      <c r="E557" s="19" t="s">
        <v>190</v>
      </c>
      <c r="F557" s="19" t="s">
        <v>906</v>
      </c>
      <c r="G557" s="20">
        <v>230</v>
      </c>
      <c r="I557" s="20">
        <v>255</v>
      </c>
      <c r="J557" s="4">
        <f t="shared" si="113"/>
        <v>485</v>
      </c>
      <c r="K557" s="4">
        <f t="shared" si="108"/>
        <v>580</v>
      </c>
      <c r="L557" s="4">
        <f t="shared" si="109"/>
        <v>610</v>
      </c>
      <c r="M557" s="4">
        <f t="shared" si="110"/>
        <v>775</v>
      </c>
      <c r="N557" s="4">
        <f t="shared" si="111"/>
        <v>565</v>
      </c>
      <c r="O557" s="4">
        <f t="shared" si="112"/>
        <v>655</v>
      </c>
      <c r="P557" s="4">
        <f>IF((((Price25[Cost]*1.5)+50)/0.835)&lt;2500,
MROUND((((( Price25[Cost]*1.5)+50)/0.835)*1.05)*2,10),
MROUND((((( Price25[Cost]*1.5)+50)/0.835)*1.18)*2,10))</f>
        <v>990</v>
      </c>
      <c r="Q557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850</v>
      </c>
    </row>
    <row r="558" spans="1:17" x14ac:dyDescent="0.25">
      <c r="A558" s="1">
        <v>2025</v>
      </c>
      <c r="B558" s="18">
        <v>608</v>
      </c>
      <c r="C558" s="19" t="s">
        <v>277</v>
      </c>
      <c r="D558" s="19" t="s">
        <v>494</v>
      </c>
      <c r="E558" s="19" t="s">
        <v>191</v>
      </c>
      <c r="F558" s="19" t="s">
        <v>451</v>
      </c>
      <c r="G558" s="20">
        <v>220</v>
      </c>
      <c r="H558" s="20">
        <v>5</v>
      </c>
      <c r="I558" s="20">
        <v>220</v>
      </c>
      <c r="J558" s="4">
        <f t="shared" si="113"/>
        <v>445</v>
      </c>
      <c r="K558" s="4">
        <f t="shared" si="108"/>
        <v>535</v>
      </c>
      <c r="L558" s="4">
        <f t="shared" si="109"/>
        <v>560</v>
      </c>
      <c r="M558" s="4">
        <f t="shared" si="110"/>
        <v>725</v>
      </c>
      <c r="N558" s="4">
        <f t="shared" si="111"/>
        <v>520</v>
      </c>
      <c r="O558" s="4">
        <f t="shared" si="112"/>
        <v>600</v>
      </c>
      <c r="P558" s="4">
        <f>IF((((Price25[Cost]*1.5)+50)/0.835)&lt;2500,
MROUND((((( Price25[Cost]*1.5)+50)/0.835)*1.05)*2,10),
MROUND((((( Price25[Cost]*1.5)+50)/0.835)*1.18)*2,10))</f>
        <v>960</v>
      </c>
      <c r="Q558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800</v>
      </c>
    </row>
    <row r="559" spans="1:17" x14ac:dyDescent="0.25">
      <c r="A559" s="1">
        <v>2026</v>
      </c>
      <c r="B559" s="18">
        <v>609</v>
      </c>
      <c r="C559" s="19" t="s">
        <v>277</v>
      </c>
      <c r="D559" s="19" t="s">
        <v>494</v>
      </c>
      <c r="E559" s="19" t="s">
        <v>191</v>
      </c>
      <c r="F559" s="19" t="s">
        <v>860</v>
      </c>
      <c r="G559" s="20">
        <v>230</v>
      </c>
      <c r="I559" s="20">
        <v>270</v>
      </c>
      <c r="J559" s="4">
        <f t="shared" si="113"/>
        <v>500</v>
      </c>
      <c r="K559" s="4">
        <f t="shared" si="108"/>
        <v>595</v>
      </c>
      <c r="L559" s="4">
        <f t="shared" si="109"/>
        <v>625</v>
      </c>
      <c r="M559" s="4">
        <f t="shared" si="110"/>
        <v>800</v>
      </c>
      <c r="N559" s="4">
        <f t="shared" si="111"/>
        <v>575</v>
      </c>
      <c r="O559" s="4">
        <f t="shared" si="112"/>
        <v>670</v>
      </c>
      <c r="P559" s="4">
        <f>IF((((Price25[Cost]*1.5)+50)/0.835)&lt;2500,
MROUND((((( Price25[Cost]*1.5)+50)/0.835)*1.05)*2,10),
MROUND((((( Price25[Cost]*1.5)+50)/0.835)*1.18)*2,10))</f>
        <v>990</v>
      </c>
      <c r="Q559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870</v>
      </c>
    </row>
    <row r="560" spans="1:17" x14ac:dyDescent="0.25">
      <c r="A560" s="1">
        <v>2025</v>
      </c>
      <c r="B560" s="18">
        <v>610</v>
      </c>
      <c r="C560" s="19" t="s">
        <v>277</v>
      </c>
      <c r="D560" s="19" t="s">
        <v>494</v>
      </c>
      <c r="E560" s="19" t="s">
        <v>235</v>
      </c>
      <c r="F560" s="19" t="s">
        <v>189</v>
      </c>
      <c r="G560" s="20">
        <v>220</v>
      </c>
      <c r="H560" s="20">
        <v>5</v>
      </c>
      <c r="I560" s="20">
        <v>315</v>
      </c>
      <c r="J560" s="4">
        <f t="shared" si="113"/>
        <v>540</v>
      </c>
      <c r="K560" s="4">
        <f t="shared" si="108"/>
        <v>645</v>
      </c>
      <c r="L560" s="4">
        <f t="shared" si="109"/>
        <v>675</v>
      </c>
      <c r="M560" s="4">
        <f t="shared" si="110"/>
        <v>875</v>
      </c>
      <c r="N560" s="4">
        <f t="shared" si="111"/>
        <v>625</v>
      </c>
      <c r="O560" s="4">
        <f t="shared" si="112"/>
        <v>725</v>
      </c>
      <c r="P560" s="4">
        <f>IF((((Price25[Cost]*1.5)+50)/0.835)&lt;2500,
MROUND((((( Price25[Cost]*1.5)+50)/0.835)*1.05)*2,10),
MROUND((((( Price25[Cost]*1.5)+50)/0.835)*1.18)*2,10))</f>
        <v>960</v>
      </c>
      <c r="Q560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950</v>
      </c>
    </row>
    <row r="561" spans="1:17" x14ac:dyDescent="0.25">
      <c r="A561" s="1">
        <v>2025</v>
      </c>
      <c r="B561" s="18">
        <v>6101</v>
      </c>
      <c r="C561" s="19" t="s">
        <v>277</v>
      </c>
      <c r="D561" s="19" t="s">
        <v>494</v>
      </c>
      <c r="E561" s="19" t="s">
        <v>235</v>
      </c>
      <c r="F561" s="19" t="s">
        <v>807</v>
      </c>
      <c r="G561" s="20">
        <v>220</v>
      </c>
      <c r="H561" s="20">
        <v>5</v>
      </c>
      <c r="I561" s="20">
        <v>225</v>
      </c>
      <c r="J561" s="4">
        <f t="shared" si="113"/>
        <v>450</v>
      </c>
      <c r="K561" s="4">
        <f t="shared" si="108"/>
        <v>540</v>
      </c>
      <c r="L561" s="4">
        <f t="shared" si="109"/>
        <v>565</v>
      </c>
      <c r="M561" s="4">
        <f t="shared" si="110"/>
        <v>725</v>
      </c>
      <c r="N561" s="4">
        <f t="shared" si="111"/>
        <v>520</v>
      </c>
      <c r="O561" s="4">
        <f t="shared" si="112"/>
        <v>605</v>
      </c>
      <c r="P561" s="4">
        <f>IF((((Price25[Cost]*1.5)+50)/0.835)&lt;2500,
MROUND((((( Price25[Cost]*1.5)+50)/0.835)*1.05)*2,10),
MROUND((((( Price25[Cost]*1.5)+50)/0.835)*1.18)*2,10))</f>
        <v>960</v>
      </c>
      <c r="Q561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800</v>
      </c>
    </row>
    <row r="562" spans="1:17" x14ac:dyDescent="0.25">
      <c r="A562" s="1">
        <v>2026</v>
      </c>
      <c r="B562" s="18">
        <v>6102</v>
      </c>
      <c r="C562" s="19" t="s">
        <v>277</v>
      </c>
      <c r="D562" s="19" t="s">
        <v>494</v>
      </c>
      <c r="E562" s="19" t="s">
        <v>235</v>
      </c>
      <c r="F562" s="19" t="s">
        <v>891</v>
      </c>
      <c r="G562" s="20">
        <v>230</v>
      </c>
      <c r="I562" s="20">
        <v>200</v>
      </c>
      <c r="J562" s="4">
        <f t="shared" si="113"/>
        <v>430</v>
      </c>
      <c r="K562" s="4">
        <f t="shared" si="108"/>
        <v>515</v>
      </c>
      <c r="L562" s="4">
        <f t="shared" si="109"/>
        <v>540</v>
      </c>
      <c r="M562" s="4">
        <f t="shared" si="110"/>
        <v>700</v>
      </c>
      <c r="N562" s="4">
        <f t="shared" si="111"/>
        <v>500</v>
      </c>
      <c r="O562" s="4">
        <f t="shared" si="112"/>
        <v>580</v>
      </c>
      <c r="P562" s="4">
        <f>IF((((Price25[Cost]*1.5)+50)/0.835)&lt;2500,
MROUND((((( Price25[Cost]*1.5)+50)/0.835)*1.05)*2,10),
MROUND((((( Price25[Cost]*1.5)+50)/0.835)*1.18)*2,10))</f>
        <v>990</v>
      </c>
      <c r="Q562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770</v>
      </c>
    </row>
    <row r="563" spans="1:17" x14ac:dyDescent="0.25">
      <c r="A563" s="1">
        <v>2025</v>
      </c>
      <c r="B563" s="18">
        <v>6103</v>
      </c>
      <c r="C563" s="19" t="s">
        <v>277</v>
      </c>
      <c r="D563" s="19" t="s">
        <v>494</v>
      </c>
      <c r="E563" s="19" t="s">
        <v>235</v>
      </c>
      <c r="F563" s="19" t="s">
        <v>482</v>
      </c>
      <c r="G563" s="20">
        <v>220</v>
      </c>
      <c r="H563" s="20">
        <v>5</v>
      </c>
      <c r="I563" s="20">
        <v>145</v>
      </c>
      <c r="J563" s="4">
        <f t="shared" si="113"/>
        <v>370</v>
      </c>
      <c r="K563" s="4">
        <f t="shared" si="108"/>
        <v>445</v>
      </c>
      <c r="L563" s="4">
        <f t="shared" si="109"/>
        <v>465</v>
      </c>
      <c r="M563" s="4">
        <f t="shared" si="110"/>
        <v>600</v>
      </c>
      <c r="N563" s="4">
        <f t="shared" si="111"/>
        <v>430</v>
      </c>
      <c r="O563" s="4">
        <f t="shared" si="112"/>
        <v>500</v>
      </c>
      <c r="P563" s="4">
        <f>IF((((Price25[Cost]*1.5)+50)/0.835)&lt;2500,
MROUND((((( Price25[Cost]*1.5)+50)/0.835)*1.05)*2,10),
MROUND((((( Price25[Cost]*1.5)+50)/0.835)*1.18)*2,10))</f>
        <v>960</v>
      </c>
      <c r="Q563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670</v>
      </c>
    </row>
    <row r="564" spans="1:17" x14ac:dyDescent="0.25">
      <c r="A564" s="1">
        <v>2025</v>
      </c>
      <c r="B564" s="18">
        <v>6104</v>
      </c>
      <c r="C564" s="19" t="s">
        <v>277</v>
      </c>
      <c r="D564" s="19" t="s">
        <v>494</v>
      </c>
      <c r="E564" s="19" t="s">
        <v>235</v>
      </c>
      <c r="F564" s="19" t="s">
        <v>482</v>
      </c>
      <c r="G564" s="20">
        <v>220</v>
      </c>
      <c r="H564" s="20">
        <v>5</v>
      </c>
      <c r="I564" s="20">
        <v>145</v>
      </c>
      <c r="J564" s="4">
        <f t="shared" si="113"/>
        <v>370</v>
      </c>
      <c r="K564" s="4">
        <f t="shared" si="108"/>
        <v>445</v>
      </c>
      <c r="L564" s="4">
        <f t="shared" si="109"/>
        <v>465</v>
      </c>
      <c r="M564" s="4">
        <f t="shared" si="110"/>
        <v>600</v>
      </c>
      <c r="N564" s="4">
        <f t="shared" si="111"/>
        <v>430</v>
      </c>
      <c r="O564" s="4">
        <f t="shared" si="112"/>
        <v>500</v>
      </c>
      <c r="P564" s="4">
        <f>IF((((Price25[Cost]*1.5)+50)/0.835)&lt;2500,
MROUND((((( Price25[Cost]*1.5)+50)/0.835)*1.05)*2,10),
MROUND((((( Price25[Cost]*1.5)+50)/0.835)*1.18)*2,10))</f>
        <v>960</v>
      </c>
      <c r="Q564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670</v>
      </c>
    </row>
    <row r="565" spans="1:17" x14ac:dyDescent="0.25">
      <c r="A565" s="1">
        <v>2025</v>
      </c>
      <c r="B565" s="18">
        <v>6105</v>
      </c>
      <c r="C565" s="19" t="s">
        <v>277</v>
      </c>
      <c r="D565" s="19" t="s">
        <v>494</v>
      </c>
      <c r="E565" s="19" t="s">
        <v>235</v>
      </c>
      <c r="F565" s="19" t="s">
        <v>482</v>
      </c>
      <c r="G565" s="20">
        <v>220</v>
      </c>
      <c r="H565" s="20">
        <v>5</v>
      </c>
      <c r="I565" s="20">
        <v>140</v>
      </c>
      <c r="J565" s="4">
        <f t="shared" si="113"/>
        <v>365</v>
      </c>
      <c r="K565" s="4">
        <f t="shared" si="108"/>
        <v>440</v>
      </c>
      <c r="L565" s="4">
        <f t="shared" si="109"/>
        <v>460</v>
      </c>
      <c r="M565" s="4">
        <f t="shared" si="110"/>
        <v>575</v>
      </c>
      <c r="N565" s="4">
        <f t="shared" si="111"/>
        <v>425</v>
      </c>
      <c r="O565" s="4">
        <f t="shared" si="112"/>
        <v>495</v>
      </c>
      <c r="P565" s="4">
        <f>IF((((Price25[Cost]*1.5)+50)/0.835)&lt;2500,
MROUND((((( Price25[Cost]*1.5)+50)/0.835)*1.05)*2,10),
MROUND((((( Price25[Cost]*1.5)+50)/0.835)*1.18)*2,10))</f>
        <v>960</v>
      </c>
      <c r="Q565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650</v>
      </c>
    </row>
    <row r="566" spans="1:17" x14ac:dyDescent="0.25">
      <c r="A566" s="1">
        <v>2026</v>
      </c>
      <c r="B566" s="18">
        <v>6106</v>
      </c>
      <c r="C566" s="19" t="s">
        <v>277</v>
      </c>
      <c r="D566" s="19" t="s">
        <v>494</v>
      </c>
      <c r="E566" s="19" t="s">
        <v>190</v>
      </c>
      <c r="F566" s="19" t="s">
        <v>945</v>
      </c>
      <c r="G566" s="20">
        <v>225</v>
      </c>
      <c r="I566" s="20">
        <v>135</v>
      </c>
      <c r="J566" s="4">
        <f t="shared" si="113"/>
        <v>360</v>
      </c>
      <c r="K566" s="4">
        <f t="shared" si="108"/>
        <v>430</v>
      </c>
      <c r="L566" s="4">
        <f t="shared" si="109"/>
        <v>450</v>
      </c>
      <c r="M566" s="4">
        <f t="shared" si="110"/>
        <v>575</v>
      </c>
      <c r="N566" s="4">
        <f t="shared" si="111"/>
        <v>415</v>
      </c>
      <c r="O566" s="4">
        <f t="shared" si="112"/>
        <v>485</v>
      </c>
      <c r="P566" s="4">
        <f>IF((((Price25[Cost]*1.5)+50)/0.835)&lt;2500,
MROUND((((( Price25[Cost]*1.5)+50)/0.835)*1.05)*2,10),
MROUND((((( Price25[Cost]*1.5)+50)/0.835)*1.18)*2,10))</f>
        <v>970</v>
      </c>
      <c r="Q566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650</v>
      </c>
    </row>
    <row r="567" spans="1:17" x14ac:dyDescent="0.25">
      <c r="A567" s="1">
        <v>2025</v>
      </c>
      <c r="B567" s="18">
        <v>6107</v>
      </c>
      <c r="C567" s="19" t="s">
        <v>277</v>
      </c>
      <c r="D567" s="19" t="s">
        <v>494</v>
      </c>
      <c r="E567" s="19" t="s">
        <v>235</v>
      </c>
      <c r="F567" s="19" t="s">
        <v>482</v>
      </c>
      <c r="G567" s="20">
        <v>220</v>
      </c>
      <c r="H567" s="20">
        <v>5</v>
      </c>
      <c r="I567" s="20">
        <v>135</v>
      </c>
      <c r="J567" s="4">
        <f t="shared" si="113"/>
        <v>360</v>
      </c>
      <c r="K567" s="4">
        <f t="shared" si="108"/>
        <v>430</v>
      </c>
      <c r="L567" s="4">
        <f t="shared" si="109"/>
        <v>450</v>
      </c>
      <c r="M567" s="4">
        <f t="shared" si="110"/>
        <v>575</v>
      </c>
      <c r="N567" s="4">
        <f t="shared" si="111"/>
        <v>415</v>
      </c>
      <c r="O567" s="4">
        <f t="shared" si="112"/>
        <v>485</v>
      </c>
      <c r="P567" s="4">
        <f>IF((((Price25[Cost]*1.5)+50)/0.835)&lt;2500,
MROUND((((( Price25[Cost]*1.5)+50)/0.835)*1.05)*2,10),
MROUND((((( Price25[Cost]*1.5)+50)/0.835)*1.18)*2,10))</f>
        <v>960</v>
      </c>
      <c r="Q567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650</v>
      </c>
    </row>
    <row r="568" spans="1:17" x14ac:dyDescent="0.25">
      <c r="A568" s="1">
        <v>2025</v>
      </c>
      <c r="B568" s="18">
        <v>6108</v>
      </c>
      <c r="C568" s="19" t="s">
        <v>277</v>
      </c>
      <c r="D568" s="19" t="s">
        <v>494</v>
      </c>
      <c r="E568" s="19" t="s">
        <v>235</v>
      </c>
      <c r="F568" s="19" t="s">
        <v>482</v>
      </c>
      <c r="G568" s="20">
        <v>220</v>
      </c>
      <c r="H568" s="20">
        <v>5</v>
      </c>
      <c r="I568" s="20">
        <v>135</v>
      </c>
      <c r="J568" s="4">
        <f t="shared" si="113"/>
        <v>360</v>
      </c>
      <c r="K568" s="4">
        <f t="shared" si="108"/>
        <v>430</v>
      </c>
      <c r="L568" s="4">
        <f t="shared" si="109"/>
        <v>450</v>
      </c>
      <c r="M568" s="4">
        <f t="shared" si="110"/>
        <v>575</v>
      </c>
      <c r="N568" s="4">
        <f t="shared" si="111"/>
        <v>415</v>
      </c>
      <c r="O568" s="4">
        <f t="shared" si="112"/>
        <v>485</v>
      </c>
      <c r="P568" s="4">
        <f>IF((((Price25[Cost]*1.5)+50)/0.835)&lt;2500,
MROUND((((( Price25[Cost]*1.5)+50)/0.835)*1.05)*2,10),
MROUND((((( Price25[Cost]*1.5)+50)/0.835)*1.18)*2,10))</f>
        <v>960</v>
      </c>
      <c r="Q568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650</v>
      </c>
    </row>
    <row r="569" spans="1:17" x14ac:dyDescent="0.25">
      <c r="A569" s="1">
        <v>2025</v>
      </c>
      <c r="B569" s="18">
        <v>6109</v>
      </c>
      <c r="C569" s="19" t="s">
        <v>277</v>
      </c>
      <c r="D569" s="19" t="s">
        <v>494</v>
      </c>
      <c r="E569" s="19" t="s">
        <v>235</v>
      </c>
      <c r="F569" s="19" t="s">
        <v>482</v>
      </c>
      <c r="G569" s="20">
        <v>220</v>
      </c>
      <c r="H569" s="20">
        <v>5</v>
      </c>
      <c r="I569" s="20">
        <v>135</v>
      </c>
      <c r="J569" s="4">
        <f t="shared" si="113"/>
        <v>360</v>
      </c>
      <c r="K569" s="4">
        <f t="shared" si="108"/>
        <v>430</v>
      </c>
      <c r="L569" s="4">
        <f t="shared" si="109"/>
        <v>450</v>
      </c>
      <c r="M569" s="4">
        <f t="shared" si="110"/>
        <v>575</v>
      </c>
      <c r="N569" s="4">
        <f t="shared" si="111"/>
        <v>415</v>
      </c>
      <c r="O569" s="4">
        <f t="shared" si="112"/>
        <v>485</v>
      </c>
      <c r="P569" s="4">
        <f>IF((((Price25[Cost]*1.5)+50)/0.835)&lt;2500,
MROUND((((( Price25[Cost]*1.5)+50)/0.835)*1.05)*2,10),
MROUND((((( Price25[Cost]*1.5)+50)/0.835)*1.18)*2,10))</f>
        <v>960</v>
      </c>
      <c r="Q569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650</v>
      </c>
    </row>
    <row r="570" spans="1:17" x14ac:dyDescent="0.25">
      <c r="A570" s="1">
        <v>2025</v>
      </c>
      <c r="B570" s="18">
        <v>6110</v>
      </c>
      <c r="C570" s="19" t="s">
        <v>277</v>
      </c>
      <c r="D570" s="19" t="s">
        <v>494</v>
      </c>
      <c r="E570" s="19" t="s">
        <v>235</v>
      </c>
      <c r="F570" s="19" t="s">
        <v>482</v>
      </c>
      <c r="G570" s="20">
        <v>220</v>
      </c>
      <c r="H570" s="20">
        <v>5</v>
      </c>
      <c r="I570" s="20">
        <v>130</v>
      </c>
      <c r="J570" s="4">
        <f t="shared" si="113"/>
        <v>355</v>
      </c>
      <c r="K570" s="4">
        <f t="shared" si="108"/>
        <v>425</v>
      </c>
      <c r="L570" s="4">
        <f t="shared" si="109"/>
        <v>445</v>
      </c>
      <c r="M570" s="4">
        <f t="shared" si="110"/>
        <v>575</v>
      </c>
      <c r="N570" s="4">
        <f t="shared" si="111"/>
        <v>410</v>
      </c>
      <c r="O570" s="4">
        <f t="shared" si="112"/>
        <v>480</v>
      </c>
      <c r="P570" s="4">
        <f>IF((((Price25[Cost]*1.5)+50)/0.835)&lt;2500,
MROUND((((( Price25[Cost]*1.5)+50)/0.835)*1.05)*2,10),
MROUND((((( Price25[Cost]*1.5)+50)/0.835)*1.18)*2,10))</f>
        <v>960</v>
      </c>
      <c r="Q570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650</v>
      </c>
    </row>
    <row r="571" spans="1:17" x14ac:dyDescent="0.25">
      <c r="A571" s="1">
        <v>2025</v>
      </c>
      <c r="B571" s="18">
        <v>6111</v>
      </c>
      <c r="C571" s="19" t="s">
        <v>277</v>
      </c>
      <c r="D571" s="19" t="s">
        <v>494</v>
      </c>
      <c r="E571" s="19" t="s">
        <v>235</v>
      </c>
      <c r="F571" s="19" t="s">
        <v>482</v>
      </c>
      <c r="G571" s="20">
        <v>220</v>
      </c>
      <c r="H571" s="20">
        <v>5</v>
      </c>
      <c r="I571" s="20">
        <v>130</v>
      </c>
      <c r="J571" s="4">
        <f t="shared" si="113"/>
        <v>355</v>
      </c>
      <c r="K571" s="4">
        <f t="shared" si="108"/>
        <v>425</v>
      </c>
      <c r="L571" s="4">
        <f t="shared" si="109"/>
        <v>445</v>
      </c>
      <c r="M571" s="4">
        <f t="shared" si="110"/>
        <v>575</v>
      </c>
      <c r="N571" s="4">
        <f t="shared" si="111"/>
        <v>410</v>
      </c>
      <c r="O571" s="4">
        <f t="shared" si="112"/>
        <v>480</v>
      </c>
      <c r="P571" s="4">
        <f>IF((((Price25[Cost]*1.5)+50)/0.835)&lt;2500,
MROUND((((( Price25[Cost]*1.5)+50)/0.835)*1.05)*2,10),
MROUND((((( Price25[Cost]*1.5)+50)/0.835)*1.18)*2,10))</f>
        <v>960</v>
      </c>
      <c r="Q571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650</v>
      </c>
    </row>
    <row r="572" spans="1:17" x14ac:dyDescent="0.25">
      <c r="A572" s="1">
        <v>2025</v>
      </c>
      <c r="B572" s="18">
        <v>6112</v>
      </c>
      <c r="C572" s="19" t="s">
        <v>277</v>
      </c>
      <c r="D572" s="19" t="s">
        <v>494</v>
      </c>
      <c r="E572" s="19" t="s">
        <v>235</v>
      </c>
      <c r="F572" s="19" t="s">
        <v>482</v>
      </c>
      <c r="G572" s="20">
        <v>220</v>
      </c>
      <c r="H572" s="20">
        <v>5</v>
      </c>
      <c r="I572" s="20">
        <v>120</v>
      </c>
      <c r="J572" s="4">
        <f t="shared" si="113"/>
        <v>345</v>
      </c>
      <c r="K572" s="4">
        <f t="shared" si="108"/>
        <v>415</v>
      </c>
      <c r="L572" s="4">
        <f t="shared" si="109"/>
        <v>435</v>
      </c>
      <c r="M572" s="4">
        <f t="shared" si="110"/>
        <v>550</v>
      </c>
      <c r="N572" s="4">
        <f t="shared" si="111"/>
        <v>405</v>
      </c>
      <c r="O572" s="4">
        <f t="shared" si="112"/>
        <v>470</v>
      </c>
      <c r="P572" s="4">
        <f>IF((((Price25[Cost]*1.5)+50)/0.835)&lt;2500,
MROUND((((( Price25[Cost]*1.5)+50)/0.835)*1.05)*2,10),
MROUND((((( Price25[Cost]*1.5)+50)/0.835)*1.18)*2,10))</f>
        <v>960</v>
      </c>
      <c r="Q572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620</v>
      </c>
    </row>
    <row r="573" spans="1:17" x14ac:dyDescent="0.25">
      <c r="A573" s="1">
        <v>2025</v>
      </c>
      <c r="B573" s="18">
        <v>6113</v>
      </c>
      <c r="C573" s="19" t="s">
        <v>277</v>
      </c>
      <c r="D573" s="19" t="s">
        <v>494</v>
      </c>
      <c r="E573" s="19" t="s">
        <v>235</v>
      </c>
      <c r="F573" s="19" t="s">
        <v>491</v>
      </c>
      <c r="G573" s="20">
        <v>220</v>
      </c>
      <c r="H573" s="20">
        <v>5</v>
      </c>
      <c r="I573" s="20">
        <v>325</v>
      </c>
      <c r="J573" s="4">
        <f t="shared" si="113"/>
        <v>550</v>
      </c>
      <c r="K573" s="4">
        <f t="shared" si="108"/>
        <v>660</v>
      </c>
      <c r="L573" s="4">
        <f t="shared" si="109"/>
        <v>690</v>
      </c>
      <c r="M573" s="4">
        <f t="shared" si="110"/>
        <v>875</v>
      </c>
      <c r="N573" s="4">
        <f t="shared" si="111"/>
        <v>635</v>
      </c>
      <c r="O573" s="4">
        <f t="shared" si="112"/>
        <v>740</v>
      </c>
      <c r="P573" s="4">
        <f>IF((((Price25[Cost]*1.5)+50)/0.835)&lt;2500,
MROUND((((( Price25[Cost]*1.5)+50)/0.835)*1.05)*2,10),
MROUND((((( Price25[Cost]*1.5)+50)/0.835)*1.18)*2,10))</f>
        <v>960</v>
      </c>
      <c r="Q573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950</v>
      </c>
    </row>
    <row r="574" spans="1:17" x14ac:dyDescent="0.25">
      <c r="A574" s="1">
        <v>2025</v>
      </c>
      <c r="B574" s="18">
        <v>6114</v>
      </c>
      <c r="C574" s="19" t="s">
        <v>277</v>
      </c>
      <c r="D574" s="19" t="s">
        <v>494</v>
      </c>
      <c r="E574" s="19" t="s">
        <v>235</v>
      </c>
      <c r="F574" s="19" t="s">
        <v>583</v>
      </c>
      <c r="G574" s="20">
        <v>220</v>
      </c>
      <c r="H574" s="20">
        <v>5</v>
      </c>
      <c r="I574" s="20">
        <v>115</v>
      </c>
      <c r="J574" s="4">
        <f t="shared" si="113"/>
        <v>340</v>
      </c>
      <c r="K574" s="4">
        <f t="shared" si="108"/>
        <v>405</v>
      </c>
      <c r="L574" s="4">
        <f t="shared" si="109"/>
        <v>425</v>
      </c>
      <c r="M574" s="4">
        <f t="shared" si="110"/>
        <v>550</v>
      </c>
      <c r="N574" s="4">
        <f t="shared" si="111"/>
        <v>395</v>
      </c>
      <c r="O574" s="4">
        <f t="shared" si="112"/>
        <v>455</v>
      </c>
      <c r="P574" s="4">
        <f>IF((((Price25[Cost]*1.5)+50)/0.835)&lt;2500,
MROUND((((( Price25[Cost]*1.5)+50)/0.835)*1.05)*2,10),
MROUND((((( Price25[Cost]*1.5)+50)/0.835)*1.18)*2,10))</f>
        <v>960</v>
      </c>
      <c r="Q574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620</v>
      </c>
    </row>
    <row r="575" spans="1:17" x14ac:dyDescent="0.25">
      <c r="A575" s="1">
        <v>2025</v>
      </c>
      <c r="B575" s="18">
        <v>6115</v>
      </c>
      <c r="C575" s="19" t="s">
        <v>277</v>
      </c>
      <c r="D575" s="19" t="s">
        <v>494</v>
      </c>
      <c r="E575" s="19" t="s">
        <v>235</v>
      </c>
      <c r="F575" s="19" t="s">
        <v>583</v>
      </c>
      <c r="G575" s="20">
        <v>220</v>
      </c>
      <c r="H575" s="20">
        <v>5</v>
      </c>
      <c r="I575" s="20">
        <v>115</v>
      </c>
      <c r="J575" s="4">
        <f t="shared" si="113"/>
        <v>340</v>
      </c>
      <c r="K575" s="4">
        <f t="shared" si="108"/>
        <v>405</v>
      </c>
      <c r="L575" s="4">
        <f t="shared" si="109"/>
        <v>425</v>
      </c>
      <c r="M575" s="4">
        <f t="shared" si="110"/>
        <v>550</v>
      </c>
      <c r="N575" s="4">
        <f t="shared" si="111"/>
        <v>395</v>
      </c>
      <c r="O575" s="4">
        <f t="shared" si="112"/>
        <v>455</v>
      </c>
      <c r="P575" s="4">
        <f>IF((((Price25[Cost]*1.5)+50)/0.835)&lt;2500,
MROUND((((( Price25[Cost]*1.5)+50)/0.835)*1.05)*2,10),
MROUND((((( Price25[Cost]*1.5)+50)/0.835)*1.18)*2,10))</f>
        <v>960</v>
      </c>
      <c r="Q575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620</v>
      </c>
    </row>
    <row r="576" spans="1:17" x14ac:dyDescent="0.25">
      <c r="A576" s="1">
        <v>2025</v>
      </c>
      <c r="B576" s="18">
        <v>6116</v>
      </c>
      <c r="C576" s="19" t="s">
        <v>277</v>
      </c>
      <c r="D576" s="19" t="s">
        <v>494</v>
      </c>
      <c r="E576" s="19" t="s">
        <v>235</v>
      </c>
      <c r="F576" s="19" t="s">
        <v>583</v>
      </c>
      <c r="G576" s="20">
        <v>220</v>
      </c>
      <c r="H576" s="20">
        <v>5</v>
      </c>
      <c r="I576" s="20">
        <v>120</v>
      </c>
      <c r="J576" s="4">
        <f t="shared" si="113"/>
        <v>345</v>
      </c>
      <c r="K576" s="4">
        <f t="shared" si="108"/>
        <v>415</v>
      </c>
      <c r="L576" s="4">
        <f t="shared" si="109"/>
        <v>435</v>
      </c>
      <c r="M576" s="4">
        <f t="shared" si="110"/>
        <v>550</v>
      </c>
      <c r="N576" s="4">
        <f t="shared" si="111"/>
        <v>405</v>
      </c>
      <c r="O576" s="4">
        <f t="shared" si="112"/>
        <v>470</v>
      </c>
      <c r="P576" s="4">
        <f>IF((((Price25[Cost]*1.5)+50)/0.835)&lt;2500,
MROUND((((( Price25[Cost]*1.5)+50)/0.835)*1.05)*2,10),
MROUND((((( Price25[Cost]*1.5)+50)/0.835)*1.18)*2,10))</f>
        <v>960</v>
      </c>
      <c r="Q576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620</v>
      </c>
    </row>
    <row r="577" spans="1:17" x14ac:dyDescent="0.25">
      <c r="A577" s="1">
        <v>2025</v>
      </c>
      <c r="B577" s="18">
        <v>6117</v>
      </c>
      <c r="C577" s="19" t="s">
        <v>277</v>
      </c>
      <c r="D577" s="19" t="s">
        <v>494</v>
      </c>
      <c r="E577" s="19" t="s">
        <v>235</v>
      </c>
      <c r="F577" s="19" t="s">
        <v>584</v>
      </c>
      <c r="G577" s="20">
        <v>220</v>
      </c>
      <c r="H577" s="20">
        <v>5</v>
      </c>
      <c r="I577" s="20">
        <v>135</v>
      </c>
      <c r="J577" s="4">
        <f t="shared" si="113"/>
        <v>360</v>
      </c>
      <c r="K577" s="4">
        <f t="shared" si="108"/>
        <v>430</v>
      </c>
      <c r="L577" s="4">
        <f t="shared" si="109"/>
        <v>450</v>
      </c>
      <c r="M577" s="4">
        <f t="shared" si="110"/>
        <v>575</v>
      </c>
      <c r="N577" s="4">
        <f t="shared" si="111"/>
        <v>415</v>
      </c>
      <c r="O577" s="4">
        <f t="shared" si="112"/>
        <v>485</v>
      </c>
      <c r="P577" s="4">
        <f>IF((((Price25[Cost]*1.5)+50)/0.835)&lt;2500,
MROUND((((( Price25[Cost]*1.5)+50)/0.835)*1.05)*2,10),
MROUND((((( Price25[Cost]*1.5)+50)/0.835)*1.18)*2,10))</f>
        <v>960</v>
      </c>
      <c r="Q577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650</v>
      </c>
    </row>
    <row r="578" spans="1:17" x14ac:dyDescent="0.25">
      <c r="A578" s="1">
        <v>2025</v>
      </c>
      <c r="B578" s="18">
        <v>6118</v>
      </c>
      <c r="C578" s="19" t="s">
        <v>277</v>
      </c>
      <c r="D578" s="19" t="s">
        <v>494</v>
      </c>
      <c r="E578" s="19" t="s">
        <v>235</v>
      </c>
      <c r="F578" s="19" t="s">
        <v>584</v>
      </c>
      <c r="G578" s="20">
        <v>220</v>
      </c>
      <c r="H578" s="20">
        <v>5</v>
      </c>
      <c r="I578" s="20">
        <v>105</v>
      </c>
      <c r="J578" s="4">
        <f t="shared" si="113"/>
        <v>330</v>
      </c>
      <c r="K578" s="4">
        <f t="shared" si="108"/>
        <v>395</v>
      </c>
      <c r="L578" s="4">
        <f t="shared" si="109"/>
        <v>415</v>
      </c>
      <c r="M578" s="4">
        <f t="shared" si="110"/>
        <v>525</v>
      </c>
      <c r="N578" s="4">
        <f t="shared" si="111"/>
        <v>385</v>
      </c>
      <c r="O578" s="4">
        <f t="shared" si="112"/>
        <v>445</v>
      </c>
      <c r="P578" s="4">
        <f>IF((((Price25[Cost]*1.5)+50)/0.835)&lt;2500,
MROUND((((( Price25[Cost]*1.5)+50)/0.835)*1.05)*2,10),
MROUND((((( Price25[Cost]*1.5)+50)/0.835)*1.18)*2,10))</f>
        <v>960</v>
      </c>
      <c r="Q578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600</v>
      </c>
    </row>
    <row r="579" spans="1:17" x14ac:dyDescent="0.25">
      <c r="A579" s="1">
        <v>2025</v>
      </c>
      <c r="B579" s="18">
        <v>6119</v>
      </c>
      <c r="C579" s="19" t="s">
        <v>277</v>
      </c>
      <c r="D579" s="19" t="s">
        <v>494</v>
      </c>
      <c r="E579" s="19" t="s">
        <v>235</v>
      </c>
      <c r="F579" s="19" t="s">
        <v>584</v>
      </c>
      <c r="G579" s="20">
        <v>220</v>
      </c>
      <c r="H579" s="20">
        <v>5</v>
      </c>
      <c r="I579" s="20">
        <v>125</v>
      </c>
      <c r="J579" s="4">
        <f t="shared" si="113"/>
        <v>350</v>
      </c>
      <c r="K579" s="4">
        <f t="shared" si="108"/>
        <v>425</v>
      </c>
      <c r="L579" s="4">
        <f t="shared" si="109"/>
        <v>440</v>
      </c>
      <c r="M579" s="4">
        <f t="shared" si="110"/>
        <v>575</v>
      </c>
      <c r="N579" s="4">
        <f t="shared" si="111"/>
        <v>405</v>
      </c>
      <c r="O579" s="4">
        <f t="shared" si="112"/>
        <v>475</v>
      </c>
      <c r="P579" s="4">
        <f>IF((((Price25[Cost]*1.5)+50)/0.835)&lt;2500,
MROUND((((( Price25[Cost]*1.5)+50)/0.835)*1.05)*2,10),
MROUND((((( Price25[Cost]*1.5)+50)/0.835)*1.18)*2,10))</f>
        <v>960</v>
      </c>
      <c r="Q579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650</v>
      </c>
    </row>
    <row r="580" spans="1:17" x14ac:dyDescent="0.25">
      <c r="A580" s="1">
        <v>2025</v>
      </c>
      <c r="B580" s="18">
        <v>6120</v>
      </c>
      <c r="C580" s="19" t="s">
        <v>277</v>
      </c>
      <c r="D580" s="19" t="s">
        <v>494</v>
      </c>
      <c r="E580" s="19" t="s">
        <v>235</v>
      </c>
      <c r="F580" s="19" t="s">
        <v>584</v>
      </c>
      <c r="G580" s="20">
        <v>220</v>
      </c>
      <c r="H580" s="20">
        <v>5</v>
      </c>
      <c r="I580" s="20">
        <v>120</v>
      </c>
      <c r="J580" s="4">
        <f t="shared" si="113"/>
        <v>345</v>
      </c>
      <c r="K580" s="4">
        <f t="shared" si="108"/>
        <v>415</v>
      </c>
      <c r="L580" s="4">
        <f t="shared" si="109"/>
        <v>435</v>
      </c>
      <c r="M580" s="4">
        <f t="shared" si="110"/>
        <v>550</v>
      </c>
      <c r="N580" s="4">
        <f t="shared" si="111"/>
        <v>405</v>
      </c>
      <c r="O580" s="4">
        <f t="shared" si="112"/>
        <v>470</v>
      </c>
      <c r="P580" s="4">
        <f>IF((((Price25[Cost]*1.5)+50)/0.835)&lt;2500,
MROUND((((( Price25[Cost]*1.5)+50)/0.835)*1.05)*2,10),
MROUND((((( Price25[Cost]*1.5)+50)/0.835)*1.18)*2,10))</f>
        <v>960</v>
      </c>
      <c r="Q580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620</v>
      </c>
    </row>
    <row r="581" spans="1:17" x14ac:dyDescent="0.25">
      <c r="A581" s="1">
        <v>2025</v>
      </c>
      <c r="B581" s="18">
        <v>6121</v>
      </c>
      <c r="C581" s="19" t="s">
        <v>277</v>
      </c>
      <c r="D581" s="19" t="s">
        <v>494</v>
      </c>
      <c r="E581" s="19" t="s">
        <v>235</v>
      </c>
      <c r="F581" s="19" t="s">
        <v>584</v>
      </c>
      <c r="G581" s="20">
        <v>220</v>
      </c>
      <c r="H581" s="20">
        <v>5</v>
      </c>
      <c r="I581" s="20">
        <v>140</v>
      </c>
      <c r="J581" s="4">
        <f t="shared" si="113"/>
        <v>365</v>
      </c>
      <c r="K581" s="4">
        <f t="shared" si="108"/>
        <v>440</v>
      </c>
      <c r="L581" s="4">
        <f t="shared" si="109"/>
        <v>460</v>
      </c>
      <c r="M581" s="4">
        <f t="shared" si="110"/>
        <v>575</v>
      </c>
      <c r="N581" s="4">
        <f t="shared" si="111"/>
        <v>425</v>
      </c>
      <c r="O581" s="4">
        <f t="shared" si="112"/>
        <v>495</v>
      </c>
      <c r="P581" s="4">
        <f>IF((((Price25[Cost]*1.5)+50)/0.835)&lt;2500,
MROUND((((( Price25[Cost]*1.5)+50)/0.835)*1.05)*2,10),
MROUND((((( Price25[Cost]*1.5)+50)/0.835)*1.18)*2,10))</f>
        <v>960</v>
      </c>
      <c r="Q581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650</v>
      </c>
    </row>
    <row r="582" spans="1:17" x14ac:dyDescent="0.25">
      <c r="A582" s="1">
        <v>2025</v>
      </c>
      <c r="B582" s="18">
        <v>6122</v>
      </c>
      <c r="C582" s="19" t="s">
        <v>277</v>
      </c>
      <c r="D582" s="19" t="s">
        <v>494</v>
      </c>
      <c r="E582" s="19" t="s">
        <v>235</v>
      </c>
      <c r="F582" s="19" t="s">
        <v>584</v>
      </c>
      <c r="G582" s="20">
        <v>220</v>
      </c>
      <c r="H582" s="20">
        <v>5</v>
      </c>
      <c r="I582" s="20">
        <v>125</v>
      </c>
      <c r="J582" s="4">
        <f t="shared" si="113"/>
        <v>350</v>
      </c>
      <c r="K582" s="4">
        <f t="shared" si="108"/>
        <v>425</v>
      </c>
      <c r="L582" s="4">
        <f t="shared" si="109"/>
        <v>440</v>
      </c>
      <c r="M582" s="4">
        <f t="shared" si="110"/>
        <v>575</v>
      </c>
      <c r="N582" s="4">
        <f t="shared" si="111"/>
        <v>405</v>
      </c>
      <c r="O582" s="4">
        <f t="shared" si="112"/>
        <v>475</v>
      </c>
      <c r="P582" s="4">
        <f>IF((((Price25[Cost]*1.5)+50)/0.835)&lt;2500,
MROUND((((( Price25[Cost]*1.5)+50)/0.835)*1.05)*2,10),
MROUND((((( Price25[Cost]*1.5)+50)/0.835)*1.18)*2,10))</f>
        <v>960</v>
      </c>
      <c r="Q582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650</v>
      </c>
    </row>
    <row r="583" spans="1:17" x14ac:dyDescent="0.25">
      <c r="A583" s="1">
        <v>2025</v>
      </c>
      <c r="B583" s="18">
        <v>6123</v>
      </c>
      <c r="C583" s="19" t="s">
        <v>277</v>
      </c>
      <c r="D583" s="19" t="s">
        <v>494</v>
      </c>
      <c r="E583" s="19" t="s">
        <v>235</v>
      </c>
      <c r="F583" s="19" t="s">
        <v>584</v>
      </c>
      <c r="G583" s="20">
        <v>220</v>
      </c>
      <c r="H583" s="20">
        <v>5</v>
      </c>
      <c r="I583" s="20">
        <v>125</v>
      </c>
      <c r="J583" s="4">
        <f t="shared" si="113"/>
        <v>350</v>
      </c>
      <c r="K583" s="4">
        <f t="shared" si="108"/>
        <v>425</v>
      </c>
      <c r="L583" s="4">
        <f t="shared" si="109"/>
        <v>440</v>
      </c>
      <c r="M583" s="4">
        <f t="shared" si="110"/>
        <v>575</v>
      </c>
      <c r="N583" s="4">
        <f t="shared" si="111"/>
        <v>405</v>
      </c>
      <c r="O583" s="4">
        <f t="shared" si="112"/>
        <v>475</v>
      </c>
      <c r="P583" s="4">
        <f>IF((((Price25[Cost]*1.5)+50)/0.835)&lt;2500,
MROUND((((( Price25[Cost]*1.5)+50)/0.835)*1.05)*2,10),
MROUND((((( Price25[Cost]*1.5)+50)/0.835)*1.18)*2,10))</f>
        <v>960</v>
      </c>
      <c r="Q583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650</v>
      </c>
    </row>
    <row r="584" spans="1:17" x14ac:dyDescent="0.25">
      <c r="A584" s="1">
        <v>2026</v>
      </c>
      <c r="B584" s="18">
        <v>626</v>
      </c>
      <c r="C584" s="19" t="s">
        <v>277</v>
      </c>
      <c r="D584" s="19" t="s">
        <v>494</v>
      </c>
      <c r="E584" s="19" t="s">
        <v>460</v>
      </c>
      <c r="F584" s="19" t="s">
        <v>895</v>
      </c>
      <c r="G584" s="20">
        <v>235</v>
      </c>
      <c r="I584" s="20">
        <v>447</v>
      </c>
      <c r="J584" s="4">
        <f>IF(SUMIF(G584:I584,"&lt;&gt;")=0,"",SUM(G584:I584))</f>
        <v>682</v>
      </c>
      <c r="K584" s="4">
        <f>IF(ISNUMBER(L584),
   IF(CEILING(ROUND(L584*0.95,2),5)=420,
      425,
      CEILING(ROUND(L584*0.95,2),5)
   ),
   ""
)</f>
        <v>815</v>
      </c>
      <c r="L584" s="4">
        <f>IF(AND(ISNUMBER(J584),ISNUMBER(G584)),
   IF(CEILING(ROUND(J584*1.25,2),5)=420,
      425,
      CEILING(ROUND(J584*1.25,2),5)
   ),
   ""
)</f>
        <v>855</v>
      </c>
      <c r="M584" s="4">
        <f>IF(AND(ISNUMBER(J584),ISNUMBER(G584)),
   IF(
      CEILING(
         ROUND((J584*1.5) * IF(J584*1.5 &lt;= 2500, 1.05, 1.18), 2),
         IF(ROUND((J584*1.5) * IF(J584*1.5 &lt;= 2500, 1.05, 1.18), 2) &lt; 2500, 25, 50)
      )=420,
      425,
      CEILING(
         ROUND((J584*1.5) * IF(J584*1.5 &lt;= 2500, 1.05, 1.18), 2),
         IF(ROUND((J584*1.5) * IF(J584*1.5 &lt;= 2500, 1.05, 1.18), 2) &lt; 2500, 25, 50)
      )
   ),
   ""
)</f>
        <v>1075</v>
      </c>
      <c r="N584" s="4">
        <f>IF(ISNUMBER(G584),
   IF(CEILING(ROUND(L584*0.92,2),5)=420,
      425,
      CEILING(ROUND(L584*0.92,2),5)
   ),
   ""
)</f>
        <v>790</v>
      </c>
      <c r="O584" s="4">
        <f>IF(ISNUMBER(L584),
   IF(CEILING(ROUND(L584*1.07,2),5)=420,
      425,
      CEILING(ROUND(L584*1.07,2),5)
   ),
   ""
)</f>
        <v>915</v>
      </c>
      <c r="P584" s="4">
        <f>IF((((Price25[Cost]*1.5)+50)/0.835)&lt;2500,
MROUND((((( Price25[Cost]*1.5)+50)/0.835)*1.05)*2,10),
MROUND((((( Price25[Cost]*1.5)+50)/0.835)*1.18)*2,10))</f>
        <v>1010</v>
      </c>
      <c r="Q584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1150</v>
      </c>
    </row>
    <row r="585" spans="1:17" x14ac:dyDescent="0.25">
      <c r="A585" s="1">
        <v>2026</v>
      </c>
      <c r="B585" s="18">
        <v>627</v>
      </c>
      <c r="C585" s="19" t="s">
        <v>277</v>
      </c>
      <c r="D585" s="19" t="s">
        <v>494</v>
      </c>
      <c r="E585" s="19" t="s">
        <v>460</v>
      </c>
      <c r="F585" s="19" t="s">
        <v>892</v>
      </c>
      <c r="G585" s="20">
        <v>235</v>
      </c>
      <c r="I585" s="20">
        <v>445</v>
      </c>
      <c r="J585" s="4">
        <f t="shared" si="113"/>
        <v>680</v>
      </c>
      <c r="K585" s="4">
        <f t="shared" si="108"/>
        <v>810</v>
      </c>
      <c r="L585" s="4">
        <f t="shared" si="109"/>
        <v>850</v>
      </c>
      <c r="M585" s="4">
        <f t="shared" si="110"/>
        <v>1075</v>
      </c>
      <c r="N585" s="4">
        <f t="shared" si="111"/>
        <v>785</v>
      </c>
      <c r="O585" s="4">
        <f t="shared" si="112"/>
        <v>910</v>
      </c>
      <c r="P585" s="4">
        <f>IF((((Price25[Cost]*1.5)+50)/0.835)&lt;2500,
MROUND((((( Price25[Cost]*1.5)+50)/0.835)*1.05)*2,10),
MROUND((((( Price25[Cost]*1.5)+50)/0.835)*1.18)*2,10))</f>
        <v>1010</v>
      </c>
      <c r="Q585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1150</v>
      </c>
    </row>
    <row r="586" spans="1:17" x14ac:dyDescent="0.25">
      <c r="A586" s="1">
        <v>2026</v>
      </c>
      <c r="B586" s="18">
        <v>628</v>
      </c>
      <c r="C586" s="19" t="s">
        <v>277</v>
      </c>
      <c r="D586" s="19" t="s">
        <v>494</v>
      </c>
      <c r="E586" s="19" t="s">
        <v>460</v>
      </c>
      <c r="F586" s="19" t="s">
        <v>893</v>
      </c>
      <c r="G586" s="20">
        <v>235</v>
      </c>
      <c r="I586" s="20">
        <v>310</v>
      </c>
      <c r="J586" s="4">
        <f t="shared" si="113"/>
        <v>545</v>
      </c>
      <c r="K586" s="4">
        <f t="shared" si="108"/>
        <v>655</v>
      </c>
      <c r="L586" s="4">
        <f t="shared" si="109"/>
        <v>685</v>
      </c>
      <c r="M586" s="4">
        <f t="shared" si="110"/>
        <v>875</v>
      </c>
      <c r="N586" s="4">
        <f t="shared" si="111"/>
        <v>635</v>
      </c>
      <c r="O586" s="4">
        <f t="shared" si="112"/>
        <v>735</v>
      </c>
      <c r="P586" s="4">
        <f>IF((((Price25[Cost]*1.5)+50)/0.835)&lt;2500,
MROUND((((( Price25[Cost]*1.5)+50)/0.835)*1.05)*2,10),
MROUND((((( Price25[Cost]*1.5)+50)/0.835)*1.18)*2,10))</f>
        <v>1010</v>
      </c>
      <c r="Q586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950</v>
      </c>
    </row>
    <row r="587" spans="1:17" x14ac:dyDescent="0.25">
      <c r="A587" s="1">
        <v>2026</v>
      </c>
      <c r="B587" s="18">
        <v>629</v>
      </c>
      <c r="C587" s="19" t="s">
        <v>277</v>
      </c>
      <c r="D587" s="19" t="s">
        <v>494</v>
      </c>
      <c r="E587" s="19" t="s">
        <v>460</v>
      </c>
      <c r="F587" s="19" t="s">
        <v>577</v>
      </c>
      <c r="G587" s="20">
        <v>235</v>
      </c>
      <c r="I587" s="20">
        <v>400</v>
      </c>
      <c r="J587" s="4">
        <f t="shared" si="113"/>
        <v>635</v>
      </c>
      <c r="K587" s="4">
        <f t="shared" si="108"/>
        <v>760</v>
      </c>
      <c r="L587" s="4">
        <f t="shared" si="109"/>
        <v>795</v>
      </c>
      <c r="M587" s="4">
        <f t="shared" si="110"/>
        <v>1025</v>
      </c>
      <c r="N587" s="4">
        <f t="shared" si="111"/>
        <v>735</v>
      </c>
      <c r="O587" s="4">
        <f t="shared" si="112"/>
        <v>855</v>
      </c>
      <c r="P587" s="4">
        <f>IF((((Price25[Cost]*1.5)+50)/0.835)&lt;2500,
MROUND((((( Price25[Cost]*1.5)+50)/0.835)*1.05)*2,10),
MROUND((((( Price25[Cost]*1.5)+50)/0.835)*1.18)*2,10))</f>
        <v>1010</v>
      </c>
      <c r="Q587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1100</v>
      </c>
    </row>
    <row r="588" spans="1:17" x14ac:dyDescent="0.25">
      <c r="A588" s="1">
        <v>2026</v>
      </c>
      <c r="B588" s="18">
        <v>630</v>
      </c>
      <c r="C588" s="19" t="s">
        <v>277</v>
      </c>
      <c r="D588" s="19" t="s">
        <v>494</v>
      </c>
      <c r="E588" s="19" t="s">
        <v>460</v>
      </c>
      <c r="F588" s="19" t="s">
        <v>894</v>
      </c>
      <c r="G588" s="20">
        <v>235</v>
      </c>
      <c r="I588" s="20">
        <v>370</v>
      </c>
      <c r="J588" s="4">
        <f t="shared" si="113"/>
        <v>605</v>
      </c>
      <c r="K588" s="4">
        <f t="shared" si="108"/>
        <v>725</v>
      </c>
      <c r="L588" s="4">
        <f t="shared" si="109"/>
        <v>760</v>
      </c>
      <c r="M588" s="4">
        <f t="shared" si="110"/>
        <v>975</v>
      </c>
      <c r="N588" s="4">
        <f t="shared" si="111"/>
        <v>700</v>
      </c>
      <c r="O588" s="4">
        <f t="shared" si="112"/>
        <v>815</v>
      </c>
      <c r="P588" s="4">
        <f>IF((((Price25[Cost]*1.5)+50)/0.835)&lt;2500,
MROUND((((( Price25[Cost]*1.5)+50)/0.835)*1.05)*2,10),
MROUND((((( Price25[Cost]*1.5)+50)/0.835)*1.18)*2,10))</f>
        <v>1010</v>
      </c>
      <c r="Q588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1050</v>
      </c>
    </row>
    <row r="589" spans="1:17" x14ac:dyDescent="0.25">
      <c r="A589" s="1">
        <v>2026</v>
      </c>
      <c r="B589" s="18">
        <v>631</v>
      </c>
      <c r="C589" s="19" t="s">
        <v>284</v>
      </c>
      <c r="D589" s="19" t="s">
        <v>494</v>
      </c>
      <c r="E589" s="19" t="s">
        <v>460</v>
      </c>
      <c r="F589" s="19" t="s">
        <v>552</v>
      </c>
      <c r="G589" s="20">
        <v>225</v>
      </c>
      <c r="I589" s="20">
        <v>240</v>
      </c>
      <c r="J589" s="4">
        <f t="shared" si="113"/>
        <v>465</v>
      </c>
      <c r="K589" s="4">
        <f t="shared" si="108"/>
        <v>560</v>
      </c>
      <c r="L589" s="4">
        <f t="shared" si="109"/>
        <v>585</v>
      </c>
      <c r="M589" s="4">
        <f t="shared" si="110"/>
        <v>750</v>
      </c>
      <c r="N589" s="4">
        <f t="shared" si="111"/>
        <v>540</v>
      </c>
      <c r="O589" s="4">
        <f t="shared" si="112"/>
        <v>630</v>
      </c>
      <c r="P589" s="4">
        <f>IF((((Price25[Cost]*1.5)+50)/0.835)&lt;2500,
MROUND((((( Price25[Cost]*1.5)+50)/0.835)*1.05)*2,10),
MROUND((((( Price25[Cost]*1.5)+50)/0.835)*1.18)*2,10))</f>
        <v>970</v>
      </c>
      <c r="Q589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820</v>
      </c>
    </row>
    <row r="590" spans="1:17" x14ac:dyDescent="0.25">
      <c r="A590" s="1">
        <v>2026</v>
      </c>
      <c r="B590" s="18">
        <v>632</v>
      </c>
      <c r="C590" s="19" t="s">
        <v>277</v>
      </c>
      <c r="D590" s="19" t="s">
        <v>494</v>
      </c>
      <c r="E590" s="19" t="s">
        <v>460</v>
      </c>
      <c r="F590" s="19" t="s">
        <v>578</v>
      </c>
      <c r="G590" s="20">
        <v>225</v>
      </c>
      <c r="I590" s="20">
        <v>210</v>
      </c>
      <c r="J590" s="4">
        <f t="shared" si="113"/>
        <v>435</v>
      </c>
      <c r="K590" s="4">
        <f t="shared" si="108"/>
        <v>520</v>
      </c>
      <c r="L590" s="4">
        <f t="shared" si="109"/>
        <v>545</v>
      </c>
      <c r="M590" s="4">
        <f t="shared" si="110"/>
        <v>700</v>
      </c>
      <c r="N590" s="4">
        <f t="shared" si="111"/>
        <v>505</v>
      </c>
      <c r="O590" s="4">
        <f t="shared" si="112"/>
        <v>585</v>
      </c>
      <c r="P590" s="4">
        <f>IF((((Price25[Cost]*1.5)+50)/0.835)&lt;2500,
MROUND((((( Price25[Cost]*1.5)+50)/0.835)*1.05)*2,10),
MROUND((((( Price25[Cost]*1.5)+50)/0.835)*1.18)*2,10))</f>
        <v>970</v>
      </c>
      <c r="Q590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770</v>
      </c>
    </row>
    <row r="591" spans="1:17" x14ac:dyDescent="0.25">
      <c r="A591" s="1">
        <v>2026</v>
      </c>
      <c r="B591" s="19" t="s">
        <v>805</v>
      </c>
      <c r="C591" s="19" t="s">
        <v>277</v>
      </c>
      <c r="D591" s="19" t="s">
        <v>494</v>
      </c>
      <c r="E591" s="19" t="s">
        <v>278</v>
      </c>
      <c r="F591" s="19" t="s">
        <v>38</v>
      </c>
      <c r="G591" s="20">
        <v>120</v>
      </c>
      <c r="I591" s="20">
        <v>10</v>
      </c>
      <c r="J591" s="4">
        <f t="shared" si="113"/>
        <v>130</v>
      </c>
      <c r="K591" s="4">
        <f t="shared" si="108"/>
        <v>160</v>
      </c>
      <c r="L591" s="4">
        <f t="shared" si="109"/>
        <v>165</v>
      </c>
      <c r="M591" s="4">
        <f t="shared" si="110"/>
        <v>225</v>
      </c>
      <c r="N591" s="4">
        <f t="shared" si="111"/>
        <v>155</v>
      </c>
      <c r="O591" s="4">
        <f t="shared" si="112"/>
        <v>180</v>
      </c>
      <c r="P591" s="4">
        <f>IF((((Price25[Cost]*1.5)+50)/0.835)&lt;2500,
MROUND((((( Price25[Cost]*1.5)+50)/0.835)*1.05)*2,10),
MROUND((((( Price25[Cost]*1.5)+50)/0.835)*1.18)*2,10))</f>
        <v>580</v>
      </c>
      <c r="Q591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300</v>
      </c>
    </row>
    <row r="592" spans="1:17" x14ac:dyDescent="0.25">
      <c r="A592" s="1">
        <v>2026</v>
      </c>
      <c r="B592" s="18" t="s">
        <v>1021</v>
      </c>
      <c r="C592" s="19" t="s">
        <v>277</v>
      </c>
      <c r="D592" s="19" t="s">
        <v>494</v>
      </c>
      <c r="E592" s="19" t="s">
        <v>278</v>
      </c>
      <c r="F592" s="19" t="s">
        <v>1022</v>
      </c>
      <c r="G592" s="20">
        <v>120</v>
      </c>
      <c r="I592" s="20">
        <v>10</v>
      </c>
      <c r="J592" s="4">
        <f>IF(SUMIF(G592:I592,"&lt;&gt;")=0,"",SUM(G592:I592))</f>
        <v>130</v>
      </c>
      <c r="K592" s="4">
        <f>IF(ISNUMBER(L592),
   IF(CEILING(ROUND(L592*0.95,2),5)=420,
      425,
      CEILING(ROUND(L592*0.95,2),5)
   ),
   ""
)</f>
        <v>160</v>
      </c>
      <c r="L592" s="4">
        <f>IF(AND(ISNUMBER(J592),ISNUMBER(G592)),
   IF(CEILING(ROUND(J592*1.25,2),5)=420,
      425,
      CEILING(ROUND(J592*1.25,2),5)
   ),
   ""
)</f>
        <v>165</v>
      </c>
      <c r="M592" s="4">
        <f>IF(AND(ISNUMBER(J592),ISNUMBER(G592)),
   IF(
      CEILING(
         ROUND((J592*1.5) * IF(J592*1.5 &lt;= 2500, 1.05, 1.18), 2),
         IF(ROUND((J592*1.5) * IF(J592*1.5 &lt;= 2500, 1.05, 1.18), 2) &lt; 2500, 25, 50)
      )=420,
      425,
      CEILING(
         ROUND((J592*1.5) * IF(J592*1.5 &lt;= 2500, 1.05, 1.18), 2),
         IF(ROUND((J592*1.5) * IF(J592*1.5 &lt;= 2500, 1.05, 1.18), 2) &lt; 2500, 25, 50)
      )
   ),
   ""
)</f>
        <v>225</v>
      </c>
      <c r="N592" s="4">
        <f>IF(ISNUMBER(G592),
   IF(CEILING(ROUND(L592*0.92,2),5)=420,
      425,
      CEILING(ROUND(L592*0.92,2),5)
   ),
   ""
)</f>
        <v>155</v>
      </c>
      <c r="O592" s="4">
        <f>IF(ISNUMBER(L592),
   IF(CEILING(ROUND(L592*1.07,2),5)=420,
      425,
      CEILING(ROUND(L592*1.07,2),5)
   ),
   ""
)</f>
        <v>180</v>
      </c>
      <c r="P592" s="4">
        <f>IF((((Price25[Cost]*1.5)+50)/0.835)&lt;2500,
MROUND((((( Price25[Cost]*1.5)+50)/0.835)*1.05)*2,10),
MROUND((((( Price25[Cost]*1.5)+50)/0.835)*1.18)*2,10))</f>
        <v>580</v>
      </c>
      <c r="Q592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300</v>
      </c>
    </row>
    <row r="593" spans="1:17" x14ac:dyDescent="0.25">
      <c r="A593" s="1">
        <v>2025</v>
      </c>
      <c r="B593" s="18">
        <v>745</v>
      </c>
      <c r="C593" s="19" t="s">
        <v>277</v>
      </c>
      <c r="D593" s="19" t="s">
        <v>494</v>
      </c>
      <c r="E593" s="19" t="s">
        <v>278</v>
      </c>
      <c r="F593" s="19" t="s">
        <v>582</v>
      </c>
      <c r="G593" s="20">
        <v>110</v>
      </c>
      <c r="I593" s="20">
        <v>10</v>
      </c>
      <c r="J593" s="4">
        <f t="shared" si="113"/>
        <v>120</v>
      </c>
      <c r="K593" s="4">
        <f t="shared" si="108"/>
        <v>145</v>
      </c>
      <c r="L593" s="4">
        <f t="shared" si="109"/>
        <v>150</v>
      </c>
      <c r="M593" s="4">
        <f t="shared" si="110"/>
        <v>200</v>
      </c>
      <c r="N593" s="4">
        <f t="shared" si="111"/>
        <v>140</v>
      </c>
      <c r="O593" s="4">
        <f t="shared" si="112"/>
        <v>165</v>
      </c>
      <c r="P593" s="4">
        <f>IF((((Price25[Cost]*1.5)+50)/0.835)&lt;2500,
MROUND((((( Price25[Cost]*1.5)+50)/0.835)*1.05)*2,10),
MROUND((((( Price25[Cost]*1.5)+50)/0.835)*1.18)*2,10))</f>
        <v>540</v>
      </c>
      <c r="Q593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270</v>
      </c>
    </row>
    <row r="594" spans="1:17" x14ac:dyDescent="0.25">
      <c r="A594" s="1">
        <v>2026</v>
      </c>
      <c r="B594" s="18">
        <v>749</v>
      </c>
      <c r="C594" s="19" t="s">
        <v>287</v>
      </c>
      <c r="D594" s="19" t="s">
        <v>494</v>
      </c>
      <c r="E594" s="19"/>
      <c r="F594" s="19" t="s">
        <v>48</v>
      </c>
      <c r="G594" s="20">
        <v>295</v>
      </c>
      <c r="I594" s="20">
        <v>25</v>
      </c>
      <c r="J594" s="4">
        <f t="shared" si="113"/>
        <v>320</v>
      </c>
      <c r="K594" s="4">
        <f t="shared" ref="K594:K658" si="114">IF(ISNUMBER(L594),
   IF(CEILING(ROUND(L594*0.95,2),5)=420,
      425,
      CEILING(ROUND(L594*0.95,2),5)
   ),
   ""
)</f>
        <v>380</v>
      </c>
      <c r="L594" s="4">
        <f t="shared" ref="L594:L658" si="115">IF(AND(ISNUMBER(J594),ISNUMBER(G594)),
   IF(CEILING(ROUND(J594*1.25,2),5)=420,
      425,
      CEILING(ROUND(J594*1.25,2),5)
   ),
   ""
)</f>
        <v>400</v>
      </c>
      <c r="M594" s="4">
        <f t="shared" ref="M594:M658" si="116">IF(AND(ISNUMBER(J594),ISNUMBER(G594)),
   IF(
      CEILING(
         ROUND((J594*1.5) * IF(J594*1.5 &lt;= 2500, 1.05, 1.18), 2),
         IF(ROUND((J594*1.5) * IF(J594*1.5 &lt;= 2500, 1.05, 1.18), 2) &lt; 2500, 25, 50)
      )=420,
      425,
      CEILING(
         ROUND((J594*1.5) * IF(J594*1.5 &lt;= 2500, 1.05, 1.18), 2),
         IF(ROUND((J594*1.5) * IF(J594*1.5 &lt;= 2500, 1.05, 1.18), 2) &lt; 2500, 25, 50)
      )
   ),
   ""
)</f>
        <v>525</v>
      </c>
      <c r="N594" s="4">
        <f t="shared" ref="N594:N658" si="117">IF(ISNUMBER(G594),
   IF(CEILING(ROUND(L594*0.92,2),5)=420,
      425,
      CEILING(ROUND(L594*0.92,2),5)
   ),
   ""
)</f>
        <v>370</v>
      </c>
      <c r="O594" s="4">
        <f t="shared" ref="O594:O658" si="118">IF(ISNUMBER(L594),
   IF(CEILING(ROUND(L594*1.07,2),5)=420,
      425,
      CEILING(ROUND(L594*1.07,2),5)
   ),
   ""
)</f>
        <v>430</v>
      </c>
      <c r="P594" s="4">
        <f>IF((((Price25[Cost]*1.5)+50)/0.835)&lt;2500,
MROUND((((( Price25[Cost]*1.5)+50)/0.835)*1.05)*2,10),
MROUND((((( Price25[Cost]*1.5)+50)/0.835)*1.18)*2,10))</f>
        <v>1240</v>
      </c>
      <c r="Q594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600</v>
      </c>
    </row>
    <row r="595" spans="1:17" x14ac:dyDescent="0.25">
      <c r="A595" s="1">
        <v>2026</v>
      </c>
      <c r="B595" s="18">
        <v>750</v>
      </c>
      <c r="C595" s="19" t="s">
        <v>277</v>
      </c>
      <c r="D595" s="19" t="s">
        <v>494</v>
      </c>
      <c r="E595" s="19"/>
      <c r="F595" s="19" t="s">
        <v>53</v>
      </c>
      <c r="G595" s="20">
        <v>195</v>
      </c>
      <c r="I595" s="20">
        <v>25</v>
      </c>
      <c r="J595" s="4">
        <f t="shared" si="113"/>
        <v>220</v>
      </c>
      <c r="K595" s="4">
        <f t="shared" si="114"/>
        <v>265</v>
      </c>
      <c r="L595" s="4">
        <f t="shared" si="115"/>
        <v>275</v>
      </c>
      <c r="M595" s="4">
        <f t="shared" si="116"/>
        <v>350</v>
      </c>
      <c r="N595" s="4">
        <f t="shared" si="117"/>
        <v>255</v>
      </c>
      <c r="O595" s="4">
        <f t="shared" si="118"/>
        <v>295</v>
      </c>
      <c r="P595" s="4">
        <f>IF((((Price25[Cost]*1.5)+50)/0.835)&lt;2500,
MROUND((((( Price25[Cost]*1.5)+50)/0.835)*1.05)*2,10),
MROUND((((( Price25[Cost]*1.5)+50)/0.835)*1.18)*2,10))</f>
        <v>860</v>
      </c>
      <c r="Q595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420</v>
      </c>
    </row>
    <row r="596" spans="1:17" x14ac:dyDescent="0.25">
      <c r="A596" s="1">
        <v>2026</v>
      </c>
      <c r="B596" s="18">
        <v>751</v>
      </c>
      <c r="C596" s="19" t="s">
        <v>287</v>
      </c>
      <c r="D596" s="19" t="s">
        <v>494</v>
      </c>
      <c r="E596" s="19"/>
      <c r="F596" s="19" t="s">
        <v>47</v>
      </c>
      <c r="G596" s="20">
        <v>235</v>
      </c>
      <c r="I596" s="20">
        <v>25</v>
      </c>
      <c r="J596" s="4">
        <f t="shared" si="113"/>
        <v>260</v>
      </c>
      <c r="K596" s="4">
        <f t="shared" si="114"/>
        <v>310</v>
      </c>
      <c r="L596" s="4">
        <f t="shared" si="115"/>
        <v>325</v>
      </c>
      <c r="M596" s="4">
        <f t="shared" si="116"/>
        <v>425</v>
      </c>
      <c r="N596" s="4">
        <f t="shared" si="117"/>
        <v>300</v>
      </c>
      <c r="O596" s="4">
        <f t="shared" si="118"/>
        <v>350</v>
      </c>
      <c r="P596" s="4">
        <f>IF((((Price25[Cost]*1.5)+50)/0.835)&lt;2500,
MROUND((((( Price25[Cost]*1.5)+50)/0.835)*1.05)*2,10),
MROUND((((( Price25[Cost]*1.5)+50)/0.835)*1.18)*2,10))</f>
        <v>1010</v>
      </c>
      <c r="Q596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500</v>
      </c>
    </row>
    <row r="597" spans="1:17" x14ac:dyDescent="0.25">
      <c r="A597" s="1">
        <v>2026</v>
      </c>
      <c r="B597" s="18" t="s">
        <v>1023</v>
      </c>
      <c r="C597" s="19" t="s">
        <v>287</v>
      </c>
      <c r="D597" s="19" t="s">
        <v>494</v>
      </c>
      <c r="E597" s="19" t="s">
        <v>278</v>
      </c>
      <c r="F597" s="19" t="s">
        <v>1025</v>
      </c>
      <c r="G597" s="20">
        <v>185</v>
      </c>
      <c r="I597" s="20">
        <v>10</v>
      </c>
      <c r="J597" s="4">
        <f t="shared" ref="J597:J598" si="119">IF(SUMIF(G597:I597,"&lt;&gt;")=0,"",SUM(G597:I597))</f>
        <v>195</v>
      </c>
      <c r="K597" s="4">
        <f t="shared" ref="K597:K598" si="120">IF(ISNUMBER(L597),
   IF(CEILING(ROUND(L597*0.95,2),5)=420,
      425,
      CEILING(ROUND(L597*0.95,2),5)
   ),
   ""
)</f>
        <v>235</v>
      </c>
      <c r="L597" s="4">
        <f t="shared" ref="L597:L598" si="121">IF(AND(ISNUMBER(J597),ISNUMBER(G597)),
   IF(CEILING(ROUND(J597*1.25,2),5)=420,
      425,
      CEILING(ROUND(J597*1.25,2),5)
   ),
   ""
)</f>
        <v>245</v>
      </c>
      <c r="M597" s="4">
        <f t="shared" ref="M597:M598" si="122">IF(AND(ISNUMBER(J597),ISNUMBER(G597)),
   IF(
      CEILING(
         ROUND((J597*1.5) * IF(J597*1.5 &lt;= 2500, 1.05, 1.18), 2),
         IF(ROUND((J597*1.5) * IF(J597*1.5 &lt;= 2500, 1.05, 1.18), 2) &lt; 2500, 25, 50)
      )=420,
      425,
      CEILING(
         ROUND((J597*1.5) * IF(J597*1.5 &lt;= 2500, 1.05, 1.18), 2),
         IF(ROUND((J597*1.5) * IF(J597*1.5 &lt;= 2500, 1.05, 1.18), 2) &lt; 2500, 25, 50)
      )
   ),
   ""
)</f>
        <v>325</v>
      </c>
      <c r="N597" s="4">
        <f t="shared" ref="N597:N598" si="123">IF(ISNUMBER(G597),
   IF(CEILING(ROUND(L597*0.92,2),5)=420,
      425,
      CEILING(ROUND(L597*0.92,2),5)
   ),
   ""
)</f>
        <v>230</v>
      </c>
      <c r="O597" s="4">
        <f t="shared" ref="O597:O598" si="124">IF(ISNUMBER(L597),
   IF(CEILING(ROUND(L597*1.07,2),5)=420,
      425,
      CEILING(ROUND(L597*1.07,2),5)
   ),
   ""
)</f>
        <v>265</v>
      </c>
      <c r="P597" s="4">
        <f>IF((((Price25[Cost]*1.5)+50)/0.835)&lt;2500,
MROUND((((( Price25[Cost]*1.5)+50)/0.835)*1.05)*2,10),
MROUND((((( Price25[Cost]*1.5)+50)/0.835)*1.18)*2,10))</f>
        <v>820</v>
      </c>
      <c r="Q597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400</v>
      </c>
    </row>
    <row r="598" spans="1:17" x14ac:dyDescent="0.25">
      <c r="A598" s="1">
        <v>2026</v>
      </c>
      <c r="B598" s="18" t="s">
        <v>1024</v>
      </c>
      <c r="C598" s="19" t="s">
        <v>287</v>
      </c>
      <c r="D598" s="19" t="s">
        <v>494</v>
      </c>
      <c r="E598" s="19" t="s">
        <v>278</v>
      </c>
      <c r="F598" s="19" t="s">
        <v>1026</v>
      </c>
      <c r="G598" s="20">
        <v>185</v>
      </c>
      <c r="I598" s="20">
        <v>10</v>
      </c>
      <c r="J598" s="4">
        <f t="shared" si="119"/>
        <v>195</v>
      </c>
      <c r="K598" s="4">
        <f t="shared" si="120"/>
        <v>235</v>
      </c>
      <c r="L598" s="4">
        <f t="shared" si="121"/>
        <v>245</v>
      </c>
      <c r="M598" s="4">
        <f t="shared" si="122"/>
        <v>325</v>
      </c>
      <c r="N598" s="4">
        <f t="shared" si="123"/>
        <v>230</v>
      </c>
      <c r="O598" s="4">
        <f t="shared" si="124"/>
        <v>265</v>
      </c>
      <c r="P598" s="4">
        <f>IF((((Price25[Cost]*1.5)+50)/0.835)&lt;2500,
MROUND((((( Price25[Cost]*1.5)+50)/0.835)*1.05)*2,10),
MROUND((((( Price25[Cost]*1.5)+50)/0.835)*1.18)*2,10))</f>
        <v>820</v>
      </c>
      <c r="Q598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400</v>
      </c>
    </row>
    <row r="599" spans="1:17" x14ac:dyDescent="0.25">
      <c r="A599" s="1">
        <v>2025</v>
      </c>
      <c r="B599" s="18">
        <v>764</v>
      </c>
      <c r="C599" s="19" t="s">
        <v>277</v>
      </c>
      <c r="D599" s="19" t="s">
        <v>494</v>
      </c>
      <c r="E599" s="19" t="s">
        <v>483</v>
      </c>
      <c r="F599" s="19" t="s">
        <v>486</v>
      </c>
      <c r="G599" s="20">
        <v>190</v>
      </c>
      <c r="I599" s="20">
        <v>15</v>
      </c>
      <c r="J599" s="4">
        <f t="shared" si="113"/>
        <v>205</v>
      </c>
      <c r="K599" s="4">
        <f t="shared" si="114"/>
        <v>250</v>
      </c>
      <c r="L599" s="4">
        <f t="shared" si="115"/>
        <v>260</v>
      </c>
      <c r="M599" s="4">
        <f t="shared" si="116"/>
        <v>325</v>
      </c>
      <c r="N599" s="4">
        <f t="shared" si="117"/>
        <v>240</v>
      </c>
      <c r="O599" s="4">
        <f t="shared" si="118"/>
        <v>280</v>
      </c>
      <c r="P599" s="4">
        <f>IF((((Price25[Cost]*1.5)+50)/0.835)&lt;2500,
MROUND((((( Price25[Cost]*1.5)+50)/0.835)*1.05)*2,10),
MROUND((((( Price25[Cost]*1.5)+50)/0.835)*1.18)*2,10))</f>
        <v>840</v>
      </c>
      <c r="Q599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400</v>
      </c>
    </row>
    <row r="600" spans="1:17" x14ac:dyDescent="0.25">
      <c r="A600" s="1">
        <v>2025</v>
      </c>
      <c r="B600" s="18">
        <v>765</v>
      </c>
      <c r="C600" s="19" t="s">
        <v>277</v>
      </c>
      <c r="D600" s="19" t="s">
        <v>494</v>
      </c>
      <c r="E600" s="19" t="s">
        <v>483</v>
      </c>
      <c r="F600" s="19" t="s">
        <v>487</v>
      </c>
      <c r="G600" s="20">
        <v>118</v>
      </c>
      <c r="I600" s="20">
        <v>15</v>
      </c>
      <c r="J600" s="4">
        <f t="shared" si="113"/>
        <v>133</v>
      </c>
      <c r="K600" s="4">
        <f t="shared" si="114"/>
        <v>165</v>
      </c>
      <c r="L600" s="4">
        <f t="shared" si="115"/>
        <v>170</v>
      </c>
      <c r="M600" s="4">
        <f t="shared" si="116"/>
        <v>225</v>
      </c>
      <c r="N600" s="4">
        <f t="shared" si="117"/>
        <v>160</v>
      </c>
      <c r="O600" s="4">
        <f t="shared" si="118"/>
        <v>185</v>
      </c>
      <c r="P600" s="4">
        <f>IF((((Price25[Cost]*1.5)+50)/0.835)&lt;2500,
MROUND((((( Price25[Cost]*1.5)+50)/0.835)*1.05)*2,10),
MROUND((((( Price25[Cost]*1.5)+50)/0.835)*1.18)*2,10))</f>
        <v>570</v>
      </c>
      <c r="Q600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300</v>
      </c>
    </row>
    <row r="601" spans="1:17" x14ac:dyDescent="0.25">
      <c r="A601" s="1">
        <v>2025</v>
      </c>
      <c r="B601" s="18">
        <v>766</v>
      </c>
      <c r="C601" s="19" t="s">
        <v>277</v>
      </c>
      <c r="D601" s="19" t="s">
        <v>494</v>
      </c>
      <c r="E601" s="19" t="s">
        <v>483</v>
      </c>
      <c r="F601" s="19" t="s">
        <v>488</v>
      </c>
      <c r="G601" s="20">
        <v>135</v>
      </c>
      <c r="I601" s="20">
        <v>15</v>
      </c>
      <c r="J601" s="4">
        <f t="shared" si="113"/>
        <v>150</v>
      </c>
      <c r="K601" s="4">
        <f t="shared" si="114"/>
        <v>185</v>
      </c>
      <c r="L601" s="4">
        <f t="shared" si="115"/>
        <v>190</v>
      </c>
      <c r="M601" s="4">
        <f t="shared" si="116"/>
        <v>250</v>
      </c>
      <c r="N601" s="4">
        <f t="shared" si="117"/>
        <v>175</v>
      </c>
      <c r="O601" s="4">
        <f t="shared" si="118"/>
        <v>205</v>
      </c>
      <c r="P601" s="4">
        <f>IF((((Price25[Cost]*1.5)+50)/0.835)&lt;2500,
MROUND((((( Price25[Cost]*1.5)+50)/0.835)*1.05)*2,10),
MROUND((((( Price25[Cost]*1.5)+50)/0.835)*1.18)*2,10))</f>
        <v>640</v>
      </c>
      <c r="Q601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320</v>
      </c>
    </row>
    <row r="602" spans="1:17" x14ac:dyDescent="0.25">
      <c r="A602" s="1">
        <v>2025</v>
      </c>
      <c r="B602" s="18">
        <v>767</v>
      </c>
      <c r="C602" s="19" t="s">
        <v>277</v>
      </c>
      <c r="D602" s="19" t="s">
        <v>494</v>
      </c>
      <c r="E602" s="19" t="s">
        <v>483</v>
      </c>
      <c r="F602" s="19" t="s">
        <v>489</v>
      </c>
      <c r="G602" s="20">
        <v>260</v>
      </c>
      <c r="I602" s="20">
        <v>15</v>
      </c>
      <c r="J602" s="4">
        <f t="shared" ref="J602:J686" si="125">IF(SUMIF(G602:I602,"&lt;&gt;")=0,"",SUM(G602:I602))</f>
        <v>275</v>
      </c>
      <c r="K602" s="4">
        <f t="shared" si="114"/>
        <v>330</v>
      </c>
      <c r="L602" s="4">
        <f t="shared" si="115"/>
        <v>345</v>
      </c>
      <c r="M602" s="4">
        <f t="shared" si="116"/>
        <v>450</v>
      </c>
      <c r="N602" s="4">
        <f t="shared" si="117"/>
        <v>320</v>
      </c>
      <c r="O602" s="4">
        <f t="shared" si="118"/>
        <v>370</v>
      </c>
      <c r="P602" s="4">
        <f>IF((((Price25[Cost]*1.5)+50)/0.835)&lt;2500,
MROUND((((( Price25[Cost]*1.5)+50)/0.835)*1.05)*2,10),
MROUND((((( Price25[Cost]*1.5)+50)/0.835)*1.18)*2,10))</f>
        <v>1110</v>
      </c>
      <c r="Q602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520</v>
      </c>
    </row>
    <row r="603" spans="1:17" x14ac:dyDescent="0.25">
      <c r="A603" s="1">
        <v>2025</v>
      </c>
      <c r="B603" s="18">
        <v>772</v>
      </c>
      <c r="C603" s="19" t="s">
        <v>277</v>
      </c>
      <c r="D603" s="19" t="s">
        <v>494</v>
      </c>
      <c r="E603" s="19" t="s">
        <v>483</v>
      </c>
      <c r="F603" s="19" t="s">
        <v>490</v>
      </c>
      <c r="G603" s="20">
        <v>140</v>
      </c>
      <c r="I603" s="20">
        <v>15</v>
      </c>
      <c r="J603" s="4">
        <f t="shared" si="125"/>
        <v>155</v>
      </c>
      <c r="K603" s="4">
        <f t="shared" si="114"/>
        <v>190</v>
      </c>
      <c r="L603" s="4">
        <f t="shared" si="115"/>
        <v>195</v>
      </c>
      <c r="M603" s="4">
        <f t="shared" si="116"/>
        <v>250</v>
      </c>
      <c r="N603" s="4">
        <f t="shared" si="117"/>
        <v>180</v>
      </c>
      <c r="O603" s="4">
        <f t="shared" si="118"/>
        <v>210</v>
      </c>
      <c r="P603" s="4">
        <f>IF((((Price25[Cost]*1.5)+50)/0.835)&lt;2500,
MROUND((((( Price25[Cost]*1.5)+50)/0.835)*1.05)*2,10),
MROUND((((( Price25[Cost]*1.5)+50)/0.835)*1.18)*2,10))</f>
        <v>650</v>
      </c>
      <c r="Q603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320</v>
      </c>
    </row>
    <row r="604" spans="1:17" x14ac:dyDescent="0.25">
      <c r="A604" s="1"/>
      <c r="B604" s="18">
        <v>273</v>
      </c>
      <c r="C604" s="19" t="s">
        <v>277</v>
      </c>
      <c r="D604" s="19" t="s">
        <v>494</v>
      </c>
      <c r="E604" s="19" t="s">
        <v>138</v>
      </c>
      <c r="F604" s="19" t="s">
        <v>154</v>
      </c>
      <c r="G604" s="20">
        <v>70</v>
      </c>
      <c r="I604" s="20">
        <v>10</v>
      </c>
      <c r="J604" s="4">
        <f t="shared" si="125"/>
        <v>80</v>
      </c>
      <c r="K604" s="4">
        <f t="shared" si="114"/>
        <v>95</v>
      </c>
      <c r="L604" s="4">
        <f t="shared" si="115"/>
        <v>100</v>
      </c>
      <c r="M604" s="4">
        <f t="shared" si="116"/>
        <v>150</v>
      </c>
      <c r="N604" s="4">
        <f t="shared" si="117"/>
        <v>95</v>
      </c>
      <c r="O604" s="4">
        <f t="shared" si="118"/>
        <v>110</v>
      </c>
      <c r="P604" s="4">
        <f>IF((((Price25[Cost]*1.5)+50)/0.835)&lt;2500,
MROUND((((( Price25[Cost]*1.5)+50)/0.835)*1.05)*2,10),
MROUND((((( Price25[Cost]*1.5)+50)/0.835)*1.18)*2,10))</f>
        <v>390</v>
      </c>
      <c r="Q604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220</v>
      </c>
    </row>
    <row r="605" spans="1:17" x14ac:dyDescent="0.25">
      <c r="A605" s="1"/>
      <c r="B605" s="18">
        <v>2731</v>
      </c>
      <c r="C605" s="19" t="s">
        <v>277</v>
      </c>
      <c r="D605" s="19" t="s">
        <v>494</v>
      </c>
      <c r="E605" s="19" t="s">
        <v>138</v>
      </c>
      <c r="F605" s="19">
        <v>2912</v>
      </c>
      <c r="G605" s="20">
        <v>68</v>
      </c>
      <c r="I605" s="20">
        <v>10</v>
      </c>
      <c r="J605" s="4">
        <f t="shared" si="125"/>
        <v>78</v>
      </c>
      <c r="K605" s="4">
        <f t="shared" si="114"/>
        <v>95</v>
      </c>
      <c r="L605" s="4">
        <f t="shared" si="115"/>
        <v>100</v>
      </c>
      <c r="M605" s="4">
        <f t="shared" si="116"/>
        <v>125</v>
      </c>
      <c r="N605" s="4">
        <f t="shared" si="117"/>
        <v>95</v>
      </c>
      <c r="O605" s="4">
        <f t="shared" si="118"/>
        <v>110</v>
      </c>
      <c r="P605" s="4">
        <f>IF((((Price25[Cost]*1.5)+50)/0.835)&lt;2500,
MROUND((((( Price25[Cost]*1.5)+50)/0.835)*1.05)*2,10),
MROUND((((( Price25[Cost]*1.5)+50)/0.835)*1.18)*2,10))</f>
        <v>380</v>
      </c>
      <c r="Q605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200</v>
      </c>
    </row>
    <row r="606" spans="1:17" x14ac:dyDescent="0.25">
      <c r="A606" s="1"/>
      <c r="B606" s="18">
        <v>2732</v>
      </c>
      <c r="C606" s="19" t="s">
        <v>277</v>
      </c>
      <c r="D606" s="19" t="s">
        <v>494</v>
      </c>
      <c r="E606" s="19" t="s">
        <v>138</v>
      </c>
      <c r="F606" s="19">
        <v>2941</v>
      </c>
      <c r="G606" s="20">
        <v>105</v>
      </c>
      <c r="I606" s="20">
        <v>10</v>
      </c>
      <c r="J606" s="4">
        <f t="shared" si="125"/>
        <v>115</v>
      </c>
      <c r="K606" s="4">
        <f t="shared" si="114"/>
        <v>140</v>
      </c>
      <c r="L606" s="4">
        <f t="shared" si="115"/>
        <v>145</v>
      </c>
      <c r="M606" s="4">
        <f t="shared" si="116"/>
        <v>200</v>
      </c>
      <c r="N606" s="4">
        <f t="shared" si="117"/>
        <v>135</v>
      </c>
      <c r="O606" s="4">
        <f t="shared" si="118"/>
        <v>160</v>
      </c>
      <c r="P606" s="4">
        <f>IF((((Price25[Cost]*1.5)+50)/0.835)&lt;2500,
MROUND((((( Price25[Cost]*1.5)+50)/0.835)*1.05)*2,10),
MROUND((((( Price25[Cost]*1.5)+50)/0.835)*1.18)*2,10))</f>
        <v>520</v>
      </c>
      <c r="Q606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270</v>
      </c>
    </row>
    <row r="607" spans="1:17" x14ac:dyDescent="0.25">
      <c r="A607" s="1"/>
      <c r="B607" s="18">
        <v>2733</v>
      </c>
      <c r="C607" s="19" t="s">
        <v>277</v>
      </c>
      <c r="D607" s="19" t="s">
        <v>494</v>
      </c>
      <c r="E607" s="19" t="s">
        <v>138</v>
      </c>
      <c r="F607" s="19">
        <v>954</v>
      </c>
      <c r="G607" s="20">
        <v>85</v>
      </c>
      <c r="I607" s="20">
        <v>10</v>
      </c>
      <c r="J607" s="4">
        <f t="shared" si="125"/>
        <v>95</v>
      </c>
      <c r="K607" s="4">
        <f t="shared" si="114"/>
        <v>115</v>
      </c>
      <c r="L607" s="4">
        <f t="shared" si="115"/>
        <v>120</v>
      </c>
      <c r="M607" s="4">
        <f t="shared" si="116"/>
        <v>150</v>
      </c>
      <c r="N607" s="4">
        <f t="shared" si="117"/>
        <v>115</v>
      </c>
      <c r="O607" s="4">
        <f t="shared" si="118"/>
        <v>130</v>
      </c>
      <c r="P607" s="4">
        <f>IF((((Price25[Cost]*1.5)+50)/0.835)&lt;2500,
MROUND((((( Price25[Cost]*1.5)+50)/0.835)*1.05)*2,10),
MROUND((((( Price25[Cost]*1.5)+50)/0.835)*1.18)*2,10))</f>
        <v>450</v>
      </c>
      <c r="Q607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220</v>
      </c>
    </row>
    <row r="608" spans="1:17" x14ac:dyDescent="0.25">
      <c r="A608" s="1"/>
      <c r="B608" s="18">
        <v>2734</v>
      </c>
      <c r="C608" s="19" t="s">
        <v>277</v>
      </c>
      <c r="D608" s="19" t="s">
        <v>494</v>
      </c>
      <c r="E608" s="19" t="s">
        <v>138</v>
      </c>
      <c r="F608" s="19">
        <v>980</v>
      </c>
      <c r="G608" s="20">
        <v>150</v>
      </c>
      <c r="I608" s="20">
        <v>10</v>
      </c>
      <c r="J608" s="4">
        <f t="shared" si="125"/>
        <v>160</v>
      </c>
      <c r="K608" s="4">
        <f t="shared" si="114"/>
        <v>190</v>
      </c>
      <c r="L608" s="4">
        <f t="shared" si="115"/>
        <v>200</v>
      </c>
      <c r="M608" s="4">
        <f t="shared" si="116"/>
        <v>275</v>
      </c>
      <c r="N608" s="4">
        <f t="shared" si="117"/>
        <v>185</v>
      </c>
      <c r="O608" s="4">
        <f t="shared" si="118"/>
        <v>215</v>
      </c>
      <c r="P608" s="4">
        <f>IF((((Price25[Cost]*1.5)+50)/0.835)&lt;2500,
MROUND((((( Price25[Cost]*1.5)+50)/0.835)*1.05)*2,10),
MROUND((((( Price25[Cost]*1.5)+50)/0.835)*1.18)*2,10))</f>
        <v>690</v>
      </c>
      <c r="Q608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350</v>
      </c>
    </row>
    <row r="609" spans="1:17" x14ac:dyDescent="0.25">
      <c r="A609" s="1"/>
      <c r="B609" s="18">
        <v>2735</v>
      </c>
      <c r="C609" s="19" t="s">
        <v>277</v>
      </c>
      <c r="D609" s="19" t="s">
        <v>494</v>
      </c>
      <c r="E609" s="19" t="s">
        <v>138</v>
      </c>
      <c r="F609" s="19">
        <v>3007</v>
      </c>
      <c r="G609" s="20">
        <v>150</v>
      </c>
      <c r="I609" s="20">
        <v>10</v>
      </c>
      <c r="J609" s="4">
        <f t="shared" si="125"/>
        <v>160</v>
      </c>
      <c r="K609" s="4">
        <f t="shared" si="114"/>
        <v>190</v>
      </c>
      <c r="L609" s="4">
        <f t="shared" si="115"/>
        <v>200</v>
      </c>
      <c r="M609" s="4">
        <f t="shared" si="116"/>
        <v>275</v>
      </c>
      <c r="N609" s="4">
        <f t="shared" si="117"/>
        <v>185</v>
      </c>
      <c r="O609" s="4">
        <f t="shared" si="118"/>
        <v>215</v>
      </c>
      <c r="P609" s="4">
        <f>IF((((Price25[Cost]*1.5)+50)/0.835)&lt;2500,
MROUND((((( Price25[Cost]*1.5)+50)/0.835)*1.05)*2,10),
MROUND((((( Price25[Cost]*1.5)+50)/0.835)*1.18)*2,10))</f>
        <v>690</v>
      </c>
      <c r="Q609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350</v>
      </c>
    </row>
    <row r="610" spans="1:17" x14ac:dyDescent="0.25">
      <c r="A610" s="1"/>
      <c r="B610" s="18">
        <v>2736</v>
      </c>
      <c r="C610" s="19" t="s">
        <v>277</v>
      </c>
      <c r="D610" s="19" t="s">
        <v>494</v>
      </c>
      <c r="E610" s="19" t="s">
        <v>138</v>
      </c>
      <c r="F610" s="19">
        <v>3009</v>
      </c>
      <c r="G610" s="20">
        <v>148</v>
      </c>
      <c r="I610" s="20">
        <v>10</v>
      </c>
      <c r="J610" s="4">
        <f t="shared" si="125"/>
        <v>158</v>
      </c>
      <c r="K610" s="4">
        <f t="shared" si="114"/>
        <v>190</v>
      </c>
      <c r="L610" s="4">
        <f t="shared" si="115"/>
        <v>200</v>
      </c>
      <c r="M610" s="4">
        <f t="shared" si="116"/>
        <v>250</v>
      </c>
      <c r="N610" s="4">
        <f t="shared" si="117"/>
        <v>185</v>
      </c>
      <c r="O610" s="4">
        <f t="shared" si="118"/>
        <v>215</v>
      </c>
      <c r="P610" s="4">
        <f>IF((((Price25[Cost]*1.5)+50)/0.835)&lt;2500,
MROUND((((( Price25[Cost]*1.5)+50)/0.835)*1.05)*2,10),
MROUND((((( Price25[Cost]*1.5)+50)/0.835)*1.18)*2,10))</f>
        <v>680</v>
      </c>
      <c r="Q610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320</v>
      </c>
    </row>
    <row r="611" spans="1:17" x14ac:dyDescent="0.25">
      <c r="A611" s="1"/>
      <c r="B611" s="18">
        <v>2737</v>
      </c>
      <c r="C611" s="19" t="s">
        <v>277</v>
      </c>
      <c r="D611" s="19" t="s">
        <v>494</v>
      </c>
      <c r="E611" s="19" t="s">
        <v>138</v>
      </c>
      <c r="F611" s="19">
        <v>3018</v>
      </c>
      <c r="G611" s="20">
        <v>115</v>
      </c>
      <c r="I611" s="20">
        <v>10</v>
      </c>
      <c r="J611" s="4">
        <f t="shared" si="125"/>
        <v>125</v>
      </c>
      <c r="K611" s="4">
        <f t="shared" si="114"/>
        <v>155</v>
      </c>
      <c r="L611" s="4">
        <f t="shared" si="115"/>
        <v>160</v>
      </c>
      <c r="M611" s="4">
        <f t="shared" si="116"/>
        <v>200</v>
      </c>
      <c r="N611" s="4">
        <f t="shared" si="117"/>
        <v>150</v>
      </c>
      <c r="O611" s="4">
        <f t="shared" si="118"/>
        <v>175</v>
      </c>
      <c r="P611" s="4">
        <f>IF((((Price25[Cost]*1.5)+50)/0.835)&lt;2500,
MROUND((((( Price25[Cost]*1.5)+50)/0.835)*1.05)*2,10),
MROUND((((( Price25[Cost]*1.5)+50)/0.835)*1.18)*2,10))</f>
        <v>560</v>
      </c>
      <c r="Q611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270</v>
      </c>
    </row>
    <row r="612" spans="1:17" x14ac:dyDescent="0.25">
      <c r="A612" s="1"/>
      <c r="B612" s="18">
        <v>2738</v>
      </c>
      <c r="C612" s="19" t="s">
        <v>277</v>
      </c>
      <c r="D612" s="19" t="s">
        <v>494</v>
      </c>
      <c r="E612" s="19" t="s">
        <v>138</v>
      </c>
      <c r="F612" s="19">
        <v>953</v>
      </c>
      <c r="G612" s="20">
        <v>88</v>
      </c>
      <c r="I612" s="20">
        <v>10</v>
      </c>
      <c r="J612" s="4">
        <f t="shared" si="125"/>
        <v>98</v>
      </c>
      <c r="K612" s="4">
        <f t="shared" si="114"/>
        <v>120</v>
      </c>
      <c r="L612" s="4">
        <f t="shared" si="115"/>
        <v>125</v>
      </c>
      <c r="M612" s="4">
        <f t="shared" si="116"/>
        <v>175</v>
      </c>
      <c r="N612" s="4">
        <f t="shared" si="117"/>
        <v>115</v>
      </c>
      <c r="O612" s="4">
        <f t="shared" si="118"/>
        <v>135</v>
      </c>
      <c r="P612" s="4">
        <f>IF((((Price25[Cost]*1.5)+50)/0.835)&lt;2500,
MROUND((((( Price25[Cost]*1.5)+50)/0.835)*1.05)*2,10),
MROUND((((( Price25[Cost]*1.5)+50)/0.835)*1.18)*2,10))</f>
        <v>460</v>
      </c>
      <c r="Q612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250</v>
      </c>
    </row>
    <row r="613" spans="1:17" x14ac:dyDescent="0.25">
      <c r="A613" s="1">
        <v>2025</v>
      </c>
      <c r="B613" s="18">
        <v>2739</v>
      </c>
      <c r="C613" s="19" t="s">
        <v>277</v>
      </c>
      <c r="D613" s="19" t="s">
        <v>494</v>
      </c>
      <c r="E613" s="19" t="s">
        <v>129</v>
      </c>
      <c r="F613" s="19" t="s">
        <v>450</v>
      </c>
      <c r="G613" s="20">
        <v>75</v>
      </c>
      <c r="I613" s="20">
        <v>10</v>
      </c>
      <c r="J613" s="4">
        <f t="shared" si="125"/>
        <v>85</v>
      </c>
      <c r="K613" s="4">
        <f t="shared" si="114"/>
        <v>105</v>
      </c>
      <c r="L613" s="4">
        <f t="shared" si="115"/>
        <v>110</v>
      </c>
      <c r="M613" s="4">
        <f t="shared" si="116"/>
        <v>150</v>
      </c>
      <c r="N613" s="4">
        <f t="shared" si="117"/>
        <v>105</v>
      </c>
      <c r="O613" s="4">
        <f t="shared" si="118"/>
        <v>120</v>
      </c>
      <c r="P613" s="4">
        <f>IF((((Price25[Cost]*1.5)+50)/0.835)&lt;2500,
MROUND((((( Price25[Cost]*1.5)+50)/0.835)*1.05)*2,10),
MROUND((((( Price25[Cost]*1.5)+50)/0.835)*1.18)*2,10))</f>
        <v>410</v>
      </c>
      <c r="Q613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220</v>
      </c>
    </row>
    <row r="614" spans="1:17" x14ac:dyDescent="0.25">
      <c r="A614" s="1">
        <v>2026</v>
      </c>
      <c r="B614" s="18">
        <v>2740</v>
      </c>
      <c r="C614" s="19" t="s">
        <v>277</v>
      </c>
      <c r="D614" s="19" t="s">
        <v>494</v>
      </c>
      <c r="E614" s="19" t="s">
        <v>138</v>
      </c>
      <c r="F614" s="19">
        <v>4060</v>
      </c>
      <c r="G614" s="20">
        <v>120</v>
      </c>
      <c r="I614" s="20">
        <v>10</v>
      </c>
      <c r="J614" s="4">
        <f t="shared" si="125"/>
        <v>130</v>
      </c>
      <c r="K614" s="4">
        <f t="shared" si="114"/>
        <v>160</v>
      </c>
      <c r="L614" s="4">
        <f t="shared" si="115"/>
        <v>165</v>
      </c>
      <c r="M614" s="4">
        <f t="shared" si="116"/>
        <v>225</v>
      </c>
      <c r="N614" s="4">
        <f t="shared" si="117"/>
        <v>155</v>
      </c>
      <c r="O614" s="4">
        <f t="shared" si="118"/>
        <v>180</v>
      </c>
      <c r="P614" s="4">
        <f>IF((((Price25[Cost]*1.5)+50)/0.835)&lt;2500,
MROUND((((( Price25[Cost]*1.5)+50)/0.835)*1.05)*2,10),
MROUND((((( Price25[Cost]*1.5)+50)/0.835)*1.18)*2,10))</f>
        <v>580</v>
      </c>
      <c r="Q614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300</v>
      </c>
    </row>
    <row r="615" spans="1:17" x14ac:dyDescent="0.25">
      <c r="A615" s="1"/>
      <c r="B615" s="18">
        <v>274</v>
      </c>
      <c r="C615" s="19" t="s">
        <v>277</v>
      </c>
      <c r="D615" s="19" t="s">
        <v>494</v>
      </c>
      <c r="E615" s="19" t="s">
        <v>138</v>
      </c>
      <c r="F615" s="19">
        <v>3014</v>
      </c>
      <c r="G615" s="20">
        <v>100</v>
      </c>
      <c r="I615" s="20">
        <v>10</v>
      </c>
      <c r="J615" s="4">
        <f t="shared" si="125"/>
        <v>110</v>
      </c>
      <c r="K615" s="4">
        <f t="shared" si="114"/>
        <v>135</v>
      </c>
      <c r="L615" s="4">
        <f t="shared" si="115"/>
        <v>140</v>
      </c>
      <c r="M615" s="4">
        <f t="shared" si="116"/>
        <v>175</v>
      </c>
      <c r="N615" s="4">
        <f t="shared" si="117"/>
        <v>130</v>
      </c>
      <c r="O615" s="4">
        <f t="shared" si="118"/>
        <v>150</v>
      </c>
      <c r="P615" s="4">
        <f>IF((((Price25[Cost]*1.5)+50)/0.835)&lt;2500,
MROUND((((( Price25[Cost]*1.5)+50)/0.835)*1.05)*2,10),
MROUND((((( Price25[Cost]*1.5)+50)/0.835)*1.18)*2,10))</f>
        <v>500</v>
      </c>
      <c r="Q615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250</v>
      </c>
    </row>
    <row r="616" spans="1:17" x14ac:dyDescent="0.25">
      <c r="A616" s="1">
        <v>2026</v>
      </c>
      <c r="B616" s="18">
        <v>2741</v>
      </c>
      <c r="C616" s="19" t="s">
        <v>277</v>
      </c>
      <c r="D616" s="19" t="s">
        <v>494</v>
      </c>
      <c r="E616" s="19" t="s">
        <v>138</v>
      </c>
      <c r="F616" s="19">
        <v>4087</v>
      </c>
      <c r="G616" s="20">
        <v>66</v>
      </c>
      <c r="I616" s="20">
        <v>10</v>
      </c>
      <c r="J616" s="4">
        <f t="shared" si="125"/>
        <v>76</v>
      </c>
      <c r="K616" s="4">
        <f t="shared" si="114"/>
        <v>95</v>
      </c>
      <c r="L616" s="4">
        <f t="shared" si="115"/>
        <v>95</v>
      </c>
      <c r="M616" s="4">
        <f t="shared" si="116"/>
        <v>125</v>
      </c>
      <c r="N616" s="4">
        <f t="shared" si="117"/>
        <v>90</v>
      </c>
      <c r="O616" s="4">
        <f t="shared" si="118"/>
        <v>105</v>
      </c>
      <c r="P616" s="4">
        <f>IF((((Price25[Cost]*1.5)+50)/0.835)&lt;2500,
MROUND((((( Price25[Cost]*1.5)+50)/0.835)*1.05)*2,10),
MROUND((((( Price25[Cost]*1.5)+50)/0.835)*1.18)*2,10))</f>
        <v>370</v>
      </c>
      <c r="Q616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200</v>
      </c>
    </row>
    <row r="617" spans="1:17" x14ac:dyDescent="0.25">
      <c r="A617" s="1"/>
      <c r="B617" s="18">
        <v>2742</v>
      </c>
      <c r="C617" s="19" t="s">
        <v>277</v>
      </c>
      <c r="D617" s="19" t="s">
        <v>494</v>
      </c>
      <c r="E617" s="19" t="s">
        <v>138</v>
      </c>
      <c r="F617" s="19">
        <v>5009</v>
      </c>
      <c r="G617" s="20">
        <v>200</v>
      </c>
      <c r="I617" s="20">
        <v>10</v>
      </c>
      <c r="J617" s="4">
        <f t="shared" si="125"/>
        <v>210</v>
      </c>
      <c r="K617" s="4">
        <f t="shared" si="114"/>
        <v>255</v>
      </c>
      <c r="L617" s="4">
        <f t="shared" si="115"/>
        <v>265</v>
      </c>
      <c r="M617" s="4">
        <f t="shared" si="116"/>
        <v>350</v>
      </c>
      <c r="N617" s="4">
        <f t="shared" si="117"/>
        <v>245</v>
      </c>
      <c r="O617" s="4">
        <f t="shared" si="118"/>
        <v>285</v>
      </c>
      <c r="P617" s="4">
        <f>IF((((Price25[Cost]*1.5)+50)/0.835)&lt;2500,
MROUND((((( Price25[Cost]*1.5)+50)/0.835)*1.05)*2,10),
MROUND((((( Price25[Cost]*1.5)+50)/0.835)*1.18)*2,10))</f>
        <v>880</v>
      </c>
      <c r="Q617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420</v>
      </c>
    </row>
    <row r="618" spans="1:17" x14ac:dyDescent="0.25">
      <c r="A618" s="1"/>
      <c r="B618" s="18">
        <v>2743</v>
      </c>
      <c r="C618" s="19" t="s">
        <v>277</v>
      </c>
      <c r="D618" s="19" t="s">
        <v>494</v>
      </c>
      <c r="E618" s="19" t="s">
        <v>138</v>
      </c>
      <c r="F618" s="19">
        <v>5021</v>
      </c>
      <c r="G618" s="20">
        <v>170</v>
      </c>
      <c r="I618" s="20">
        <v>10</v>
      </c>
      <c r="J618" s="4">
        <f t="shared" si="125"/>
        <v>180</v>
      </c>
      <c r="K618" s="4">
        <f t="shared" si="114"/>
        <v>215</v>
      </c>
      <c r="L618" s="4">
        <f t="shared" si="115"/>
        <v>225</v>
      </c>
      <c r="M618" s="4">
        <f t="shared" si="116"/>
        <v>300</v>
      </c>
      <c r="N618" s="4">
        <f t="shared" si="117"/>
        <v>210</v>
      </c>
      <c r="O618" s="4">
        <f t="shared" si="118"/>
        <v>245</v>
      </c>
      <c r="P618" s="4">
        <f>IF((((Price25[Cost]*1.5)+50)/0.835)&lt;2500,
MROUND((((( Price25[Cost]*1.5)+50)/0.835)*1.05)*2,10),
MROUND((((( Price25[Cost]*1.5)+50)/0.835)*1.18)*2,10))</f>
        <v>770</v>
      </c>
      <c r="Q618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370</v>
      </c>
    </row>
    <row r="619" spans="1:17" x14ac:dyDescent="0.25">
      <c r="A619" s="1"/>
      <c r="B619" s="18">
        <v>2744</v>
      </c>
      <c r="C619" s="19" t="s">
        <v>277</v>
      </c>
      <c r="D619" s="19" t="s">
        <v>494</v>
      </c>
      <c r="E619" s="19" t="s">
        <v>138</v>
      </c>
      <c r="F619" s="19">
        <v>5037</v>
      </c>
      <c r="G619" s="20">
        <v>80</v>
      </c>
      <c r="I619" s="20">
        <v>10</v>
      </c>
      <c r="J619" s="4">
        <f t="shared" si="125"/>
        <v>90</v>
      </c>
      <c r="K619" s="4">
        <f t="shared" si="114"/>
        <v>110</v>
      </c>
      <c r="L619" s="4">
        <f t="shared" si="115"/>
        <v>115</v>
      </c>
      <c r="M619" s="4">
        <f t="shared" si="116"/>
        <v>150</v>
      </c>
      <c r="N619" s="4">
        <f t="shared" si="117"/>
        <v>110</v>
      </c>
      <c r="O619" s="4">
        <f t="shared" si="118"/>
        <v>125</v>
      </c>
      <c r="P619" s="4">
        <f>IF((((Price25[Cost]*1.5)+50)/0.835)&lt;2500,
MROUND((((( Price25[Cost]*1.5)+50)/0.835)*1.05)*2,10),
MROUND((((( Price25[Cost]*1.5)+50)/0.835)*1.18)*2,10))</f>
        <v>430</v>
      </c>
      <c r="Q619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220</v>
      </c>
    </row>
    <row r="620" spans="1:17" x14ac:dyDescent="0.25">
      <c r="A620" s="1"/>
      <c r="B620" s="18">
        <v>2745</v>
      </c>
      <c r="C620" s="19" t="s">
        <v>277</v>
      </c>
      <c r="D620" s="19" t="s">
        <v>494</v>
      </c>
      <c r="E620" s="19" t="s">
        <v>138</v>
      </c>
      <c r="F620" s="19">
        <v>5042</v>
      </c>
      <c r="G620" s="20">
        <v>70</v>
      </c>
      <c r="I620" s="20">
        <v>10</v>
      </c>
      <c r="J620" s="4">
        <f t="shared" si="125"/>
        <v>80</v>
      </c>
      <c r="K620" s="4">
        <f t="shared" si="114"/>
        <v>95</v>
      </c>
      <c r="L620" s="4">
        <f t="shared" si="115"/>
        <v>100</v>
      </c>
      <c r="M620" s="4">
        <f t="shared" si="116"/>
        <v>150</v>
      </c>
      <c r="N620" s="4">
        <f t="shared" si="117"/>
        <v>95</v>
      </c>
      <c r="O620" s="4">
        <f t="shared" si="118"/>
        <v>110</v>
      </c>
      <c r="P620" s="4">
        <f>IF((((Price25[Cost]*1.5)+50)/0.835)&lt;2500,
MROUND((((( Price25[Cost]*1.5)+50)/0.835)*1.05)*2,10),
MROUND((((( Price25[Cost]*1.5)+50)/0.835)*1.18)*2,10))</f>
        <v>390</v>
      </c>
      <c r="Q620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220</v>
      </c>
    </row>
    <row r="621" spans="1:17" x14ac:dyDescent="0.25">
      <c r="A621" s="1">
        <v>2026</v>
      </c>
      <c r="B621" s="18">
        <v>2746</v>
      </c>
      <c r="C621" s="19" t="s">
        <v>277</v>
      </c>
      <c r="D621" s="19" t="s">
        <v>494</v>
      </c>
      <c r="E621" s="19" t="s">
        <v>138</v>
      </c>
      <c r="F621" s="19">
        <v>5058</v>
      </c>
      <c r="G621" s="20">
        <v>80</v>
      </c>
      <c r="I621" s="20">
        <v>10</v>
      </c>
      <c r="J621" s="4">
        <f t="shared" si="125"/>
        <v>90</v>
      </c>
      <c r="K621" s="4">
        <f t="shared" si="114"/>
        <v>110</v>
      </c>
      <c r="L621" s="4">
        <f t="shared" si="115"/>
        <v>115</v>
      </c>
      <c r="M621" s="4">
        <f t="shared" si="116"/>
        <v>150</v>
      </c>
      <c r="N621" s="4">
        <f t="shared" si="117"/>
        <v>110</v>
      </c>
      <c r="O621" s="4">
        <f t="shared" si="118"/>
        <v>125</v>
      </c>
      <c r="P621" s="4">
        <f>IF((((Price25[Cost]*1.5)+50)/0.835)&lt;2500,
MROUND((((( Price25[Cost]*1.5)+50)/0.835)*1.05)*2,10),
MROUND((((( Price25[Cost]*1.5)+50)/0.835)*1.18)*2,10))</f>
        <v>430</v>
      </c>
      <c r="Q621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220</v>
      </c>
    </row>
    <row r="622" spans="1:17" x14ac:dyDescent="0.25">
      <c r="A622" s="1"/>
      <c r="B622" s="18">
        <v>2747</v>
      </c>
      <c r="C622" s="19" t="s">
        <v>277</v>
      </c>
      <c r="D622" s="19" t="s">
        <v>494</v>
      </c>
      <c r="E622" s="19" t="s">
        <v>138</v>
      </c>
      <c r="F622" s="19">
        <v>5079</v>
      </c>
      <c r="G622" s="20">
        <v>165</v>
      </c>
      <c r="I622" s="20">
        <v>10</v>
      </c>
      <c r="J622" s="4">
        <f t="shared" si="125"/>
        <v>175</v>
      </c>
      <c r="K622" s="4">
        <f t="shared" si="114"/>
        <v>210</v>
      </c>
      <c r="L622" s="4">
        <f t="shared" si="115"/>
        <v>220</v>
      </c>
      <c r="M622" s="4">
        <f t="shared" si="116"/>
        <v>300</v>
      </c>
      <c r="N622" s="4">
        <f t="shared" si="117"/>
        <v>205</v>
      </c>
      <c r="O622" s="4">
        <f t="shared" si="118"/>
        <v>240</v>
      </c>
      <c r="P622" s="4">
        <f>IF((((Price25[Cost]*1.5)+50)/0.835)&lt;2500,
MROUND((((( Price25[Cost]*1.5)+50)/0.835)*1.05)*2,10),
MROUND((((( Price25[Cost]*1.5)+50)/0.835)*1.18)*2,10))</f>
        <v>750</v>
      </c>
      <c r="Q622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370</v>
      </c>
    </row>
    <row r="623" spans="1:17" x14ac:dyDescent="0.25">
      <c r="A623" s="1"/>
      <c r="B623" s="18">
        <v>2748</v>
      </c>
      <c r="C623" s="19" t="s">
        <v>277</v>
      </c>
      <c r="D623" s="19" t="s">
        <v>494</v>
      </c>
      <c r="E623" s="19" t="s">
        <v>138</v>
      </c>
      <c r="F623" s="19">
        <v>5080</v>
      </c>
      <c r="G623" s="20">
        <v>130</v>
      </c>
      <c r="I623" s="20">
        <v>10</v>
      </c>
      <c r="J623" s="4">
        <f t="shared" si="125"/>
        <v>140</v>
      </c>
      <c r="K623" s="4">
        <f t="shared" si="114"/>
        <v>170</v>
      </c>
      <c r="L623" s="4">
        <f t="shared" si="115"/>
        <v>175</v>
      </c>
      <c r="M623" s="4">
        <f t="shared" si="116"/>
        <v>225</v>
      </c>
      <c r="N623" s="4">
        <f t="shared" si="117"/>
        <v>165</v>
      </c>
      <c r="O623" s="4">
        <f t="shared" si="118"/>
        <v>190</v>
      </c>
      <c r="P623" s="4">
        <f>IF((((Price25[Cost]*1.5)+50)/0.835)&lt;2500,
MROUND((((( Price25[Cost]*1.5)+50)/0.835)*1.05)*2,10),
MROUND((((( Price25[Cost]*1.5)+50)/0.835)*1.18)*2,10))</f>
        <v>620</v>
      </c>
      <c r="Q623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300</v>
      </c>
    </row>
    <row r="624" spans="1:17" x14ac:dyDescent="0.25">
      <c r="A624" s="1">
        <v>2026</v>
      </c>
      <c r="B624" s="18">
        <v>2749</v>
      </c>
      <c r="C624" s="19" t="s">
        <v>277</v>
      </c>
      <c r="D624" s="19" t="s">
        <v>494</v>
      </c>
      <c r="E624" s="19" t="s">
        <v>138</v>
      </c>
      <c r="F624" s="19">
        <v>5053</v>
      </c>
      <c r="G624" s="20">
        <v>135</v>
      </c>
      <c r="I624" s="20">
        <v>10</v>
      </c>
      <c r="J624" s="4">
        <f>IF(SUMIF(G624:I624,"&lt;&gt;")=0,"",SUM(G624:I624))</f>
        <v>145</v>
      </c>
      <c r="K624" s="4">
        <f t="shared" si="114"/>
        <v>180</v>
      </c>
      <c r="L624" s="4">
        <f t="shared" si="115"/>
        <v>185</v>
      </c>
      <c r="M624" s="4">
        <f t="shared" si="116"/>
        <v>250</v>
      </c>
      <c r="N624" s="4">
        <f t="shared" si="117"/>
        <v>175</v>
      </c>
      <c r="O624" s="4">
        <f t="shared" si="118"/>
        <v>200</v>
      </c>
      <c r="P624" s="4">
        <f>IF((((Price25[Cost]*1.5)+50)/0.835)&lt;2500,
MROUND((((( Price25[Cost]*1.5)+50)/0.835)*1.05)*2,10),
MROUND((((( Price25[Cost]*1.5)+50)/0.835)*1.18)*2,10))</f>
        <v>640</v>
      </c>
      <c r="Q624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320</v>
      </c>
    </row>
    <row r="625" spans="1:17" x14ac:dyDescent="0.25">
      <c r="A625" s="1">
        <v>2026</v>
      </c>
      <c r="B625" s="18">
        <v>275</v>
      </c>
      <c r="C625" s="19" t="s">
        <v>287</v>
      </c>
      <c r="D625" s="19" t="s">
        <v>494</v>
      </c>
      <c r="E625" s="19" t="s">
        <v>504</v>
      </c>
      <c r="F625" s="19" t="s">
        <v>505</v>
      </c>
      <c r="G625" s="20">
        <v>203</v>
      </c>
      <c r="I625" s="20">
        <v>10</v>
      </c>
      <c r="J625" s="4">
        <f t="shared" si="125"/>
        <v>213</v>
      </c>
      <c r="K625" s="4">
        <f t="shared" si="114"/>
        <v>260</v>
      </c>
      <c r="L625" s="4">
        <f t="shared" si="115"/>
        <v>270</v>
      </c>
      <c r="M625" s="4">
        <f t="shared" si="116"/>
        <v>350</v>
      </c>
      <c r="N625" s="4">
        <f t="shared" si="117"/>
        <v>250</v>
      </c>
      <c r="O625" s="4">
        <f t="shared" si="118"/>
        <v>290</v>
      </c>
      <c r="P625" s="4">
        <f>IF((((Price25[Cost]*1.5)+50)/0.835)&lt;2500,
MROUND((((( Price25[Cost]*1.5)+50)/0.835)*1.05)*2,10),
MROUND((((( Price25[Cost]*1.5)+50)/0.835)*1.18)*2,10))</f>
        <v>890</v>
      </c>
      <c r="Q625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420</v>
      </c>
    </row>
    <row r="626" spans="1:17" x14ac:dyDescent="0.25">
      <c r="A626" s="1">
        <v>2025</v>
      </c>
      <c r="B626" s="18">
        <v>2751</v>
      </c>
      <c r="C626" s="19" t="s">
        <v>287</v>
      </c>
      <c r="D626" s="19" t="s">
        <v>494</v>
      </c>
      <c r="E626" s="19" t="s">
        <v>504</v>
      </c>
      <c r="F626" s="19" t="s">
        <v>506</v>
      </c>
      <c r="G626" s="20">
        <v>142</v>
      </c>
      <c r="I626" s="20">
        <v>10</v>
      </c>
      <c r="J626" s="4">
        <f t="shared" si="125"/>
        <v>152</v>
      </c>
      <c r="K626" s="4">
        <f t="shared" si="114"/>
        <v>185</v>
      </c>
      <c r="L626" s="4">
        <f t="shared" si="115"/>
        <v>190</v>
      </c>
      <c r="M626" s="4">
        <f t="shared" si="116"/>
        <v>250</v>
      </c>
      <c r="N626" s="4">
        <f t="shared" si="117"/>
        <v>175</v>
      </c>
      <c r="O626" s="4">
        <f t="shared" si="118"/>
        <v>205</v>
      </c>
      <c r="P626" s="4">
        <f>IF((((Price25[Cost]*1.5)+50)/0.835)&lt;2500,
MROUND((((( Price25[Cost]*1.5)+50)/0.835)*1.05)*2,10),
MROUND((((( Price25[Cost]*1.5)+50)/0.835)*1.18)*2,10))</f>
        <v>660</v>
      </c>
      <c r="Q626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320</v>
      </c>
    </row>
    <row r="627" spans="1:17" x14ac:dyDescent="0.25">
      <c r="A627" s="1">
        <v>2026</v>
      </c>
      <c r="B627" s="18">
        <v>2752</v>
      </c>
      <c r="C627" s="19" t="s">
        <v>287</v>
      </c>
      <c r="D627" s="19" t="s">
        <v>494</v>
      </c>
      <c r="E627" s="19" t="s">
        <v>504</v>
      </c>
      <c r="F627" s="19" t="s">
        <v>507</v>
      </c>
      <c r="G627" s="20">
        <v>169</v>
      </c>
      <c r="I627" s="20">
        <v>10</v>
      </c>
      <c r="J627" s="4">
        <f t="shared" si="125"/>
        <v>179</v>
      </c>
      <c r="K627" s="4">
        <f t="shared" si="114"/>
        <v>215</v>
      </c>
      <c r="L627" s="4">
        <f t="shared" si="115"/>
        <v>225</v>
      </c>
      <c r="M627" s="4">
        <f t="shared" si="116"/>
        <v>300</v>
      </c>
      <c r="N627" s="4">
        <f t="shared" si="117"/>
        <v>210</v>
      </c>
      <c r="O627" s="4">
        <f t="shared" si="118"/>
        <v>245</v>
      </c>
      <c r="P627" s="4">
        <f>IF((((Price25[Cost]*1.5)+50)/0.835)&lt;2500,
MROUND((((( Price25[Cost]*1.5)+50)/0.835)*1.05)*2,10),
MROUND((((( Price25[Cost]*1.5)+50)/0.835)*1.18)*2,10))</f>
        <v>760</v>
      </c>
      <c r="Q627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370</v>
      </c>
    </row>
    <row r="628" spans="1:17" x14ac:dyDescent="0.25">
      <c r="A628" s="1">
        <v>2026</v>
      </c>
      <c r="B628" s="18">
        <v>2753</v>
      </c>
      <c r="C628" s="19" t="s">
        <v>287</v>
      </c>
      <c r="D628" s="19" t="s">
        <v>494</v>
      </c>
      <c r="E628" s="19" t="s">
        <v>504</v>
      </c>
      <c r="F628" s="19" t="s">
        <v>508</v>
      </c>
      <c r="G628" s="20">
        <v>245</v>
      </c>
      <c r="I628" s="20">
        <v>10</v>
      </c>
      <c r="J628" s="4">
        <f t="shared" si="125"/>
        <v>255</v>
      </c>
      <c r="K628" s="4">
        <f t="shared" si="114"/>
        <v>305</v>
      </c>
      <c r="L628" s="4">
        <f t="shared" si="115"/>
        <v>320</v>
      </c>
      <c r="M628" s="4">
        <f t="shared" si="116"/>
        <v>425</v>
      </c>
      <c r="N628" s="4">
        <f t="shared" si="117"/>
        <v>295</v>
      </c>
      <c r="O628" s="4">
        <f t="shared" si="118"/>
        <v>345</v>
      </c>
      <c r="P628" s="4">
        <f>IF((((Price25[Cost]*1.5)+50)/0.835)&lt;2500,
MROUND((((( Price25[Cost]*1.5)+50)/0.835)*1.05)*2,10),
MROUND((((( Price25[Cost]*1.5)+50)/0.835)*1.18)*2,10))</f>
        <v>1050</v>
      </c>
      <c r="Q628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500</v>
      </c>
    </row>
    <row r="629" spans="1:17" x14ac:dyDescent="0.25">
      <c r="A629" s="1">
        <v>2026</v>
      </c>
      <c r="B629" s="18">
        <v>2754</v>
      </c>
      <c r="C629" s="19" t="s">
        <v>287</v>
      </c>
      <c r="D629" s="19" t="s">
        <v>494</v>
      </c>
      <c r="E629" s="19" t="s">
        <v>504</v>
      </c>
      <c r="F629" s="19" t="s">
        <v>509</v>
      </c>
      <c r="G629" s="20">
        <v>134</v>
      </c>
      <c r="I629" s="20">
        <v>10</v>
      </c>
      <c r="J629" s="4">
        <f t="shared" si="125"/>
        <v>144</v>
      </c>
      <c r="K629" s="4">
        <f t="shared" si="114"/>
        <v>175</v>
      </c>
      <c r="L629" s="4">
        <f t="shared" si="115"/>
        <v>180</v>
      </c>
      <c r="M629" s="4">
        <f t="shared" si="116"/>
        <v>250</v>
      </c>
      <c r="N629" s="4">
        <f t="shared" si="117"/>
        <v>170</v>
      </c>
      <c r="O629" s="4">
        <f t="shared" si="118"/>
        <v>195</v>
      </c>
      <c r="P629" s="4">
        <f>IF((((Price25[Cost]*1.5)+50)/0.835)&lt;2500,
MROUND((((( Price25[Cost]*1.5)+50)/0.835)*1.05)*2,10),
MROUND((((( Price25[Cost]*1.5)+50)/0.835)*1.18)*2,10))</f>
        <v>630</v>
      </c>
      <c r="Q629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320</v>
      </c>
    </row>
    <row r="630" spans="1:17" x14ac:dyDescent="0.25">
      <c r="A630" s="1">
        <v>2025</v>
      </c>
      <c r="B630" s="18">
        <v>2755</v>
      </c>
      <c r="C630" s="19" t="s">
        <v>287</v>
      </c>
      <c r="D630" s="19" t="s">
        <v>494</v>
      </c>
      <c r="E630" s="19" t="s">
        <v>504</v>
      </c>
      <c r="F630" s="19" t="s">
        <v>510</v>
      </c>
      <c r="G630" s="20">
        <v>145</v>
      </c>
      <c r="I630" s="20">
        <v>10</v>
      </c>
      <c r="J630" s="4">
        <f t="shared" si="125"/>
        <v>155</v>
      </c>
      <c r="K630" s="4">
        <f t="shared" si="114"/>
        <v>190</v>
      </c>
      <c r="L630" s="4">
        <f t="shared" si="115"/>
        <v>195</v>
      </c>
      <c r="M630" s="4">
        <f t="shared" si="116"/>
        <v>250</v>
      </c>
      <c r="N630" s="4">
        <f t="shared" si="117"/>
        <v>180</v>
      </c>
      <c r="O630" s="4">
        <f t="shared" si="118"/>
        <v>210</v>
      </c>
      <c r="P630" s="4">
        <f>IF((((Price25[Cost]*1.5)+50)/0.835)&lt;2500,
MROUND((((( Price25[Cost]*1.5)+50)/0.835)*1.05)*2,10),
MROUND((((( Price25[Cost]*1.5)+50)/0.835)*1.18)*2,10))</f>
        <v>670</v>
      </c>
      <c r="Q630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320</v>
      </c>
    </row>
    <row r="631" spans="1:17" x14ac:dyDescent="0.25">
      <c r="A631" s="1">
        <v>2025</v>
      </c>
      <c r="B631" s="18">
        <v>2756</v>
      </c>
      <c r="C631" s="19" t="s">
        <v>287</v>
      </c>
      <c r="D631" s="19" t="s">
        <v>494</v>
      </c>
      <c r="E631" s="19" t="s">
        <v>504</v>
      </c>
      <c r="F631" s="19" t="s">
        <v>511</v>
      </c>
      <c r="G631" s="20">
        <v>108</v>
      </c>
      <c r="I631" s="20">
        <v>10</v>
      </c>
      <c r="J631" s="4">
        <f t="shared" si="125"/>
        <v>118</v>
      </c>
      <c r="K631" s="4">
        <f t="shared" si="114"/>
        <v>145</v>
      </c>
      <c r="L631" s="4">
        <f t="shared" si="115"/>
        <v>150</v>
      </c>
      <c r="M631" s="4">
        <f t="shared" si="116"/>
        <v>200</v>
      </c>
      <c r="N631" s="4">
        <f t="shared" si="117"/>
        <v>140</v>
      </c>
      <c r="O631" s="4">
        <f t="shared" si="118"/>
        <v>165</v>
      </c>
      <c r="P631" s="4">
        <f>IF((((Price25[Cost]*1.5)+50)/0.835)&lt;2500,
MROUND((((( Price25[Cost]*1.5)+50)/0.835)*1.05)*2,10),
MROUND((((( Price25[Cost]*1.5)+50)/0.835)*1.18)*2,10))</f>
        <v>530</v>
      </c>
      <c r="Q631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270</v>
      </c>
    </row>
    <row r="632" spans="1:17" x14ac:dyDescent="0.25">
      <c r="A632" s="1">
        <v>2026</v>
      </c>
      <c r="B632" s="18">
        <v>2757</v>
      </c>
      <c r="C632" s="19" t="s">
        <v>287</v>
      </c>
      <c r="D632" s="19" t="s">
        <v>494</v>
      </c>
      <c r="E632" s="19" t="s">
        <v>504</v>
      </c>
      <c r="F632" s="19" t="s">
        <v>512</v>
      </c>
      <c r="G632" s="20">
        <v>115</v>
      </c>
      <c r="I632" s="20">
        <v>10</v>
      </c>
      <c r="J632" s="4">
        <f t="shared" si="125"/>
        <v>125</v>
      </c>
      <c r="K632" s="4">
        <f t="shared" si="114"/>
        <v>155</v>
      </c>
      <c r="L632" s="4">
        <f t="shared" si="115"/>
        <v>160</v>
      </c>
      <c r="M632" s="4">
        <f t="shared" si="116"/>
        <v>200</v>
      </c>
      <c r="N632" s="4">
        <f t="shared" si="117"/>
        <v>150</v>
      </c>
      <c r="O632" s="4">
        <f t="shared" si="118"/>
        <v>175</v>
      </c>
      <c r="P632" s="4">
        <f>IF((((Price25[Cost]*1.5)+50)/0.835)&lt;2500,
MROUND((((( Price25[Cost]*1.5)+50)/0.835)*1.05)*2,10),
MROUND((((( Price25[Cost]*1.5)+50)/0.835)*1.18)*2,10))</f>
        <v>560</v>
      </c>
      <c r="Q632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270</v>
      </c>
    </row>
    <row r="633" spans="1:17" x14ac:dyDescent="0.25">
      <c r="A633" s="1">
        <v>2025</v>
      </c>
      <c r="B633" s="18">
        <v>2758</v>
      </c>
      <c r="C633" s="19" t="s">
        <v>287</v>
      </c>
      <c r="D633" s="19" t="s">
        <v>494</v>
      </c>
      <c r="E633" s="19" t="s">
        <v>504</v>
      </c>
      <c r="F633" s="19" t="s">
        <v>513</v>
      </c>
      <c r="G633" s="20">
        <v>99</v>
      </c>
      <c r="I633" s="20">
        <v>10</v>
      </c>
      <c r="J633" s="4">
        <f t="shared" si="125"/>
        <v>109</v>
      </c>
      <c r="K633" s="4">
        <f t="shared" si="114"/>
        <v>135</v>
      </c>
      <c r="L633" s="4">
        <f t="shared" si="115"/>
        <v>140</v>
      </c>
      <c r="M633" s="4">
        <f t="shared" si="116"/>
        <v>175</v>
      </c>
      <c r="N633" s="4">
        <f t="shared" si="117"/>
        <v>130</v>
      </c>
      <c r="O633" s="4">
        <f t="shared" si="118"/>
        <v>150</v>
      </c>
      <c r="P633" s="4">
        <f>IF((((Price25[Cost]*1.5)+50)/0.835)&lt;2500,
MROUND((((( Price25[Cost]*1.5)+50)/0.835)*1.05)*2,10),
MROUND((((( Price25[Cost]*1.5)+50)/0.835)*1.18)*2,10))</f>
        <v>500</v>
      </c>
      <c r="Q633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250</v>
      </c>
    </row>
    <row r="634" spans="1:17" x14ac:dyDescent="0.25">
      <c r="A634" s="1">
        <v>2026</v>
      </c>
      <c r="B634" s="18">
        <v>2759</v>
      </c>
      <c r="C634" s="19" t="s">
        <v>287</v>
      </c>
      <c r="D634" s="19" t="s">
        <v>494</v>
      </c>
      <c r="E634" s="19" t="s">
        <v>504</v>
      </c>
      <c r="F634" s="19" t="s">
        <v>514</v>
      </c>
      <c r="G634" s="20">
        <v>144</v>
      </c>
      <c r="I634" s="20">
        <v>10</v>
      </c>
      <c r="J634" s="4">
        <f t="shared" si="125"/>
        <v>154</v>
      </c>
      <c r="K634" s="4">
        <f t="shared" si="114"/>
        <v>190</v>
      </c>
      <c r="L634" s="4">
        <f t="shared" si="115"/>
        <v>195</v>
      </c>
      <c r="M634" s="4">
        <f t="shared" si="116"/>
        <v>250</v>
      </c>
      <c r="N634" s="4">
        <f t="shared" si="117"/>
        <v>180</v>
      </c>
      <c r="O634" s="4">
        <f t="shared" si="118"/>
        <v>210</v>
      </c>
      <c r="P634" s="4">
        <f>IF((((Price25[Cost]*1.5)+50)/0.835)&lt;2500,
MROUND((((( Price25[Cost]*1.5)+50)/0.835)*1.05)*2,10),
MROUND((((( Price25[Cost]*1.5)+50)/0.835)*1.18)*2,10))</f>
        <v>670</v>
      </c>
      <c r="Q634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320</v>
      </c>
    </row>
    <row r="635" spans="1:17" x14ac:dyDescent="0.25">
      <c r="A635" s="1">
        <v>2025</v>
      </c>
      <c r="B635" s="18">
        <v>2760</v>
      </c>
      <c r="C635" s="19" t="s">
        <v>287</v>
      </c>
      <c r="D635" s="19" t="s">
        <v>494</v>
      </c>
      <c r="E635" s="19" t="s">
        <v>504</v>
      </c>
      <c r="F635" s="19" t="s">
        <v>515</v>
      </c>
      <c r="G635" s="20">
        <v>145</v>
      </c>
      <c r="I635" s="20">
        <v>10</v>
      </c>
      <c r="J635" s="4">
        <f t="shared" si="125"/>
        <v>155</v>
      </c>
      <c r="K635" s="4">
        <f t="shared" si="114"/>
        <v>190</v>
      </c>
      <c r="L635" s="4">
        <f t="shared" si="115"/>
        <v>195</v>
      </c>
      <c r="M635" s="4">
        <f t="shared" si="116"/>
        <v>250</v>
      </c>
      <c r="N635" s="4">
        <f t="shared" si="117"/>
        <v>180</v>
      </c>
      <c r="O635" s="4">
        <f t="shared" si="118"/>
        <v>210</v>
      </c>
      <c r="P635" s="4">
        <f>IF((((Price25[Cost]*1.5)+50)/0.835)&lt;2500,
MROUND((((( Price25[Cost]*1.5)+50)/0.835)*1.05)*2,10),
MROUND((((( Price25[Cost]*1.5)+50)/0.835)*1.18)*2,10))</f>
        <v>670</v>
      </c>
      <c r="Q635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320</v>
      </c>
    </row>
    <row r="636" spans="1:17" x14ac:dyDescent="0.25">
      <c r="A636" s="1">
        <v>2025</v>
      </c>
      <c r="B636" s="18">
        <v>276</v>
      </c>
      <c r="C636" s="19" t="s">
        <v>287</v>
      </c>
      <c r="D636" s="19" t="s">
        <v>494</v>
      </c>
      <c r="E636" s="19" t="s">
        <v>504</v>
      </c>
      <c r="F636" s="19" t="s">
        <v>516</v>
      </c>
      <c r="G636" s="20">
        <v>130</v>
      </c>
      <c r="I636" s="20">
        <v>10</v>
      </c>
      <c r="J636" s="4">
        <f t="shared" si="125"/>
        <v>140</v>
      </c>
      <c r="K636" s="4">
        <f t="shared" si="114"/>
        <v>170</v>
      </c>
      <c r="L636" s="4">
        <f t="shared" si="115"/>
        <v>175</v>
      </c>
      <c r="M636" s="4">
        <f t="shared" si="116"/>
        <v>225</v>
      </c>
      <c r="N636" s="4">
        <f t="shared" si="117"/>
        <v>165</v>
      </c>
      <c r="O636" s="4">
        <f t="shared" si="118"/>
        <v>190</v>
      </c>
      <c r="P636" s="4">
        <f>IF((((Price25[Cost]*1.5)+50)/0.835)&lt;2500,
MROUND((((( Price25[Cost]*1.5)+50)/0.835)*1.05)*2,10),
MROUND((((( Price25[Cost]*1.5)+50)/0.835)*1.18)*2,10))</f>
        <v>620</v>
      </c>
      <c r="Q636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300</v>
      </c>
    </row>
    <row r="637" spans="1:17" x14ac:dyDescent="0.25">
      <c r="A637" s="1">
        <v>2026</v>
      </c>
      <c r="B637" s="18">
        <v>2761</v>
      </c>
      <c r="C637" s="19" t="s">
        <v>284</v>
      </c>
      <c r="D637" s="19" t="s">
        <v>494</v>
      </c>
      <c r="E637" s="19" t="s">
        <v>504</v>
      </c>
      <c r="F637" s="19" t="s">
        <v>517</v>
      </c>
      <c r="G637" s="20">
        <v>59</v>
      </c>
      <c r="I637" s="20">
        <v>10</v>
      </c>
      <c r="J637" s="4">
        <f t="shared" si="125"/>
        <v>69</v>
      </c>
      <c r="K637" s="4">
        <f t="shared" si="114"/>
        <v>90</v>
      </c>
      <c r="L637" s="4">
        <f t="shared" si="115"/>
        <v>90</v>
      </c>
      <c r="M637" s="4">
        <f t="shared" si="116"/>
        <v>125</v>
      </c>
      <c r="N637" s="4">
        <f t="shared" si="117"/>
        <v>85</v>
      </c>
      <c r="O637" s="4">
        <f t="shared" si="118"/>
        <v>100</v>
      </c>
      <c r="P637" s="4">
        <f>IF((((Price25[Cost]*1.5)+50)/0.835)&lt;2500,
MROUND((((( Price25[Cost]*1.5)+50)/0.835)*1.05)*2,10),
MROUND((((( Price25[Cost]*1.5)+50)/0.835)*1.18)*2,10))</f>
        <v>350</v>
      </c>
      <c r="Q637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200</v>
      </c>
    </row>
    <row r="638" spans="1:17" x14ac:dyDescent="0.25">
      <c r="A638" s="1">
        <v>2025</v>
      </c>
      <c r="B638" s="18">
        <v>2762</v>
      </c>
      <c r="C638" s="19" t="s">
        <v>284</v>
      </c>
      <c r="D638" s="19" t="s">
        <v>494</v>
      </c>
      <c r="E638" s="19" t="s">
        <v>504</v>
      </c>
      <c r="F638" s="19">
        <v>589</v>
      </c>
      <c r="G638" s="20">
        <v>112</v>
      </c>
      <c r="I638" s="20">
        <v>10</v>
      </c>
      <c r="J638" s="4">
        <f t="shared" si="125"/>
        <v>122</v>
      </c>
      <c r="K638" s="4">
        <f t="shared" si="114"/>
        <v>150</v>
      </c>
      <c r="L638" s="4">
        <f t="shared" si="115"/>
        <v>155</v>
      </c>
      <c r="M638" s="4">
        <f t="shared" si="116"/>
        <v>200</v>
      </c>
      <c r="N638" s="4">
        <f t="shared" si="117"/>
        <v>145</v>
      </c>
      <c r="O638" s="4">
        <f t="shared" si="118"/>
        <v>170</v>
      </c>
      <c r="P638" s="4">
        <f>IF((((Price25[Cost]*1.5)+50)/0.835)&lt;2500,
MROUND((((( Price25[Cost]*1.5)+50)/0.835)*1.05)*2,10),
MROUND((((( Price25[Cost]*1.5)+50)/0.835)*1.18)*2,10))</f>
        <v>550</v>
      </c>
      <c r="Q638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270</v>
      </c>
    </row>
    <row r="639" spans="1:17" x14ac:dyDescent="0.25">
      <c r="A639" s="1">
        <v>2026</v>
      </c>
      <c r="B639" s="18">
        <v>2763</v>
      </c>
      <c r="C639" s="19" t="s">
        <v>284</v>
      </c>
      <c r="D639" s="19" t="s">
        <v>494</v>
      </c>
      <c r="E639" s="19" t="s">
        <v>504</v>
      </c>
      <c r="F639" s="19" t="s">
        <v>518</v>
      </c>
      <c r="G639" s="20">
        <v>79</v>
      </c>
      <c r="I639" s="20">
        <v>10</v>
      </c>
      <c r="J639" s="4">
        <f t="shared" si="125"/>
        <v>89</v>
      </c>
      <c r="K639" s="4">
        <f t="shared" si="114"/>
        <v>110</v>
      </c>
      <c r="L639" s="4">
        <f t="shared" si="115"/>
        <v>115</v>
      </c>
      <c r="M639" s="4">
        <f t="shared" si="116"/>
        <v>150</v>
      </c>
      <c r="N639" s="4">
        <f t="shared" si="117"/>
        <v>110</v>
      </c>
      <c r="O639" s="4">
        <f t="shared" si="118"/>
        <v>125</v>
      </c>
      <c r="P639" s="4">
        <f>IF((((Price25[Cost]*1.5)+50)/0.835)&lt;2500,
MROUND((((( Price25[Cost]*1.5)+50)/0.835)*1.05)*2,10),
MROUND((((( Price25[Cost]*1.5)+50)/0.835)*1.18)*2,10))</f>
        <v>420</v>
      </c>
      <c r="Q639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220</v>
      </c>
    </row>
    <row r="640" spans="1:17" x14ac:dyDescent="0.25">
      <c r="A640" s="1">
        <v>2025</v>
      </c>
      <c r="B640" s="18">
        <v>2764</v>
      </c>
      <c r="C640" s="19" t="s">
        <v>284</v>
      </c>
      <c r="D640" s="19" t="s">
        <v>494</v>
      </c>
      <c r="E640" s="19" t="s">
        <v>504</v>
      </c>
      <c r="F640" s="19" t="s">
        <v>519</v>
      </c>
      <c r="G640" s="20">
        <v>106</v>
      </c>
      <c r="I640" s="20">
        <v>10</v>
      </c>
      <c r="J640" s="4">
        <f t="shared" si="125"/>
        <v>116</v>
      </c>
      <c r="K640" s="4">
        <f t="shared" si="114"/>
        <v>140</v>
      </c>
      <c r="L640" s="4">
        <f t="shared" si="115"/>
        <v>145</v>
      </c>
      <c r="M640" s="4">
        <f t="shared" si="116"/>
        <v>200</v>
      </c>
      <c r="N640" s="4">
        <f t="shared" si="117"/>
        <v>135</v>
      </c>
      <c r="O640" s="4">
        <f t="shared" si="118"/>
        <v>160</v>
      </c>
      <c r="P640" s="4">
        <f>IF((((Price25[Cost]*1.5)+50)/0.835)&lt;2500,
MROUND((((( Price25[Cost]*1.5)+50)/0.835)*1.05)*2,10),
MROUND((((( Price25[Cost]*1.5)+50)/0.835)*1.18)*2,10))</f>
        <v>530</v>
      </c>
      <c r="Q640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270</v>
      </c>
    </row>
    <row r="641" spans="1:17" x14ac:dyDescent="0.25">
      <c r="A641" s="1">
        <v>2026</v>
      </c>
      <c r="B641" s="18">
        <v>2765</v>
      </c>
      <c r="C641" s="19" t="s">
        <v>284</v>
      </c>
      <c r="D641" s="19" t="s">
        <v>494</v>
      </c>
      <c r="E641" s="19" t="s">
        <v>504</v>
      </c>
      <c r="F641" s="19" t="s">
        <v>520</v>
      </c>
      <c r="G641" s="20">
        <v>132</v>
      </c>
      <c r="I641" s="20">
        <v>10</v>
      </c>
      <c r="J641" s="4">
        <f t="shared" si="125"/>
        <v>142</v>
      </c>
      <c r="K641" s="4">
        <f t="shared" si="114"/>
        <v>175</v>
      </c>
      <c r="L641" s="4">
        <f t="shared" si="115"/>
        <v>180</v>
      </c>
      <c r="M641" s="4">
        <f t="shared" si="116"/>
        <v>225</v>
      </c>
      <c r="N641" s="4">
        <f t="shared" si="117"/>
        <v>170</v>
      </c>
      <c r="O641" s="4">
        <f t="shared" si="118"/>
        <v>195</v>
      </c>
      <c r="P641" s="4">
        <f>IF((((Price25[Cost]*1.5)+50)/0.835)&lt;2500,
MROUND((((( Price25[Cost]*1.5)+50)/0.835)*1.05)*2,10),
MROUND((((( Price25[Cost]*1.5)+50)/0.835)*1.18)*2,10))</f>
        <v>620</v>
      </c>
      <c r="Q641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300</v>
      </c>
    </row>
    <row r="642" spans="1:17" x14ac:dyDescent="0.25">
      <c r="A642" s="1">
        <v>2026</v>
      </c>
      <c r="B642" s="18">
        <v>2766</v>
      </c>
      <c r="C642" s="19" t="s">
        <v>287</v>
      </c>
      <c r="D642" s="19" t="s">
        <v>494</v>
      </c>
      <c r="E642" s="19" t="s">
        <v>504</v>
      </c>
      <c r="F642" s="19" t="s">
        <v>521</v>
      </c>
      <c r="G642" s="20">
        <v>142</v>
      </c>
      <c r="I642" s="20">
        <v>10</v>
      </c>
      <c r="J642" s="4">
        <f t="shared" si="125"/>
        <v>152</v>
      </c>
      <c r="K642" s="4">
        <f t="shared" si="114"/>
        <v>185</v>
      </c>
      <c r="L642" s="4">
        <f t="shared" si="115"/>
        <v>190</v>
      </c>
      <c r="M642" s="4">
        <f t="shared" si="116"/>
        <v>250</v>
      </c>
      <c r="N642" s="4">
        <f t="shared" si="117"/>
        <v>175</v>
      </c>
      <c r="O642" s="4">
        <f t="shared" si="118"/>
        <v>205</v>
      </c>
      <c r="P642" s="4">
        <f>IF((((Price25[Cost]*1.5)+50)/0.835)&lt;2500,
MROUND((((( Price25[Cost]*1.5)+50)/0.835)*1.05)*2,10),
MROUND((((( Price25[Cost]*1.5)+50)/0.835)*1.18)*2,10))</f>
        <v>660</v>
      </c>
      <c r="Q642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320</v>
      </c>
    </row>
    <row r="643" spans="1:17" x14ac:dyDescent="0.25">
      <c r="A643" s="1">
        <v>2026</v>
      </c>
      <c r="B643" s="18">
        <v>2767</v>
      </c>
      <c r="C643" s="19" t="s">
        <v>284</v>
      </c>
      <c r="D643" s="19" t="s">
        <v>494</v>
      </c>
      <c r="E643" s="19" t="s">
        <v>504</v>
      </c>
      <c r="F643" s="19" t="s">
        <v>393</v>
      </c>
      <c r="G643" s="20">
        <v>83.5</v>
      </c>
      <c r="I643" s="20">
        <v>10</v>
      </c>
      <c r="J643" s="4">
        <f t="shared" si="125"/>
        <v>93.5</v>
      </c>
      <c r="K643" s="4">
        <f t="shared" si="114"/>
        <v>115</v>
      </c>
      <c r="L643" s="4">
        <f t="shared" si="115"/>
        <v>120</v>
      </c>
      <c r="M643" s="4">
        <f t="shared" si="116"/>
        <v>150</v>
      </c>
      <c r="N643" s="4">
        <f t="shared" si="117"/>
        <v>115</v>
      </c>
      <c r="O643" s="4">
        <f t="shared" si="118"/>
        <v>130</v>
      </c>
      <c r="P643" s="4">
        <f>IF((((Price25[Cost]*1.5)+50)/0.835)&lt;2500,
MROUND((((( Price25[Cost]*1.5)+50)/0.835)*1.05)*2,10),
MROUND((((( Price25[Cost]*1.5)+50)/0.835)*1.18)*2,10))</f>
        <v>440</v>
      </c>
      <c r="Q643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220</v>
      </c>
    </row>
    <row r="644" spans="1:17" x14ac:dyDescent="0.25">
      <c r="A644" s="1">
        <v>2025</v>
      </c>
      <c r="B644" s="18">
        <v>2768</v>
      </c>
      <c r="C644" s="19" t="s">
        <v>284</v>
      </c>
      <c r="D644" s="19" t="s">
        <v>494</v>
      </c>
      <c r="E644" s="19" t="s">
        <v>504</v>
      </c>
      <c r="F644" s="19" t="s">
        <v>579</v>
      </c>
      <c r="G644" s="20">
        <v>60</v>
      </c>
      <c r="I644" s="20">
        <v>10</v>
      </c>
      <c r="J644" s="4">
        <f t="shared" si="125"/>
        <v>70</v>
      </c>
      <c r="K644" s="4">
        <f t="shared" si="114"/>
        <v>90</v>
      </c>
      <c r="L644" s="4">
        <f t="shared" si="115"/>
        <v>90</v>
      </c>
      <c r="M644" s="4">
        <f t="shared" si="116"/>
        <v>125</v>
      </c>
      <c r="N644" s="4">
        <f t="shared" si="117"/>
        <v>85</v>
      </c>
      <c r="O644" s="4">
        <f t="shared" si="118"/>
        <v>100</v>
      </c>
      <c r="P644" s="4">
        <f>IF((((Price25[Cost]*1.5)+50)/0.835)&lt;2500,
MROUND((((( Price25[Cost]*1.5)+50)/0.835)*1.05)*2,10),
MROUND((((( Price25[Cost]*1.5)+50)/0.835)*1.18)*2,10))</f>
        <v>350</v>
      </c>
      <c r="Q644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200</v>
      </c>
    </row>
    <row r="645" spans="1:17" x14ac:dyDescent="0.25">
      <c r="A645" s="1">
        <v>2026</v>
      </c>
      <c r="B645" s="18">
        <v>2769</v>
      </c>
      <c r="C645" s="19" t="s">
        <v>284</v>
      </c>
      <c r="D645" s="19" t="s">
        <v>494</v>
      </c>
      <c r="E645" s="19" t="s">
        <v>504</v>
      </c>
      <c r="F645" s="19" t="s">
        <v>765</v>
      </c>
      <c r="G645" s="20">
        <v>85</v>
      </c>
      <c r="I645" s="20">
        <v>10</v>
      </c>
      <c r="J645" s="4">
        <f t="shared" ref="J645:J650" si="126">IF(SUMIF(G645:I645,"&lt;&gt;")=0,"",SUM(G645:I645))</f>
        <v>95</v>
      </c>
      <c r="K645" s="4">
        <f t="shared" si="114"/>
        <v>115</v>
      </c>
      <c r="L645" s="4">
        <f t="shared" si="115"/>
        <v>120</v>
      </c>
      <c r="M645" s="4">
        <f t="shared" si="116"/>
        <v>150</v>
      </c>
      <c r="N645" s="4">
        <f t="shared" si="117"/>
        <v>115</v>
      </c>
      <c r="O645" s="4">
        <f t="shared" si="118"/>
        <v>130</v>
      </c>
      <c r="P645" s="4">
        <f>IF((((Price25[Cost]*1.5)+50)/0.835)&lt;2500,
MROUND((((( Price25[Cost]*1.5)+50)/0.835)*1.05)*2,10),
MROUND((((( Price25[Cost]*1.5)+50)/0.835)*1.18)*2,10))</f>
        <v>450</v>
      </c>
      <c r="Q645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220</v>
      </c>
    </row>
    <row r="646" spans="1:17" x14ac:dyDescent="0.25">
      <c r="A646" s="1">
        <v>2026</v>
      </c>
      <c r="B646" s="18">
        <v>2770</v>
      </c>
      <c r="C646" s="19" t="s">
        <v>284</v>
      </c>
      <c r="D646" s="19" t="s">
        <v>494</v>
      </c>
      <c r="E646" s="19" t="s">
        <v>504</v>
      </c>
      <c r="F646" s="19" t="s">
        <v>766</v>
      </c>
      <c r="G646" s="20">
        <v>118</v>
      </c>
      <c r="I646" s="20">
        <v>10</v>
      </c>
      <c r="J646" s="4">
        <f t="shared" si="126"/>
        <v>128</v>
      </c>
      <c r="K646" s="4">
        <f t="shared" si="114"/>
        <v>155</v>
      </c>
      <c r="L646" s="4">
        <f t="shared" si="115"/>
        <v>160</v>
      </c>
      <c r="M646" s="4">
        <f t="shared" si="116"/>
        <v>225</v>
      </c>
      <c r="N646" s="4">
        <f t="shared" si="117"/>
        <v>150</v>
      </c>
      <c r="O646" s="4">
        <f t="shared" si="118"/>
        <v>175</v>
      </c>
      <c r="P646" s="4">
        <f>IF((((Price25[Cost]*1.5)+50)/0.835)&lt;2500,
MROUND((((( Price25[Cost]*1.5)+50)/0.835)*1.05)*2,10),
MROUND((((( Price25[Cost]*1.5)+50)/0.835)*1.18)*2,10))</f>
        <v>570</v>
      </c>
      <c r="Q646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300</v>
      </c>
    </row>
    <row r="647" spans="1:17" x14ac:dyDescent="0.25">
      <c r="A647" s="1">
        <v>2026</v>
      </c>
      <c r="B647" s="18">
        <v>2771</v>
      </c>
      <c r="C647" s="19" t="s">
        <v>284</v>
      </c>
      <c r="D647" s="19" t="s">
        <v>494</v>
      </c>
      <c r="E647" s="19" t="s">
        <v>504</v>
      </c>
      <c r="F647" s="19" t="s">
        <v>767</v>
      </c>
      <c r="G647" s="20">
        <v>110</v>
      </c>
      <c r="I647" s="20">
        <v>10</v>
      </c>
      <c r="J647" s="4">
        <f t="shared" si="126"/>
        <v>120</v>
      </c>
      <c r="K647" s="4">
        <f t="shared" si="114"/>
        <v>145</v>
      </c>
      <c r="L647" s="4">
        <f t="shared" si="115"/>
        <v>150</v>
      </c>
      <c r="M647" s="4">
        <f t="shared" si="116"/>
        <v>200</v>
      </c>
      <c r="N647" s="4">
        <f t="shared" si="117"/>
        <v>140</v>
      </c>
      <c r="O647" s="4">
        <f t="shared" si="118"/>
        <v>165</v>
      </c>
      <c r="P647" s="4">
        <f>IF((((Price25[Cost]*1.5)+50)/0.835)&lt;2500,
MROUND((((( Price25[Cost]*1.5)+50)/0.835)*1.05)*2,10),
MROUND((((( Price25[Cost]*1.5)+50)/0.835)*1.18)*2,10))</f>
        <v>540</v>
      </c>
      <c r="Q647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270</v>
      </c>
    </row>
    <row r="648" spans="1:17" x14ac:dyDescent="0.25">
      <c r="A648" s="1">
        <v>2026</v>
      </c>
      <c r="B648" s="18">
        <v>2772</v>
      </c>
      <c r="C648" s="19" t="s">
        <v>284</v>
      </c>
      <c r="D648" s="19" t="s">
        <v>494</v>
      </c>
      <c r="E648" s="19" t="s">
        <v>504</v>
      </c>
      <c r="F648" s="19" t="s">
        <v>768</v>
      </c>
      <c r="G648" s="20">
        <v>108</v>
      </c>
      <c r="I648" s="20">
        <v>10</v>
      </c>
      <c r="J648" s="4">
        <f t="shared" si="126"/>
        <v>118</v>
      </c>
      <c r="K648" s="4">
        <f t="shared" si="114"/>
        <v>145</v>
      </c>
      <c r="L648" s="4">
        <f t="shared" si="115"/>
        <v>150</v>
      </c>
      <c r="M648" s="4">
        <f t="shared" si="116"/>
        <v>200</v>
      </c>
      <c r="N648" s="4">
        <f t="shared" si="117"/>
        <v>140</v>
      </c>
      <c r="O648" s="4">
        <f t="shared" si="118"/>
        <v>165</v>
      </c>
      <c r="P648" s="4">
        <f>IF((((Price25[Cost]*1.5)+50)/0.835)&lt;2500,
MROUND((((( Price25[Cost]*1.5)+50)/0.835)*1.05)*2,10),
MROUND((((( Price25[Cost]*1.5)+50)/0.835)*1.18)*2,10))</f>
        <v>530</v>
      </c>
      <c r="Q648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270</v>
      </c>
    </row>
    <row r="649" spans="1:17" x14ac:dyDescent="0.25">
      <c r="A649" s="1">
        <v>2026</v>
      </c>
      <c r="B649" s="18">
        <v>2773</v>
      </c>
      <c r="C649" s="19" t="s">
        <v>284</v>
      </c>
      <c r="D649" s="19" t="s">
        <v>494</v>
      </c>
      <c r="E649" s="19" t="s">
        <v>504</v>
      </c>
      <c r="F649" s="19" t="s">
        <v>769</v>
      </c>
      <c r="G649" s="20">
        <v>109</v>
      </c>
      <c r="I649" s="20">
        <v>10</v>
      </c>
      <c r="J649" s="4">
        <f t="shared" si="126"/>
        <v>119</v>
      </c>
      <c r="K649" s="4">
        <f t="shared" si="114"/>
        <v>145</v>
      </c>
      <c r="L649" s="4">
        <f t="shared" si="115"/>
        <v>150</v>
      </c>
      <c r="M649" s="4">
        <f t="shared" si="116"/>
        <v>200</v>
      </c>
      <c r="N649" s="4">
        <f t="shared" si="117"/>
        <v>140</v>
      </c>
      <c r="O649" s="4">
        <f t="shared" si="118"/>
        <v>165</v>
      </c>
      <c r="P649" s="4">
        <f>IF((((Price25[Cost]*1.5)+50)/0.835)&lt;2500,
MROUND((((( Price25[Cost]*1.5)+50)/0.835)*1.05)*2,10),
MROUND((((( Price25[Cost]*1.5)+50)/0.835)*1.18)*2,10))</f>
        <v>540</v>
      </c>
      <c r="Q649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270</v>
      </c>
    </row>
    <row r="650" spans="1:17" x14ac:dyDescent="0.25">
      <c r="A650" s="1">
        <v>2026</v>
      </c>
      <c r="B650" s="18">
        <v>2774</v>
      </c>
      <c r="C650" s="19" t="s">
        <v>284</v>
      </c>
      <c r="D650" s="19" t="s">
        <v>494</v>
      </c>
      <c r="E650" s="19" t="s">
        <v>504</v>
      </c>
      <c r="F650" s="19" t="s">
        <v>770</v>
      </c>
      <c r="G650" s="20">
        <v>76</v>
      </c>
      <c r="I650" s="20">
        <v>10</v>
      </c>
      <c r="J650" s="4">
        <f t="shared" si="126"/>
        <v>86</v>
      </c>
      <c r="K650" s="4">
        <f t="shared" si="114"/>
        <v>105</v>
      </c>
      <c r="L650" s="4">
        <f t="shared" si="115"/>
        <v>110</v>
      </c>
      <c r="M650" s="4">
        <f t="shared" si="116"/>
        <v>150</v>
      </c>
      <c r="N650" s="4">
        <f t="shared" si="117"/>
        <v>105</v>
      </c>
      <c r="O650" s="4">
        <f t="shared" si="118"/>
        <v>120</v>
      </c>
      <c r="P650" s="4">
        <f>IF((((Price25[Cost]*1.5)+50)/0.835)&lt;2500,
MROUND((((( Price25[Cost]*1.5)+50)/0.835)*1.05)*2,10),
MROUND((((( Price25[Cost]*1.5)+50)/0.835)*1.18)*2,10))</f>
        <v>410</v>
      </c>
      <c r="Q650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220</v>
      </c>
    </row>
    <row r="651" spans="1:17" x14ac:dyDescent="0.25">
      <c r="A651" s="1">
        <v>2026</v>
      </c>
      <c r="B651" s="18">
        <v>2775</v>
      </c>
      <c r="C651" s="19" t="s">
        <v>277</v>
      </c>
      <c r="D651" s="19" t="s">
        <v>494</v>
      </c>
      <c r="E651" s="19" t="s">
        <v>504</v>
      </c>
      <c r="F651" s="19" t="s">
        <v>778</v>
      </c>
      <c r="G651" s="20">
        <v>92</v>
      </c>
      <c r="I651" s="20">
        <v>10</v>
      </c>
      <c r="J651" s="4">
        <f>IF(SUMIF(G651:I651,"&lt;&gt;")=0,"",SUM(G651:I651))</f>
        <v>102</v>
      </c>
      <c r="K651" s="4">
        <f t="shared" si="114"/>
        <v>125</v>
      </c>
      <c r="L651" s="4">
        <f t="shared" si="115"/>
        <v>130</v>
      </c>
      <c r="M651" s="4">
        <f t="shared" si="116"/>
        <v>175</v>
      </c>
      <c r="N651" s="4">
        <f t="shared" si="117"/>
        <v>120</v>
      </c>
      <c r="O651" s="4">
        <f t="shared" si="118"/>
        <v>140</v>
      </c>
      <c r="P651" s="4">
        <f>IF((((Price25[Cost]*1.5)+50)/0.835)&lt;2500,
MROUND((((( Price25[Cost]*1.5)+50)/0.835)*1.05)*2,10),
MROUND((((( Price25[Cost]*1.5)+50)/0.835)*1.18)*2,10))</f>
        <v>470</v>
      </c>
      <c r="Q651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250</v>
      </c>
    </row>
    <row r="652" spans="1:17" x14ac:dyDescent="0.25">
      <c r="A652" s="1">
        <v>2026</v>
      </c>
      <c r="B652" s="18">
        <v>280</v>
      </c>
      <c r="C652" s="19" t="s">
        <v>277</v>
      </c>
      <c r="D652" s="19" t="s">
        <v>494</v>
      </c>
      <c r="E652" s="19" t="s">
        <v>129</v>
      </c>
      <c r="F652" s="19" t="s">
        <v>130</v>
      </c>
      <c r="G652" s="20">
        <v>70</v>
      </c>
      <c r="I652" s="20">
        <v>5</v>
      </c>
      <c r="J652" s="4">
        <f t="shared" si="125"/>
        <v>75</v>
      </c>
      <c r="K652" s="4">
        <f t="shared" si="114"/>
        <v>95</v>
      </c>
      <c r="L652" s="4">
        <f t="shared" si="115"/>
        <v>95</v>
      </c>
      <c r="M652" s="4">
        <f t="shared" si="116"/>
        <v>125</v>
      </c>
      <c r="N652" s="4">
        <f t="shared" si="117"/>
        <v>90</v>
      </c>
      <c r="O652" s="4">
        <f t="shared" si="118"/>
        <v>105</v>
      </c>
      <c r="P652" s="4">
        <f>IF((((Price25[Cost]*1.5)+50)/0.835)&lt;2500,
MROUND((((( Price25[Cost]*1.5)+50)/0.835)*1.05)*2,10),
MROUND((((( Price25[Cost]*1.5)+50)/0.835)*1.18)*2,10))</f>
        <v>390</v>
      </c>
      <c r="Q652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200</v>
      </c>
    </row>
    <row r="653" spans="1:17" x14ac:dyDescent="0.25">
      <c r="A653" s="1">
        <v>2026</v>
      </c>
      <c r="B653" s="18">
        <v>2801</v>
      </c>
      <c r="C653" s="19" t="s">
        <v>277</v>
      </c>
      <c r="D653" s="19" t="s">
        <v>494</v>
      </c>
      <c r="E653" s="19" t="s">
        <v>129</v>
      </c>
      <c r="F653" s="19" t="s">
        <v>785</v>
      </c>
      <c r="G653" s="20">
        <v>95</v>
      </c>
      <c r="I653" s="20">
        <v>10</v>
      </c>
      <c r="J653" s="4">
        <f t="shared" ref="J653:J661" si="127">IF(SUMIF(G653:I653,"&lt;&gt;")=0,"",SUM(G653:I653))</f>
        <v>105</v>
      </c>
      <c r="K653" s="4">
        <f t="shared" si="114"/>
        <v>130</v>
      </c>
      <c r="L653" s="4">
        <f t="shared" si="115"/>
        <v>135</v>
      </c>
      <c r="M653" s="4">
        <f t="shared" si="116"/>
        <v>175</v>
      </c>
      <c r="N653" s="4">
        <f t="shared" si="117"/>
        <v>125</v>
      </c>
      <c r="O653" s="4">
        <f t="shared" si="118"/>
        <v>145</v>
      </c>
      <c r="P653" s="4">
        <f>IF((((Price25[Cost]*1.5)+50)/0.835)&lt;2500,
MROUND((((( Price25[Cost]*1.5)+50)/0.835)*1.05)*2,10),
MROUND((((( Price25[Cost]*1.5)+50)/0.835)*1.18)*2,10))</f>
        <v>480</v>
      </c>
      <c r="Q653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250</v>
      </c>
    </row>
    <row r="654" spans="1:17" x14ac:dyDescent="0.25">
      <c r="A654" s="1">
        <v>2026</v>
      </c>
      <c r="B654" s="18">
        <v>2802</v>
      </c>
      <c r="C654" s="19" t="s">
        <v>277</v>
      </c>
      <c r="D654" s="19" t="s">
        <v>494</v>
      </c>
      <c r="E654" s="19" t="s">
        <v>129</v>
      </c>
      <c r="F654" s="19" t="s">
        <v>786</v>
      </c>
      <c r="G654" s="20">
        <v>95</v>
      </c>
      <c r="I654" s="20">
        <v>10</v>
      </c>
      <c r="J654" s="4">
        <f t="shared" si="127"/>
        <v>105</v>
      </c>
      <c r="K654" s="4">
        <f t="shared" si="114"/>
        <v>130</v>
      </c>
      <c r="L654" s="4">
        <f t="shared" si="115"/>
        <v>135</v>
      </c>
      <c r="M654" s="4">
        <f t="shared" si="116"/>
        <v>175</v>
      </c>
      <c r="N654" s="4">
        <f t="shared" si="117"/>
        <v>125</v>
      </c>
      <c r="O654" s="4">
        <f t="shared" si="118"/>
        <v>145</v>
      </c>
      <c r="P654" s="4">
        <f>IF((((Price25[Cost]*1.5)+50)/0.835)&lt;2500,
MROUND((((( Price25[Cost]*1.5)+50)/0.835)*1.05)*2,10),
MROUND((((( Price25[Cost]*1.5)+50)/0.835)*1.18)*2,10))</f>
        <v>480</v>
      </c>
      <c r="Q654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250</v>
      </c>
    </row>
    <row r="655" spans="1:17" x14ac:dyDescent="0.25">
      <c r="A655" s="1">
        <v>2026</v>
      </c>
      <c r="B655" s="18">
        <v>2803</v>
      </c>
      <c r="C655" s="19" t="s">
        <v>277</v>
      </c>
      <c r="D655" s="19" t="s">
        <v>494</v>
      </c>
      <c r="E655" s="19" t="s">
        <v>129</v>
      </c>
      <c r="F655" s="19" t="s">
        <v>787</v>
      </c>
      <c r="G655" s="20">
        <v>110</v>
      </c>
      <c r="I655" s="20">
        <v>10</v>
      </c>
      <c r="J655" s="4">
        <f t="shared" si="127"/>
        <v>120</v>
      </c>
      <c r="K655" s="4">
        <f t="shared" si="114"/>
        <v>145</v>
      </c>
      <c r="L655" s="4">
        <f t="shared" si="115"/>
        <v>150</v>
      </c>
      <c r="M655" s="4">
        <f t="shared" si="116"/>
        <v>200</v>
      </c>
      <c r="N655" s="4">
        <f t="shared" si="117"/>
        <v>140</v>
      </c>
      <c r="O655" s="4">
        <f t="shared" si="118"/>
        <v>165</v>
      </c>
      <c r="P655" s="4">
        <f>IF((((Price25[Cost]*1.5)+50)/0.835)&lt;2500,
MROUND((((( Price25[Cost]*1.5)+50)/0.835)*1.05)*2,10),
MROUND((((( Price25[Cost]*1.5)+50)/0.835)*1.18)*2,10))</f>
        <v>540</v>
      </c>
      <c r="Q655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270</v>
      </c>
    </row>
    <row r="656" spans="1:17" x14ac:dyDescent="0.25">
      <c r="A656" s="1">
        <v>2026</v>
      </c>
      <c r="B656" s="18">
        <v>2804</v>
      </c>
      <c r="C656" s="19" t="s">
        <v>277</v>
      </c>
      <c r="D656" s="19" t="s">
        <v>494</v>
      </c>
      <c r="E656" s="19" t="s">
        <v>129</v>
      </c>
      <c r="F656" s="19" t="s">
        <v>788</v>
      </c>
      <c r="G656" s="20">
        <v>110</v>
      </c>
      <c r="I656" s="20">
        <v>10</v>
      </c>
      <c r="J656" s="4">
        <f t="shared" si="127"/>
        <v>120</v>
      </c>
      <c r="K656" s="4">
        <f t="shared" si="114"/>
        <v>145</v>
      </c>
      <c r="L656" s="4">
        <f t="shared" si="115"/>
        <v>150</v>
      </c>
      <c r="M656" s="4">
        <f t="shared" si="116"/>
        <v>200</v>
      </c>
      <c r="N656" s="4">
        <f t="shared" si="117"/>
        <v>140</v>
      </c>
      <c r="O656" s="4">
        <f t="shared" si="118"/>
        <v>165</v>
      </c>
      <c r="P656" s="4">
        <f>IF((((Price25[Cost]*1.5)+50)/0.835)&lt;2500,
MROUND((((( Price25[Cost]*1.5)+50)/0.835)*1.05)*2,10),
MROUND((((( Price25[Cost]*1.5)+50)/0.835)*1.18)*2,10))</f>
        <v>540</v>
      </c>
      <c r="Q656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270</v>
      </c>
    </row>
    <row r="657" spans="1:17" x14ac:dyDescent="0.25">
      <c r="A657" s="1">
        <v>2026</v>
      </c>
      <c r="B657" s="18">
        <v>2805</v>
      </c>
      <c r="C657" s="19" t="s">
        <v>277</v>
      </c>
      <c r="D657" s="19" t="s">
        <v>494</v>
      </c>
      <c r="E657" s="19" t="s">
        <v>129</v>
      </c>
      <c r="F657" s="19" t="s">
        <v>789</v>
      </c>
      <c r="G657" s="20">
        <v>110</v>
      </c>
      <c r="I657" s="20">
        <v>10</v>
      </c>
      <c r="J657" s="4">
        <f t="shared" si="127"/>
        <v>120</v>
      </c>
      <c r="K657" s="4">
        <f t="shared" si="114"/>
        <v>145</v>
      </c>
      <c r="L657" s="4">
        <f t="shared" si="115"/>
        <v>150</v>
      </c>
      <c r="M657" s="4">
        <f t="shared" si="116"/>
        <v>200</v>
      </c>
      <c r="N657" s="4">
        <f t="shared" si="117"/>
        <v>140</v>
      </c>
      <c r="O657" s="4">
        <f t="shared" si="118"/>
        <v>165</v>
      </c>
      <c r="P657" s="4">
        <f>IF((((Price25[Cost]*1.5)+50)/0.835)&lt;2500,
MROUND((((( Price25[Cost]*1.5)+50)/0.835)*1.05)*2,10),
MROUND((((( Price25[Cost]*1.5)+50)/0.835)*1.18)*2,10))</f>
        <v>540</v>
      </c>
      <c r="Q657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270</v>
      </c>
    </row>
    <row r="658" spans="1:17" x14ac:dyDescent="0.25">
      <c r="A658" s="1">
        <v>2026</v>
      </c>
      <c r="B658" s="18">
        <v>2806</v>
      </c>
      <c r="C658" s="19" t="s">
        <v>277</v>
      </c>
      <c r="D658" s="19" t="s">
        <v>494</v>
      </c>
      <c r="E658" s="19" t="s">
        <v>129</v>
      </c>
      <c r="F658" s="19" t="s">
        <v>790</v>
      </c>
      <c r="G658" s="20">
        <v>125</v>
      </c>
      <c r="I658" s="20">
        <v>10</v>
      </c>
      <c r="J658" s="4">
        <f t="shared" si="127"/>
        <v>135</v>
      </c>
      <c r="K658" s="4">
        <f t="shared" si="114"/>
        <v>165</v>
      </c>
      <c r="L658" s="4">
        <f t="shared" si="115"/>
        <v>170</v>
      </c>
      <c r="M658" s="4">
        <f t="shared" si="116"/>
        <v>225</v>
      </c>
      <c r="N658" s="4">
        <f t="shared" si="117"/>
        <v>160</v>
      </c>
      <c r="O658" s="4">
        <f t="shared" si="118"/>
        <v>185</v>
      </c>
      <c r="P658" s="4">
        <f>IF((((Price25[Cost]*1.5)+50)/0.835)&lt;2500,
MROUND((((( Price25[Cost]*1.5)+50)/0.835)*1.05)*2,10),
MROUND((((( Price25[Cost]*1.5)+50)/0.835)*1.18)*2,10))</f>
        <v>600</v>
      </c>
      <c r="Q658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300</v>
      </c>
    </row>
    <row r="659" spans="1:17" x14ac:dyDescent="0.25">
      <c r="A659" s="1">
        <v>2026</v>
      </c>
      <c r="B659" s="18">
        <v>2807</v>
      </c>
      <c r="C659" s="19" t="s">
        <v>277</v>
      </c>
      <c r="D659" s="19" t="s">
        <v>494</v>
      </c>
      <c r="E659" s="19" t="s">
        <v>129</v>
      </c>
      <c r="F659" s="19" t="s">
        <v>791</v>
      </c>
      <c r="G659" s="20">
        <v>110</v>
      </c>
      <c r="I659" s="20">
        <v>10</v>
      </c>
      <c r="J659" s="4">
        <f t="shared" si="127"/>
        <v>120</v>
      </c>
      <c r="K659" s="4">
        <f t="shared" ref="K659:K722" si="128">IF(ISNUMBER(L659),
   IF(CEILING(ROUND(L659*0.95,2),5)=420,
      425,
      CEILING(ROUND(L659*0.95,2),5)
   ),
   ""
)</f>
        <v>145</v>
      </c>
      <c r="L659" s="4">
        <f t="shared" ref="L659:L722" si="129">IF(AND(ISNUMBER(J659),ISNUMBER(G659)),
   IF(CEILING(ROUND(J659*1.25,2),5)=420,
      425,
      CEILING(ROUND(J659*1.25,2),5)
   ),
   ""
)</f>
        <v>150</v>
      </c>
      <c r="M659" s="4">
        <f t="shared" ref="M659:M722" si="130">IF(AND(ISNUMBER(J659),ISNUMBER(G659)),
   IF(
      CEILING(
         ROUND((J659*1.5) * IF(J659*1.5 &lt;= 2500, 1.05, 1.18), 2),
         IF(ROUND((J659*1.5) * IF(J659*1.5 &lt;= 2500, 1.05, 1.18), 2) &lt; 2500, 25, 50)
      )=420,
      425,
      CEILING(
         ROUND((J659*1.5) * IF(J659*1.5 &lt;= 2500, 1.05, 1.18), 2),
         IF(ROUND((J659*1.5) * IF(J659*1.5 &lt;= 2500, 1.05, 1.18), 2) &lt; 2500, 25, 50)
      )
   ),
   ""
)</f>
        <v>200</v>
      </c>
      <c r="N659" s="4">
        <f t="shared" ref="N659:N722" si="131">IF(ISNUMBER(G659),
   IF(CEILING(ROUND(L659*0.92,2),5)=420,
      425,
      CEILING(ROUND(L659*0.92,2),5)
   ),
   ""
)</f>
        <v>140</v>
      </c>
      <c r="O659" s="4">
        <f t="shared" ref="O659:O722" si="132">IF(ISNUMBER(L659),
   IF(CEILING(ROUND(L659*1.07,2),5)=420,
      425,
      CEILING(ROUND(L659*1.07,2),5)
   ),
   ""
)</f>
        <v>165</v>
      </c>
      <c r="P659" s="4">
        <f>IF((((Price25[Cost]*1.5)+50)/0.835)&lt;2500,
MROUND((((( Price25[Cost]*1.5)+50)/0.835)*1.05)*2,10),
MROUND((((( Price25[Cost]*1.5)+50)/0.835)*1.18)*2,10))</f>
        <v>540</v>
      </c>
      <c r="Q659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270</v>
      </c>
    </row>
    <row r="660" spans="1:17" x14ac:dyDescent="0.25">
      <c r="A660" s="1">
        <v>2026</v>
      </c>
      <c r="B660" s="18">
        <v>2808</v>
      </c>
      <c r="C660" s="19" t="s">
        <v>277</v>
      </c>
      <c r="D660" s="19" t="s">
        <v>494</v>
      </c>
      <c r="E660" s="19" t="s">
        <v>129</v>
      </c>
      <c r="F660" s="19" t="s">
        <v>792</v>
      </c>
      <c r="G660" s="20">
        <v>110</v>
      </c>
      <c r="I660" s="20">
        <v>10</v>
      </c>
      <c r="J660" s="4">
        <f t="shared" si="127"/>
        <v>120</v>
      </c>
      <c r="K660" s="4">
        <f t="shared" si="128"/>
        <v>145</v>
      </c>
      <c r="L660" s="4">
        <f t="shared" si="129"/>
        <v>150</v>
      </c>
      <c r="M660" s="4">
        <f t="shared" si="130"/>
        <v>200</v>
      </c>
      <c r="N660" s="4">
        <f t="shared" si="131"/>
        <v>140</v>
      </c>
      <c r="O660" s="4">
        <f t="shared" si="132"/>
        <v>165</v>
      </c>
      <c r="P660" s="4">
        <f>IF((((Price25[Cost]*1.5)+50)/0.835)&lt;2500,
MROUND((((( Price25[Cost]*1.5)+50)/0.835)*1.05)*2,10),
MROUND((((( Price25[Cost]*1.5)+50)/0.835)*1.18)*2,10))</f>
        <v>540</v>
      </c>
      <c r="Q660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270</v>
      </c>
    </row>
    <row r="661" spans="1:17" x14ac:dyDescent="0.25">
      <c r="A661" s="1">
        <v>2026</v>
      </c>
      <c r="B661" s="18">
        <v>2809</v>
      </c>
      <c r="C661" s="19" t="s">
        <v>277</v>
      </c>
      <c r="D661" s="19" t="s">
        <v>494</v>
      </c>
      <c r="E661" s="19" t="s">
        <v>129</v>
      </c>
      <c r="F661" s="19" t="s">
        <v>793</v>
      </c>
      <c r="G661" s="20">
        <v>100</v>
      </c>
      <c r="I661" s="20">
        <v>10</v>
      </c>
      <c r="J661" s="4">
        <f t="shared" si="127"/>
        <v>110</v>
      </c>
      <c r="K661" s="4">
        <f t="shared" si="128"/>
        <v>135</v>
      </c>
      <c r="L661" s="4">
        <f t="shared" si="129"/>
        <v>140</v>
      </c>
      <c r="M661" s="4">
        <f t="shared" si="130"/>
        <v>175</v>
      </c>
      <c r="N661" s="4">
        <f t="shared" si="131"/>
        <v>130</v>
      </c>
      <c r="O661" s="4">
        <f t="shared" si="132"/>
        <v>150</v>
      </c>
      <c r="P661" s="4">
        <f>IF((((Price25[Cost]*1.5)+50)/0.835)&lt;2500,
MROUND((((( Price25[Cost]*1.5)+50)/0.835)*1.05)*2,10),
MROUND((((( Price25[Cost]*1.5)+50)/0.835)*1.18)*2,10))</f>
        <v>500</v>
      </c>
      <c r="Q661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250</v>
      </c>
    </row>
    <row r="662" spans="1:17" x14ac:dyDescent="0.25">
      <c r="A662" s="1">
        <v>2026</v>
      </c>
      <c r="B662" s="18">
        <v>2810</v>
      </c>
      <c r="C662" s="19" t="s">
        <v>277</v>
      </c>
      <c r="D662" s="19" t="s">
        <v>494</v>
      </c>
      <c r="E662" s="19" t="s">
        <v>129</v>
      </c>
      <c r="F662" s="19" t="s">
        <v>837</v>
      </c>
      <c r="G662" s="20">
        <v>120</v>
      </c>
      <c r="I662" s="20">
        <v>10</v>
      </c>
      <c r="J662" s="4">
        <f t="shared" ref="J662:J666" si="133">IF(SUMIF(G662:I662,"&lt;&gt;")=0,"",SUM(G662:I662))</f>
        <v>130</v>
      </c>
      <c r="K662" s="4">
        <f t="shared" si="128"/>
        <v>160</v>
      </c>
      <c r="L662" s="4">
        <f t="shared" si="129"/>
        <v>165</v>
      </c>
      <c r="M662" s="4">
        <f t="shared" si="130"/>
        <v>225</v>
      </c>
      <c r="N662" s="4">
        <f t="shared" si="131"/>
        <v>155</v>
      </c>
      <c r="O662" s="4">
        <f t="shared" si="132"/>
        <v>180</v>
      </c>
      <c r="P662" s="4">
        <f>IF((((Price25[Cost]*1.5)+50)/0.835)&lt;2500,
MROUND((((( Price25[Cost]*1.5)+50)/0.835)*1.05)*2,10),
MROUND((((( Price25[Cost]*1.5)+50)/0.835)*1.18)*2,10))</f>
        <v>580</v>
      </c>
      <c r="Q662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300</v>
      </c>
    </row>
    <row r="663" spans="1:17" x14ac:dyDescent="0.25">
      <c r="A663" s="1">
        <v>2026</v>
      </c>
      <c r="B663" s="18">
        <v>281</v>
      </c>
      <c r="C663" s="19" t="s">
        <v>277</v>
      </c>
      <c r="D663" s="19" t="s">
        <v>494</v>
      </c>
      <c r="E663" s="19" t="s">
        <v>129</v>
      </c>
      <c r="F663" s="19" t="s">
        <v>795</v>
      </c>
      <c r="G663" s="20">
        <v>120</v>
      </c>
      <c r="I663" s="20">
        <v>10</v>
      </c>
      <c r="J663" s="4">
        <f t="shared" si="133"/>
        <v>130</v>
      </c>
      <c r="K663" s="4">
        <f t="shared" si="128"/>
        <v>160</v>
      </c>
      <c r="L663" s="4">
        <f t="shared" si="129"/>
        <v>165</v>
      </c>
      <c r="M663" s="4">
        <f t="shared" si="130"/>
        <v>225</v>
      </c>
      <c r="N663" s="4">
        <f t="shared" si="131"/>
        <v>155</v>
      </c>
      <c r="O663" s="4">
        <f t="shared" si="132"/>
        <v>180</v>
      </c>
      <c r="P663" s="4">
        <f>IF((((Price25[Cost]*1.5)+50)/0.835)&lt;2500,
MROUND((((( Price25[Cost]*1.5)+50)/0.835)*1.05)*2,10),
MROUND((((( Price25[Cost]*1.5)+50)/0.835)*1.18)*2,10))</f>
        <v>580</v>
      </c>
      <c r="Q663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300</v>
      </c>
    </row>
    <row r="664" spans="1:17" x14ac:dyDescent="0.25">
      <c r="A664" s="1">
        <v>2026</v>
      </c>
      <c r="B664" s="18">
        <v>2811</v>
      </c>
      <c r="C664" s="19" t="s">
        <v>277</v>
      </c>
      <c r="D664" s="19" t="s">
        <v>494</v>
      </c>
      <c r="E664" s="19" t="s">
        <v>129</v>
      </c>
      <c r="F664" s="19" t="s">
        <v>796</v>
      </c>
      <c r="G664" s="20">
        <v>125</v>
      </c>
      <c r="I664" s="20">
        <v>10</v>
      </c>
      <c r="J664" s="4">
        <f t="shared" si="133"/>
        <v>135</v>
      </c>
      <c r="K664" s="4">
        <f t="shared" si="128"/>
        <v>165</v>
      </c>
      <c r="L664" s="4">
        <f t="shared" si="129"/>
        <v>170</v>
      </c>
      <c r="M664" s="4">
        <f t="shared" si="130"/>
        <v>225</v>
      </c>
      <c r="N664" s="4">
        <f t="shared" si="131"/>
        <v>160</v>
      </c>
      <c r="O664" s="4">
        <f t="shared" si="132"/>
        <v>185</v>
      </c>
      <c r="P664" s="4">
        <f>IF((((Price25[Cost]*1.5)+50)/0.835)&lt;2500,
MROUND((((( Price25[Cost]*1.5)+50)/0.835)*1.05)*2,10),
MROUND((((( Price25[Cost]*1.5)+50)/0.835)*1.18)*2,10))</f>
        <v>600</v>
      </c>
      <c r="Q664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300</v>
      </c>
    </row>
    <row r="665" spans="1:17" x14ac:dyDescent="0.25">
      <c r="A665" s="1">
        <v>2026</v>
      </c>
      <c r="B665" s="18">
        <v>2812</v>
      </c>
      <c r="C665" s="19" t="s">
        <v>277</v>
      </c>
      <c r="D665" s="19" t="s">
        <v>494</v>
      </c>
      <c r="E665" s="19" t="s">
        <v>129</v>
      </c>
      <c r="F665" s="19" t="s">
        <v>797</v>
      </c>
      <c r="G665" s="20">
        <v>125</v>
      </c>
      <c r="I665" s="20">
        <v>10</v>
      </c>
      <c r="J665" s="4">
        <f t="shared" si="133"/>
        <v>135</v>
      </c>
      <c r="K665" s="4">
        <f t="shared" si="128"/>
        <v>165</v>
      </c>
      <c r="L665" s="4">
        <f t="shared" si="129"/>
        <v>170</v>
      </c>
      <c r="M665" s="4">
        <f t="shared" si="130"/>
        <v>225</v>
      </c>
      <c r="N665" s="4">
        <f t="shared" si="131"/>
        <v>160</v>
      </c>
      <c r="O665" s="4">
        <f t="shared" si="132"/>
        <v>185</v>
      </c>
      <c r="P665" s="4">
        <f>IF((((Price25[Cost]*1.5)+50)/0.835)&lt;2500,
MROUND((((( Price25[Cost]*1.5)+50)/0.835)*1.05)*2,10),
MROUND((((( Price25[Cost]*1.5)+50)/0.835)*1.18)*2,10))</f>
        <v>600</v>
      </c>
      <c r="Q665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300</v>
      </c>
    </row>
    <row r="666" spans="1:17" x14ac:dyDescent="0.25">
      <c r="A666" s="1">
        <v>2026</v>
      </c>
      <c r="B666" s="18">
        <v>2813</v>
      </c>
      <c r="C666" s="19" t="s">
        <v>277</v>
      </c>
      <c r="D666" s="19" t="s">
        <v>494</v>
      </c>
      <c r="E666" s="19" t="s">
        <v>129</v>
      </c>
      <c r="F666" s="19" t="s">
        <v>798</v>
      </c>
      <c r="G666" s="20">
        <v>125</v>
      </c>
      <c r="I666" s="20">
        <v>10</v>
      </c>
      <c r="J666" s="4">
        <f t="shared" si="133"/>
        <v>135</v>
      </c>
      <c r="K666" s="4">
        <f t="shared" si="128"/>
        <v>165</v>
      </c>
      <c r="L666" s="4">
        <f t="shared" si="129"/>
        <v>170</v>
      </c>
      <c r="M666" s="4">
        <f t="shared" si="130"/>
        <v>225</v>
      </c>
      <c r="N666" s="4">
        <f t="shared" si="131"/>
        <v>160</v>
      </c>
      <c r="O666" s="4">
        <f t="shared" si="132"/>
        <v>185</v>
      </c>
      <c r="P666" s="4">
        <f>IF((((Price25[Cost]*1.5)+50)/0.835)&lt;2500,
MROUND((((( Price25[Cost]*1.5)+50)/0.835)*1.05)*2,10),
MROUND((((( Price25[Cost]*1.5)+50)/0.835)*1.18)*2,10))</f>
        <v>600</v>
      </c>
      <c r="Q666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300</v>
      </c>
    </row>
    <row r="667" spans="1:17" x14ac:dyDescent="0.25">
      <c r="A667" s="1">
        <v>2026</v>
      </c>
      <c r="B667" s="18">
        <v>284</v>
      </c>
      <c r="C667" s="19" t="s">
        <v>277</v>
      </c>
      <c r="D667" s="19" t="s">
        <v>494</v>
      </c>
      <c r="E667" s="19" t="s">
        <v>138</v>
      </c>
      <c r="F667" s="19">
        <v>4086</v>
      </c>
      <c r="G667" s="20">
        <v>90</v>
      </c>
      <c r="I667" s="20">
        <v>10</v>
      </c>
      <c r="J667" s="4">
        <f t="shared" si="125"/>
        <v>100</v>
      </c>
      <c r="K667" s="4">
        <f t="shared" si="128"/>
        <v>120</v>
      </c>
      <c r="L667" s="4">
        <f t="shared" si="129"/>
        <v>125</v>
      </c>
      <c r="M667" s="4">
        <f t="shared" si="130"/>
        <v>175</v>
      </c>
      <c r="N667" s="4">
        <f t="shared" si="131"/>
        <v>115</v>
      </c>
      <c r="O667" s="4">
        <f t="shared" si="132"/>
        <v>135</v>
      </c>
      <c r="P667" s="4">
        <f>IF((((Price25[Cost]*1.5)+50)/0.835)&lt;2500,
MROUND((((( Price25[Cost]*1.5)+50)/0.835)*1.05)*2,10),
MROUND((((( Price25[Cost]*1.5)+50)/0.835)*1.18)*2,10))</f>
        <v>470</v>
      </c>
      <c r="Q667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250</v>
      </c>
    </row>
    <row r="668" spans="1:17" x14ac:dyDescent="0.25">
      <c r="A668" s="1">
        <v>2026</v>
      </c>
      <c r="B668" s="18">
        <v>286</v>
      </c>
      <c r="C668" s="19" t="s">
        <v>277</v>
      </c>
      <c r="D668" s="19" t="s">
        <v>494</v>
      </c>
      <c r="E668" s="19" t="s">
        <v>138</v>
      </c>
      <c r="F668" s="19">
        <v>4009</v>
      </c>
      <c r="G668" s="20">
        <v>150</v>
      </c>
      <c r="I668" s="20">
        <v>10</v>
      </c>
      <c r="J668" s="4">
        <f t="shared" si="125"/>
        <v>160</v>
      </c>
      <c r="K668" s="4">
        <f t="shared" si="128"/>
        <v>190</v>
      </c>
      <c r="L668" s="4">
        <f t="shared" si="129"/>
        <v>200</v>
      </c>
      <c r="M668" s="4">
        <f t="shared" si="130"/>
        <v>275</v>
      </c>
      <c r="N668" s="4">
        <f t="shared" si="131"/>
        <v>185</v>
      </c>
      <c r="O668" s="4">
        <f t="shared" si="132"/>
        <v>215</v>
      </c>
      <c r="P668" s="4">
        <f>IF((((Price25[Cost]*1.5)+50)/0.835)&lt;2500,
MROUND((((( Price25[Cost]*1.5)+50)/0.835)*1.05)*2,10),
MROUND((((( Price25[Cost]*1.5)+50)/0.835)*1.18)*2,10))</f>
        <v>690</v>
      </c>
      <c r="Q668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350</v>
      </c>
    </row>
    <row r="669" spans="1:17" x14ac:dyDescent="0.25">
      <c r="A669" s="1">
        <v>2025</v>
      </c>
      <c r="B669" s="18">
        <v>288</v>
      </c>
      <c r="C669" s="19" t="s">
        <v>277</v>
      </c>
      <c r="D669" s="19" t="s">
        <v>494</v>
      </c>
      <c r="E669" s="19" t="s">
        <v>129</v>
      </c>
      <c r="F669" s="19" t="s">
        <v>452</v>
      </c>
      <c r="G669" s="20">
        <v>105</v>
      </c>
      <c r="I669" s="20">
        <v>10</v>
      </c>
      <c r="J669" s="4">
        <f t="shared" si="125"/>
        <v>115</v>
      </c>
      <c r="K669" s="4">
        <f t="shared" si="128"/>
        <v>140</v>
      </c>
      <c r="L669" s="4">
        <f t="shared" si="129"/>
        <v>145</v>
      </c>
      <c r="M669" s="4">
        <f t="shared" si="130"/>
        <v>200</v>
      </c>
      <c r="N669" s="4">
        <f t="shared" si="131"/>
        <v>135</v>
      </c>
      <c r="O669" s="4">
        <f t="shared" si="132"/>
        <v>160</v>
      </c>
      <c r="P669" s="4">
        <f>IF((((Price25[Cost]*1.5)+50)/0.835)&lt;2500,
MROUND((((( Price25[Cost]*1.5)+50)/0.835)*1.05)*2,10),
MROUND((((( Price25[Cost]*1.5)+50)/0.835)*1.18)*2,10))</f>
        <v>520</v>
      </c>
      <c r="Q669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270</v>
      </c>
    </row>
    <row r="670" spans="1:17" x14ac:dyDescent="0.25">
      <c r="A670" s="1">
        <v>2026</v>
      </c>
      <c r="B670" s="18">
        <v>289</v>
      </c>
      <c r="C670" s="19" t="s">
        <v>277</v>
      </c>
      <c r="D670" s="19" t="s">
        <v>494</v>
      </c>
      <c r="E670" s="19" t="s">
        <v>129</v>
      </c>
      <c r="F670" s="19" t="s">
        <v>784</v>
      </c>
      <c r="G670" s="20">
        <v>110</v>
      </c>
      <c r="I670" s="20">
        <v>10</v>
      </c>
      <c r="J670" s="4">
        <f t="shared" si="125"/>
        <v>120</v>
      </c>
      <c r="K670" s="4">
        <f t="shared" si="128"/>
        <v>145</v>
      </c>
      <c r="L670" s="4">
        <f t="shared" si="129"/>
        <v>150</v>
      </c>
      <c r="M670" s="4">
        <f t="shared" si="130"/>
        <v>200</v>
      </c>
      <c r="N670" s="4">
        <f t="shared" si="131"/>
        <v>140</v>
      </c>
      <c r="O670" s="4">
        <f t="shared" si="132"/>
        <v>165</v>
      </c>
      <c r="P670" s="4">
        <f>IF((((Price25[Cost]*1.5)+50)/0.835)&lt;2500,
MROUND((((( Price25[Cost]*1.5)+50)/0.835)*1.05)*2,10),
MROUND((((( Price25[Cost]*1.5)+50)/0.835)*1.18)*2,10))</f>
        <v>540</v>
      </c>
      <c r="Q670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270</v>
      </c>
    </row>
    <row r="671" spans="1:17" x14ac:dyDescent="0.25">
      <c r="A671" s="1">
        <v>2025</v>
      </c>
      <c r="B671" s="18">
        <v>401</v>
      </c>
      <c r="C671" s="19" t="s">
        <v>277</v>
      </c>
      <c r="D671" s="19" t="s">
        <v>494</v>
      </c>
      <c r="E671" s="19" t="s">
        <v>241</v>
      </c>
      <c r="F671" s="19" t="s">
        <v>441</v>
      </c>
      <c r="G671" s="20">
        <v>110</v>
      </c>
      <c r="I671" s="20">
        <v>15</v>
      </c>
      <c r="J671" s="4">
        <f t="shared" si="125"/>
        <v>125</v>
      </c>
      <c r="K671" s="4">
        <f t="shared" si="128"/>
        <v>155</v>
      </c>
      <c r="L671" s="4">
        <f t="shared" si="129"/>
        <v>160</v>
      </c>
      <c r="M671" s="4">
        <f t="shared" si="130"/>
        <v>200</v>
      </c>
      <c r="N671" s="4">
        <f t="shared" si="131"/>
        <v>150</v>
      </c>
      <c r="O671" s="4">
        <f t="shared" si="132"/>
        <v>175</v>
      </c>
      <c r="P671" s="4">
        <f>IF((((Price25[Cost]*1.5)+50)/0.835)&lt;2500,
MROUND((((( Price25[Cost]*1.5)+50)/0.835)*1.05)*2,10),
MROUND((((( Price25[Cost]*1.5)+50)/0.835)*1.18)*2,10))</f>
        <v>540</v>
      </c>
      <c r="Q671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270</v>
      </c>
    </row>
    <row r="672" spans="1:17" x14ac:dyDescent="0.25">
      <c r="A672" s="1">
        <v>2026</v>
      </c>
      <c r="B672" s="18">
        <v>402</v>
      </c>
      <c r="C672" s="19" t="s">
        <v>287</v>
      </c>
      <c r="D672" s="19" t="s">
        <v>500</v>
      </c>
      <c r="E672" s="19"/>
      <c r="F672" s="19" t="s">
        <v>105</v>
      </c>
      <c r="G672" s="20">
        <v>205</v>
      </c>
      <c r="I672" s="20">
        <v>15</v>
      </c>
      <c r="J672" s="4">
        <f t="shared" si="125"/>
        <v>220</v>
      </c>
      <c r="K672" s="4">
        <f t="shared" si="128"/>
        <v>265</v>
      </c>
      <c r="L672" s="4">
        <f t="shared" si="129"/>
        <v>275</v>
      </c>
      <c r="M672" s="4">
        <f t="shared" si="130"/>
        <v>350</v>
      </c>
      <c r="N672" s="4">
        <f t="shared" si="131"/>
        <v>255</v>
      </c>
      <c r="O672" s="4">
        <f t="shared" si="132"/>
        <v>295</v>
      </c>
      <c r="P672" s="4">
        <f>IF((((Price25[Cost]*1.5)+50)/0.835)&lt;2500,
MROUND((((( Price25[Cost]*1.5)+50)/0.835)*1.05)*2,10),
MROUND((((( Price25[Cost]*1.5)+50)/0.835)*1.18)*2,10))</f>
        <v>900</v>
      </c>
      <c r="Q672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420</v>
      </c>
    </row>
    <row r="673" spans="1:17" x14ac:dyDescent="0.25">
      <c r="A673" s="1">
        <v>2025</v>
      </c>
      <c r="B673" s="18">
        <v>403</v>
      </c>
      <c r="C673" s="19" t="s">
        <v>277</v>
      </c>
      <c r="D673" s="19" t="s">
        <v>494</v>
      </c>
      <c r="E673" s="19" t="s">
        <v>241</v>
      </c>
      <c r="F673" s="19" t="s">
        <v>442</v>
      </c>
      <c r="G673" s="20">
        <v>120</v>
      </c>
      <c r="I673" s="20">
        <v>15</v>
      </c>
      <c r="J673" s="4">
        <f t="shared" si="125"/>
        <v>135</v>
      </c>
      <c r="K673" s="4">
        <f t="shared" si="128"/>
        <v>165</v>
      </c>
      <c r="L673" s="4">
        <f t="shared" si="129"/>
        <v>170</v>
      </c>
      <c r="M673" s="4">
        <f t="shared" si="130"/>
        <v>225</v>
      </c>
      <c r="N673" s="4">
        <f t="shared" si="131"/>
        <v>160</v>
      </c>
      <c r="O673" s="4">
        <f t="shared" si="132"/>
        <v>185</v>
      </c>
      <c r="P673" s="4">
        <f>IF((((Price25[Cost]*1.5)+50)/0.835)&lt;2500,
MROUND((((( Price25[Cost]*1.5)+50)/0.835)*1.05)*2,10),
MROUND((((( Price25[Cost]*1.5)+50)/0.835)*1.18)*2,10))</f>
        <v>580</v>
      </c>
      <c r="Q673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300</v>
      </c>
    </row>
    <row r="674" spans="1:17" x14ac:dyDescent="0.25">
      <c r="A674" s="1">
        <v>2026</v>
      </c>
      <c r="B674" s="18">
        <v>404</v>
      </c>
      <c r="C674" s="19" t="s">
        <v>277</v>
      </c>
      <c r="D674" s="19" t="s">
        <v>494</v>
      </c>
      <c r="E674" s="19" t="s">
        <v>138</v>
      </c>
      <c r="F674" s="19">
        <v>944</v>
      </c>
      <c r="G674" s="20">
        <v>115</v>
      </c>
      <c r="I674" s="20">
        <v>10</v>
      </c>
      <c r="J674" s="4">
        <f t="shared" si="125"/>
        <v>125</v>
      </c>
      <c r="K674" s="4">
        <f t="shared" si="128"/>
        <v>155</v>
      </c>
      <c r="L674" s="4">
        <f t="shared" si="129"/>
        <v>160</v>
      </c>
      <c r="M674" s="4">
        <f t="shared" si="130"/>
        <v>200</v>
      </c>
      <c r="N674" s="4">
        <f t="shared" si="131"/>
        <v>150</v>
      </c>
      <c r="O674" s="4">
        <f t="shared" si="132"/>
        <v>175</v>
      </c>
      <c r="P674" s="4">
        <f>IF((((Price25[Cost]*1.5)+50)/0.835)&lt;2500,
MROUND((((( Price25[Cost]*1.5)+50)/0.835)*1.05)*2,10),
MROUND((((( Price25[Cost]*1.5)+50)/0.835)*1.18)*2,10))</f>
        <v>560</v>
      </c>
      <c r="Q674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270</v>
      </c>
    </row>
    <row r="675" spans="1:17" x14ac:dyDescent="0.25">
      <c r="A675" s="1"/>
      <c r="B675" s="18">
        <v>405</v>
      </c>
      <c r="C675" s="19" t="s">
        <v>277</v>
      </c>
      <c r="D675" s="19" t="s">
        <v>494</v>
      </c>
      <c r="E675" s="19" t="s">
        <v>129</v>
      </c>
      <c r="F675" s="19" t="s">
        <v>131</v>
      </c>
      <c r="G675" s="20">
        <v>115</v>
      </c>
      <c r="I675" s="20">
        <v>10</v>
      </c>
      <c r="J675" s="4">
        <f t="shared" si="125"/>
        <v>125</v>
      </c>
      <c r="K675" s="4">
        <f t="shared" si="128"/>
        <v>155</v>
      </c>
      <c r="L675" s="4">
        <f t="shared" si="129"/>
        <v>160</v>
      </c>
      <c r="M675" s="4">
        <f t="shared" si="130"/>
        <v>200</v>
      </c>
      <c r="N675" s="4">
        <f t="shared" si="131"/>
        <v>150</v>
      </c>
      <c r="O675" s="4">
        <f t="shared" si="132"/>
        <v>175</v>
      </c>
      <c r="P675" s="4">
        <f>IF((((Price25[Cost]*1.5)+50)/0.835)&lt;2500,
MROUND((((( Price25[Cost]*1.5)+50)/0.835)*1.05)*2,10),
MROUND((((( Price25[Cost]*1.5)+50)/0.835)*1.18)*2,10))</f>
        <v>560</v>
      </c>
      <c r="Q675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270</v>
      </c>
    </row>
    <row r="676" spans="1:17" x14ac:dyDescent="0.25">
      <c r="A676" s="1"/>
      <c r="B676" s="18">
        <v>406</v>
      </c>
      <c r="C676" s="19" t="s">
        <v>287</v>
      </c>
      <c r="D676" s="19" t="s">
        <v>494</v>
      </c>
      <c r="E676" s="19" t="s">
        <v>138</v>
      </c>
      <c r="F676" s="19">
        <v>3019</v>
      </c>
      <c r="G676" s="20">
        <v>120</v>
      </c>
      <c r="I676" s="20">
        <v>15</v>
      </c>
      <c r="J676" s="4">
        <f t="shared" si="125"/>
        <v>135</v>
      </c>
      <c r="K676" s="4">
        <f t="shared" si="128"/>
        <v>165</v>
      </c>
      <c r="L676" s="4">
        <f t="shared" si="129"/>
        <v>170</v>
      </c>
      <c r="M676" s="4">
        <f t="shared" si="130"/>
        <v>225</v>
      </c>
      <c r="N676" s="4">
        <f t="shared" si="131"/>
        <v>160</v>
      </c>
      <c r="O676" s="4">
        <f t="shared" si="132"/>
        <v>185</v>
      </c>
      <c r="P676" s="4">
        <f>IF((((Price25[Cost]*1.5)+50)/0.835)&lt;2500,
MROUND((((( Price25[Cost]*1.5)+50)/0.835)*1.05)*2,10),
MROUND((((( Price25[Cost]*1.5)+50)/0.835)*1.18)*2,10))</f>
        <v>580</v>
      </c>
      <c r="Q676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300</v>
      </c>
    </row>
    <row r="677" spans="1:17" x14ac:dyDescent="0.25">
      <c r="A677" s="1">
        <v>2025</v>
      </c>
      <c r="B677" s="18">
        <v>407</v>
      </c>
      <c r="C677" s="19" t="s">
        <v>277</v>
      </c>
      <c r="D677" s="19" t="s">
        <v>494</v>
      </c>
      <c r="E677" s="19" t="s">
        <v>241</v>
      </c>
      <c r="F677" s="19" t="s">
        <v>443</v>
      </c>
      <c r="G677" s="20">
        <v>170</v>
      </c>
      <c r="I677" s="20">
        <v>15</v>
      </c>
      <c r="J677" s="4">
        <f t="shared" si="125"/>
        <v>185</v>
      </c>
      <c r="K677" s="4">
        <f t="shared" si="128"/>
        <v>225</v>
      </c>
      <c r="L677" s="4">
        <f t="shared" si="129"/>
        <v>235</v>
      </c>
      <c r="M677" s="4">
        <f t="shared" si="130"/>
        <v>300</v>
      </c>
      <c r="N677" s="4">
        <f t="shared" si="131"/>
        <v>220</v>
      </c>
      <c r="O677" s="4">
        <f t="shared" si="132"/>
        <v>255</v>
      </c>
      <c r="P677" s="4">
        <f>IF((((Price25[Cost]*1.5)+50)/0.835)&lt;2500,
MROUND((((( Price25[Cost]*1.5)+50)/0.835)*1.05)*2,10),
MROUND((((( Price25[Cost]*1.5)+50)/0.835)*1.18)*2,10))</f>
        <v>770</v>
      </c>
      <c r="Q677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370</v>
      </c>
    </row>
    <row r="678" spans="1:17" x14ac:dyDescent="0.25">
      <c r="A678" s="1">
        <v>2025</v>
      </c>
      <c r="B678" s="18">
        <v>408</v>
      </c>
      <c r="C678" s="19" t="s">
        <v>277</v>
      </c>
      <c r="D678" s="19" t="s">
        <v>494</v>
      </c>
      <c r="E678" s="19" t="s">
        <v>241</v>
      </c>
      <c r="F678" s="19" t="s">
        <v>444</v>
      </c>
      <c r="G678" s="20">
        <v>120</v>
      </c>
      <c r="I678" s="20">
        <v>15</v>
      </c>
      <c r="J678" s="4">
        <f t="shared" si="125"/>
        <v>135</v>
      </c>
      <c r="K678" s="4">
        <f t="shared" si="128"/>
        <v>165</v>
      </c>
      <c r="L678" s="4">
        <f t="shared" si="129"/>
        <v>170</v>
      </c>
      <c r="M678" s="4">
        <f t="shared" si="130"/>
        <v>225</v>
      </c>
      <c r="N678" s="4">
        <f t="shared" si="131"/>
        <v>160</v>
      </c>
      <c r="O678" s="4">
        <f t="shared" si="132"/>
        <v>185</v>
      </c>
      <c r="P678" s="4">
        <f>IF((((Price25[Cost]*1.5)+50)/0.835)&lt;2500,
MROUND((((( Price25[Cost]*1.5)+50)/0.835)*1.05)*2,10),
MROUND((((( Price25[Cost]*1.5)+50)/0.835)*1.18)*2,10))</f>
        <v>580</v>
      </c>
      <c r="Q678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300</v>
      </c>
    </row>
    <row r="679" spans="1:17" x14ac:dyDescent="0.25">
      <c r="A679" s="1">
        <v>2026</v>
      </c>
      <c r="B679" s="18">
        <v>409</v>
      </c>
      <c r="C679" s="19" t="s">
        <v>277</v>
      </c>
      <c r="D679" s="19" t="s">
        <v>494</v>
      </c>
      <c r="E679" s="19" t="s">
        <v>129</v>
      </c>
      <c r="F679" s="19" t="s">
        <v>794</v>
      </c>
      <c r="G679" s="20">
        <v>100</v>
      </c>
      <c r="I679" s="20">
        <v>10</v>
      </c>
      <c r="J679" s="4">
        <f t="shared" si="125"/>
        <v>110</v>
      </c>
      <c r="K679" s="4">
        <f t="shared" si="128"/>
        <v>135</v>
      </c>
      <c r="L679" s="4">
        <f t="shared" si="129"/>
        <v>140</v>
      </c>
      <c r="M679" s="4">
        <f t="shared" si="130"/>
        <v>175</v>
      </c>
      <c r="N679" s="4">
        <f t="shared" si="131"/>
        <v>130</v>
      </c>
      <c r="O679" s="4">
        <f t="shared" si="132"/>
        <v>150</v>
      </c>
      <c r="P679" s="4">
        <f>IF((((Price25[Cost]*1.5)+50)/0.835)&lt;2500,
MROUND((((( Price25[Cost]*1.5)+50)/0.835)*1.05)*2,10),
MROUND((((( Price25[Cost]*1.5)+50)/0.835)*1.18)*2,10))</f>
        <v>500</v>
      </c>
      <c r="Q679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250</v>
      </c>
    </row>
    <row r="680" spans="1:17" x14ac:dyDescent="0.25">
      <c r="A680" s="1"/>
      <c r="B680" s="18">
        <v>410</v>
      </c>
      <c r="C680" s="19" t="s">
        <v>277</v>
      </c>
      <c r="D680" s="19" t="s">
        <v>494</v>
      </c>
      <c r="E680" s="19" t="s">
        <v>138</v>
      </c>
      <c r="F680" s="19">
        <v>4054</v>
      </c>
      <c r="G680" s="20">
        <v>145</v>
      </c>
      <c r="I680" s="20">
        <v>10</v>
      </c>
      <c r="J680" s="4">
        <f t="shared" si="125"/>
        <v>155</v>
      </c>
      <c r="K680" s="4">
        <f t="shared" si="128"/>
        <v>190</v>
      </c>
      <c r="L680" s="4">
        <f t="shared" si="129"/>
        <v>195</v>
      </c>
      <c r="M680" s="4">
        <f t="shared" si="130"/>
        <v>250</v>
      </c>
      <c r="N680" s="4">
        <f t="shared" si="131"/>
        <v>180</v>
      </c>
      <c r="O680" s="4">
        <f t="shared" si="132"/>
        <v>210</v>
      </c>
      <c r="P680" s="4">
        <f>IF((((Price25[Cost]*1.5)+50)/0.835)&lt;2500,
MROUND((((( Price25[Cost]*1.5)+50)/0.835)*1.05)*2,10),
MROUND((((( Price25[Cost]*1.5)+50)/0.835)*1.18)*2,10))</f>
        <v>670</v>
      </c>
      <c r="Q680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320</v>
      </c>
    </row>
    <row r="681" spans="1:17" x14ac:dyDescent="0.25">
      <c r="A681" s="1">
        <v>2026</v>
      </c>
      <c r="B681" s="18">
        <v>411</v>
      </c>
      <c r="C681" s="19" t="s">
        <v>277</v>
      </c>
      <c r="D681" s="19" t="s">
        <v>494</v>
      </c>
      <c r="E681" s="19" t="s">
        <v>129</v>
      </c>
      <c r="F681" s="19" t="s">
        <v>799</v>
      </c>
      <c r="G681" s="20">
        <v>95</v>
      </c>
      <c r="I681" s="20">
        <v>10</v>
      </c>
      <c r="J681" s="4">
        <f t="shared" si="125"/>
        <v>105</v>
      </c>
      <c r="K681" s="4">
        <f t="shared" si="128"/>
        <v>130</v>
      </c>
      <c r="L681" s="4">
        <f t="shared" si="129"/>
        <v>135</v>
      </c>
      <c r="M681" s="4">
        <f t="shared" si="130"/>
        <v>175</v>
      </c>
      <c r="N681" s="4">
        <f t="shared" si="131"/>
        <v>125</v>
      </c>
      <c r="O681" s="4">
        <f t="shared" si="132"/>
        <v>145</v>
      </c>
      <c r="P681" s="4">
        <f>IF((((Price25[Cost]*1.5)+50)/0.835)&lt;2500,
MROUND((((( Price25[Cost]*1.5)+50)/0.835)*1.05)*2,10),
MROUND((((( Price25[Cost]*1.5)+50)/0.835)*1.18)*2,10))</f>
        <v>480</v>
      </c>
      <c r="Q681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250</v>
      </c>
    </row>
    <row r="682" spans="1:17" x14ac:dyDescent="0.25">
      <c r="A682" s="1">
        <v>2025</v>
      </c>
      <c r="B682" s="18">
        <v>412</v>
      </c>
      <c r="C682" s="19" t="s">
        <v>277</v>
      </c>
      <c r="D682" s="19" t="s">
        <v>494</v>
      </c>
      <c r="E682" s="19" t="s">
        <v>241</v>
      </c>
      <c r="F682" s="19" t="s">
        <v>445</v>
      </c>
      <c r="G682" s="20">
        <v>125</v>
      </c>
      <c r="I682" s="20">
        <v>15</v>
      </c>
      <c r="J682" s="4">
        <f t="shared" si="125"/>
        <v>140</v>
      </c>
      <c r="K682" s="4">
        <f t="shared" si="128"/>
        <v>170</v>
      </c>
      <c r="L682" s="4">
        <f t="shared" si="129"/>
        <v>175</v>
      </c>
      <c r="M682" s="4">
        <f t="shared" si="130"/>
        <v>225</v>
      </c>
      <c r="N682" s="4">
        <f t="shared" si="131"/>
        <v>165</v>
      </c>
      <c r="O682" s="4">
        <f t="shared" si="132"/>
        <v>190</v>
      </c>
      <c r="P682" s="4">
        <f>IF((((Price25[Cost]*1.5)+50)/0.835)&lt;2500,
MROUND((((( Price25[Cost]*1.5)+50)/0.835)*1.05)*2,10),
MROUND((((( Price25[Cost]*1.5)+50)/0.835)*1.18)*2,10))</f>
        <v>600</v>
      </c>
      <c r="Q682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300</v>
      </c>
    </row>
    <row r="683" spans="1:17" x14ac:dyDescent="0.25">
      <c r="A683" s="1">
        <v>2026</v>
      </c>
      <c r="B683" s="18">
        <v>413</v>
      </c>
      <c r="C683" s="19" t="s">
        <v>277</v>
      </c>
      <c r="D683" s="19" t="s">
        <v>494</v>
      </c>
      <c r="E683" s="19" t="s">
        <v>138</v>
      </c>
      <c r="F683" s="19">
        <v>942</v>
      </c>
      <c r="G683" s="20">
        <v>95</v>
      </c>
      <c r="I683" s="20">
        <v>10</v>
      </c>
      <c r="J683" s="4">
        <f t="shared" si="125"/>
        <v>105</v>
      </c>
      <c r="K683" s="4">
        <f t="shared" si="128"/>
        <v>130</v>
      </c>
      <c r="L683" s="4">
        <f t="shared" si="129"/>
        <v>135</v>
      </c>
      <c r="M683" s="4">
        <f t="shared" si="130"/>
        <v>175</v>
      </c>
      <c r="N683" s="4">
        <f t="shared" si="131"/>
        <v>125</v>
      </c>
      <c r="O683" s="4">
        <f t="shared" si="132"/>
        <v>145</v>
      </c>
      <c r="P683" s="4">
        <f>IF((((Price25[Cost]*1.5)+50)/0.835)&lt;2500,
MROUND((((( Price25[Cost]*1.5)+50)/0.835)*1.05)*2,10),
MROUND((((( Price25[Cost]*1.5)+50)/0.835)*1.18)*2,10))</f>
        <v>480</v>
      </c>
      <c r="Q683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250</v>
      </c>
    </row>
    <row r="684" spans="1:17" x14ac:dyDescent="0.25">
      <c r="A684" s="1">
        <v>2025</v>
      </c>
      <c r="B684" s="18">
        <v>414</v>
      </c>
      <c r="C684" s="19" t="s">
        <v>277</v>
      </c>
      <c r="D684" s="19" t="s">
        <v>494</v>
      </c>
      <c r="E684" s="19" t="s">
        <v>241</v>
      </c>
      <c r="F684" s="19" t="s">
        <v>446</v>
      </c>
      <c r="G684" s="20">
        <v>110</v>
      </c>
      <c r="I684" s="20">
        <v>15</v>
      </c>
      <c r="J684" s="4">
        <f t="shared" si="125"/>
        <v>125</v>
      </c>
      <c r="K684" s="4">
        <f t="shared" si="128"/>
        <v>155</v>
      </c>
      <c r="L684" s="4">
        <f t="shared" si="129"/>
        <v>160</v>
      </c>
      <c r="M684" s="4">
        <f t="shared" si="130"/>
        <v>200</v>
      </c>
      <c r="N684" s="4">
        <f t="shared" si="131"/>
        <v>150</v>
      </c>
      <c r="O684" s="4">
        <f t="shared" si="132"/>
        <v>175</v>
      </c>
      <c r="P684" s="4">
        <f>IF((((Price25[Cost]*1.5)+50)/0.835)&lt;2500,
MROUND((((( Price25[Cost]*1.5)+50)/0.835)*1.05)*2,10),
MROUND((((( Price25[Cost]*1.5)+50)/0.835)*1.18)*2,10))</f>
        <v>540</v>
      </c>
      <c r="Q684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270</v>
      </c>
    </row>
    <row r="685" spans="1:17" x14ac:dyDescent="0.25">
      <c r="A685" s="1"/>
      <c r="B685" s="18">
        <v>415</v>
      </c>
      <c r="C685" s="19" t="s">
        <v>277</v>
      </c>
      <c r="D685" s="19" t="s">
        <v>494</v>
      </c>
      <c r="E685" s="19" t="s">
        <v>129</v>
      </c>
      <c r="F685" s="19" t="s">
        <v>425</v>
      </c>
      <c r="G685" s="20">
        <v>115</v>
      </c>
      <c r="I685" s="20">
        <v>10</v>
      </c>
      <c r="J685" s="4">
        <f t="shared" si="125"/>
        <v>125</v>
      </c>
      <c r="K685" s="4">
        <f t="shared" si="128"/>
        <v>155</v>
      </c>
      <c r="L685" s="4">
        <f t="shared" si="129"/>
        <v>160</v>
      </c>
      <c r="M685" s="4">
        <f t="shared" si="130"/>
        <v>200</v>
      </c>
      <c r="N685" s="4">
        <f t="shared" si="131"/>
        <v>150</v>
      </c>
      <c r="O685" s="4">
        <f t="shared" si="132"/>
        <v>175</v>
      </c>
      <c r="P685" s="4">
        <f>IF((((Price25[Cost]*1.5)+50)/0.835)&lt;2500,
MROUND((((( Price25[Cost]*1.5)+50)/0.835)*1.05)*2,10),
MROUND((((( Price25[Cost]*1.5)+50)/0.835)*1.18)*2,10))</f>
        <v>560</v>
      </c>
      <c r="Q685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270</v>
      </c>
    </row>
    <row r="686" spans="1:17" x14ac:dyDescent="0.25">
      <c r="A686" s="1">
        <v>2026</v>
      </c>
      <c r="B686" s="18">
        <v>416</v>
      </c>
      <c r="C686" s="19" t="s">
        <v>277</v>
      </c>
      <c r="D686" s="19" t="s">
        <v>494</v>
      </c>
      <c r="E686" s="19" t="s">
        <v>241</v>
      </c>
      <c r="F686" s="19" t="s">
        <v>447</v>
      </c>
      <c r="G686" s="20">
        <v>95</v>
      </c>
      <c r="I686" s="20">
        <v>15</v>
      </c>
      <c r="J686" s="4">
        <f t="shared" si="125"/>
        <v>110</v>
      </c>
      <c r="K686" s="4">
        <f t="shared" si="128"/>
        <v>135</v>
      </c>
      <c r="L686" s="4">
        <f t="shared" si="129"/>
        <v>140</v>
      </c>
      <c r="M686" s="4">
        <f t="shared" si="130"/>
        <v>175</v>
      </c>
      <c r="N686" s="4">
        <f t="shared" si="131"/>
        <v>130</v>
      </c>
      <c r="O686" s="4">
        <f t="shared" si="132"/>
        <v>150</v>
      </c>
      <c r="P686" s="4">
        <f>IF((((Price25[Cost]*1.5)+50)/0.835)&lt;2500,
MROUND((((( Price25[Cost]*1.5)+50)/0.835)*1.05)*2,10),
MROUND((((( Price25[Cost]*1.5)+50)/0.835)*1.18)*2,10))</f>
        <v>480</v>
      </c>
      <c r="Q686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250</v>
      </c>
    </row>
    <row r="687" spans="1:17" x14ac:dyDescent="0.25">
      <c r="A687" s="1">
        <v>2026</v>
      </c>
      <c r="B687" s="18">
        <v>417</v>
      </c>
      <c r="C687" s="19" t="s">
        <v>277</v>
      </c>
      <c r="D687" s="19" t="s">
        <v>494</v>
      </c>
      <c r="E687" s="19" t="s">
        <v>241</v>
      </c>
      <c r="F687" s="19" t="s">
        <v>964</v>
      </c>
      <c r="G687" s="20">
        <v>150</v>
      </c>
      <c r="I687" s="20">
        <v>15</v>
      </c>
      <c r="J687" s="4">
        <f t="shared" ref="J687:J751" si="134">IF(SUMIF(G687:I687,"&lt;&gt;")=0,"",SUM(G687:I687))</f>
        <v>165</v>
      </c>
      <c r="K687" s="4">
        <f t="shared" si="128"/>
        <v>200</v>
      </c>
      <c r="L687" s="4">
        <f t="shared" si="129"/>
        <v>210</v>
      </c>
      <c r="M687" s="4">
        <f t="shared" si="130"/>
        <v>275</v>
      </c>
      <c r="N687" s="4">
        <f t="shared" si="131"/>
        <v>195</v>
      </c>
      <c r="O687" s="4">
        <f t="shared" si="132"/>
        <v>225</v>
      </c>
      <c r="P687" s="4">
        <f>IF((((Price25[Cost]*1.5)+50)/0.835)&lt;2500,
MROUND((((( Price25[Cost]*1.5)+50)/0.835)*1.05)*2,10),
MROUND((((( Price25[Cost]*1.5)+50)/0.835)*1.18)*2,10))</f>
        <v>690</v>
      </c>
      <c r="Q687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350</v>
      </c>
    </row>
    <row r="688" spans="1:17" x14ac:dyDescent="0.25">
      <c r="A688" s="1">
        <v>2026</v>
      </c>
      <c r="B688" s="18">
        <v>418</v>
      </c>
      <c r="C688" s="19" t="s">
        <v>284</v>
      </c>
      <c r="D688" s="19" t="s">
        <v>494</v>
      </c>
      <c r="E688" s="19" t="s">
        <v>138</v>
      </c>
      <c r="F688" s="19">
        <v>3030</v>
      </c>
      <c r="G688" s="20">
        <v>128</v>
      </c>
      <c r="I688" s="20">
        <v>10</v>
      </c>
      <c r="J688" s="4">
        <f>IF(SUMIF(G688:I688,"&lt;&gt;")=0,"",SUM(G688:I688))</f>
        <v>138</v>
      </c>
      <c r="K688" s="4">
        <f t="shared" si="128"/>
        <v>170</v>
      </c>
      <c r="L688" s="4">
        <f t="shared" si="129"/>
        <v>175</v>
      </c>
      <c r="M688" s="4">
        <f t="shared" si="130"/>
        <v>225</v>
      </c>
      <c r="N688" s="4">
        <f t="shared" si="131"/>
        <v>165</v>
      </c>
      <c r="O688" s="4">
        <f t="shared" si="132"/>
        <v>190</v>
      </c>
      <c r="P688" s="4">
        <f>IF((((Price25[Cost]*1.5)+50)/0.835)&lt;2500,
MROUND((((( Price25[Cost]*1.5)+50)/0.835)*1.05)*2,10),
MROUND((((( Price25[Cost]*1.5)+50)/0.835)*1.18)*2,10))</f>
        <v>610</v>
      </c>
      <c r="Q688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300</v>
      </c>
    </row>
    <row r="689" spans="1:17" x14ac:dyDescent="0.25">
      <c r="A689" s="1"/>
      <c r="B689" s="18">
        <v>424</v>
      </c>
      <c r="C689" s="19" t="s">
        <v>277</v>
      </c>
      <c r="D689" s="19" t="s">
        <v>494</v>
      </c>
      <c r="E689" s="19" t="s">
        <v>241</v>
      </c>
      <c r="F689" s="19" t="s">
        <v>250</v>
      </c>
      <c r="G689" s="20">
        <v>170</v>
      </c>
      <c r="I689" s="20">
        <v>10</v>
      </c>
      <c r="J689" s="4">
        <f t="shared" si="134"/>
        <v>180</v>
      </c>
      <c r="K689" s="4">
        <f t="shared" si="128"/>
        <v>215</v>
      </c>
      <c r="L689" s="4">
        <f t="shared" si="129"/>
        <v>225</v>
      </c>
      <c r="M689" s="4">
        <f t="shared" si="130"/>
        <v>300</v>
      </c>
      <c r="N689" s="4">
        <f t="shared" si="131"/>
        <v>210</v>
      </c>
      <c r="O689" s="4">
        <f t="shared" si="132"/>
        <v>245</v>
      </c>
      <c r="P689" s="4">
        <f>IF((((Price25[Cost]*1.5)+50)/0.835)&lt;2500,
MROUND((((( Price25[Cost]*1.5)+50)/0.835)*1.05)*2,10),
MROUND((((( Price25[Cost]*1.5)+50)/0.835)*1.18)*2,10))</f>
        <v>770</v>
      </c>
      <c r="Q689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370</v>
      </c>
    </row>
    <row r="690" spans="1:17" x14ac:dyDescent="0.25">
      <c r="A690" s="1">
        <v>2026</v>
      </c>
      <c r="B690" s="18">
        <v>426</v>
      </c>
      <c r="C690" s="19" t="s">
        <v>277</v>
      </c>
      <c r="D690" s="19" t="s">
        <v>494</v>
      </c>
      <c r="E690" s="19" t="s">
        <v>138</v>
      </c>
      <c r="F690" s="19">
        <v>5069</v>
      </c>
      <c r="G690" s="20">
        <v>150</v>
      </c>
      <c r="I690" s="20">
        <v>10</v>
      </c>
      <c r="J690" s="4">
        <f t="shared" si="134"/>
        <v>160</v>
      </c>
      <c r="K690" s="4">
        <f t="shared" si="128"/>
        <v>190</v>
      </c>
      <c r="L690" s="4">
        <f t="shared" si="129"/>
        <v>200</v>
      </c>
      <c r="M690" s="4">
        <f t="shared" si="130"/>
        <v>275</v>
      </c>
      <c r="N690" s="4">
        <f t="shared" si="131"/>
        <v>185</v>
      </c>
      <c r="O690" s="4">
        <f t="shared" si="132"/>
        <v>215</v>
      </c>
      <c r="P690" s="4">
        <f>IF((((Price25[Cost]*1.5)+50)/0.835)&lt;2500,
MROUND((((( Price25[Cost]*1.5)+50)/0.835)*1.05)*2,10),
MROUND((((( Price25[Cost]*1.5)+50)/0.835)*1.18)*2,10))</f>
        <v>690</v>
      </c>
      <c r="Q690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350</v>
      </c>
    </row>
    <row r="691" spans="1:17" x14ac:dyDescent="0.25">
      <c r="A691" s="1"/>
      <c r="B691" s="18">
        <v>427</v>
      </c>
      <c r="C691" s="19" t="s">
        <v>277</v>
      </c>
      <c r="D691" s="19" t="s">
        <v>494</v>
      </c>
      <c r="E691" s="19" t="s">
        <v>138</v>
      </c>
      <c r="F691" s="19">
        <v>4051</v>
      </c>
      <c r="G691" s="20">
        <v>118</v>
      </c>
      <c r="I691" s="20">
        <v>10</v>
      </c>
      <c r="J691" s="4">
        <f t="shared" si="134"/>
        <v>128</v>
      </c>
      <c r="K691" s="4">
        <f t="shared" si="128"/>
        <v>155</v>
      </c>
      <c r="L691" s="4">
        <f t="shared" si="129"/>
        <v>160</v>
      </c>
      <c r="M691" s="4">
        <f t="shared" si="130"/>
        <v>225</v>
      </c>
      <c r="N691" s="4">
        <f t="shared" si="131"/>
        <v>150</v>
      </c>
      <c r="O691" s="4">
        <f t="shared" si="132"/>
        <v>175</v>
      </c>
      <c r="P691" s="4">
        <f>IF((((Price25[Cost]*1.5)+50)/0.835)&lt;2500,
MROUND((((( Price25[Cost]*1.5)+50)/0.835)*1.05)*2,10),
MROUND((((( Price25[Cost]*1.5)+50)/0.835)*1.18)*2,10))</f>
        <v>570</v>
      </c>
      <c r="Q691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300</v>
      </c>
    </row>
    <row r="692" spans="1:17" x14ac:dyDescent="0.25">
      <c r="A692" s="1">
        <v>2025</v>
      </c>
      <c r="B692" s="18">
        <v>429</v>
      </c>
      <c r="C692" s="19" t="s">
        <v>277</v>
      </c>
      <c r="D692" s="19" t="s">
        <v>494</v>
      </c>
      <c r="E692" s="19" t="s">
        <v>129</v>
      </c>
      <c r="F692" s="19">
        <v>2380</v>
      </c>
      <c r="G692" s="20">
        <v>105</v>
      </c>
      <c r="I692" s="20">
        <v>10</v>
      </c>
      <c r="J692" s="4">
        <f t="shared" si="134"/>
        <v>115</v>
      </c>
      <c r="K692" s="4">
        <f t="shared" si="128"/>
        <v>140</v>
      </c>
      <c r="L692" s="4">
        <f t="shared" si="129"/>
        <v>145</v>
      </c>
      <c r="M692" s="4">
        <f t="shared" si="130"/>
        <v>200</v>
      </c>
      <c r="N692" s="4">
        <f t="shared" si="131"/>
        <v>135</v>
      </c>
      <c r="O692" s="4">
        <f t="shared" si="132"/>
        <v>160</v>
      </c>
      <c r="P692" s="4">
        <f>IF((((Price25[Cost]*1.5)+50)/0.835)&lt;2500,
MROUND((((( Price25[Cost]*1.5)+50)/0.835)*1.05)*2,10),
MROUND((((( Price25[Cost]*1.5)+50)/0.835)*1.18)*2,10))</f>
        <v>520</v>
      </c>
      <c r="Q692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270</v>
      </c>
    </row>
    <row r="693" spans="1:17" x14ac:dyDescent="0.25">
      <c r="A693" s="1">
        <v>2025</v>
      </c>
      <c r="B693" s="18">
        <v>430</v>
      </c>
      <c r="C693" s="19" t="s">
        <v>277</v>
      </c>
      <c r="D693" s="19" t="s">
        <v>494</v>
      </c>
      <c r="E693" s="19" t="s">
        <v>129</v>
      </c>
      <c r="F693" s="19">
        <v>2350</v>
      </c>
      <c r="G693" s="20">
        <v>95</v>
      </c>
      <c r="I693" s="20">
        <v>10</v>
      </c>
      <c r="J693" s="4">
        <f t="shared" si="134"/>
        <v>105</v>
      </c>
      <c r="K693" s="4">
        <f t="shared" si="128"/>
        <v>130</v>
      </c>
      <c r="L693" s="4">
        <f t="shared" si="129"/>
        <v>135</v>
      </c>
      <c r="M693" s="4">
        <f t="shared" si="130"/>
        <v>175</v>
      </c>
      <c r="N693" s="4">
        <f t="shared" si="131"/>
        <v>125</v>
      </c>
      <c r="O693" s="4">
        <f t="shared" si="132"/>
        <v>145</v>
      </c>
      <c r="P693" s="4">
        <f>IF((((Price25[Cost]*1.5)+50)/0.835)&lt;2500,
MROUND((((( Price25[Cost]*1.5)+50)/0.835)*1.05)*2,10),
MROUND((((( Price25[Cost]*1.5)+50)/0.835)*1.18)*2,10))</f>
        <v>480</v>
      </c>
      <c r="Q693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250</v>
      </c>
    </row>
    <row r="694" spans="1:17" x14ac:dyDescent="0.25">
      <c r="A694" s="1"/>
      <c r="B694" s="18">
        <v>432</v>
      </c>
      <c r="C694" s="19" t="s">
        <v>277</v>
      </c>
      <c r="D694" s="19" t="s">
        <v>494</v>
      </c>
      <c r="E694" s="19" t="s">
        <v>241</v>
      </c>
      <c r="F694" s="19" t="s">
        <v>242</v>
      </c>
      <c r="G694" s="20">
        <v>125</v>
      </c>
      <c r="I694" s="20">
        <v>10</v>
      </c>
      <c r="J694" s="4">
        <f t="shared" si="134"/>
        <v>135</v>
      </c>
      <c r="K694" s="4">
        <f t="shared" si="128"/>
        <v>165</v>
      </c>
      <c r="L694" s="4">
        <f t="shared" si="129"/>
        <v>170</v>
      </c>
      <c r="M694" s="4">
        <f t="shared" si="130"/>
        <v>225</v>
      </c>
      <c r="N694" s="4">
        <f t="shared" si="131"/>
        <v>160</v>
      </c>
      <c r="O694" s="4">
        <f t="shared" si="132"/>
        <v>185</v>
      </c>
      <c r="P694" s="4">
        <f>IF((((Price25[Cost]*1.5)+50)/0.835)&lt;2500,
MROUND((((( Price25[Cost]*1.5)+50)/0.835)*1.05)*2,10),
MROUND((((( Price25[Cost]*1.5)+50)/0.835)*1.18)*2,10))</f>
        <v>600</v>
      </c>
      <c r="Q694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300</v>
      </c>
    </row>
    <row r="695" spans="1:17" x14ac:dyDescent="0.25">
      <c r="A695" s="1"/>
      <c r="B695" s="18">
        <v>438</v>
      </c>
      <c r="C695" s="19" t="s">
        <v>277</v>
      </c>
      <c r="D695" s="19" t="s">
        <v>494</v>
      </c>
      <c r="E695" s="19" t="s">
        <v>138</v>
      </c>
      <c r="F695" s="19">
        <v>4085</v>
      </c>
      <c r="G695" s="20">
        <v>150</v>
      </c>
      <c r="I695" s="20">
        <v>10</v>
      </c>
      <c r="J695" s="4">
        <f t="shared" si="134"/>
        <v>160</v>
      </c>
      <c r="K695" s="4">
        <f t="shared" si="128"/>
        <v>190</v>
      </c>
      <c r="L695" s="4">
        <f t="shared" si="129"/>
        <v>200</v>
      </c>
      <c r="M695" s="4">
        <f t="shared" si="130"/>
        <v>275</v>
      </c>
      <c r="N695" s="4">
        <f t="shared" si="131"/>
        <v>185</v>
      </c>
      <c r="O695" s="4">
        <f t="shared" si="132"/>
        <v>215</v>
      </c>
      <c r="P695" s="4">
        <f>IF((((Price25[Cost]*1.5)+50)/0.835)&lt;2500,
MROUND((((( Price25[Cost]*1.5)+50)/0.835)*1.05)*2,10),
MROUND((((( Price25[Cost]*1.5)+50)/0.835)*1.18)*2,10))</f>
        <v>690</v>
      </c>
      <c r="Q695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350</v>
      </c>
    </row>
    <row r="696" spans="1:17" x14ac:dyDescent="0.25">
      <c r="A696" s="1"/>
      <c r="B696" s="18">
        <v>442</v>
      </c>
      <c r="C696" s="19" t="s">
        <v>277</v>
      </c>
      <c r="D696" s="19" t="s">
        <v>494</v>
      </c>
      <c r="E696" s="19" t="s">
        <v>138</v>
      </c>
      <c r="F696" s="19">
        <v>3046</v>
      </c>
      <c r="G696" s="20">
        <v>130</v>
      </c>
      <c r="I696" s="20">
        <v>10</v>
      </c>
      <c r="J696" s="4">
        <f t="shared" si="134"/>
        <v>140</v>
      </c>
      <c r="K696" s="4">
        <f t="shared" si="128"/>
        <v>170</v>
      </c>
      <c r="L696" s="4">
        <f t="shared" si="129"/>
        <v>175</v>
      </c>
      <c r="M696" s="4">
        <f t="shared" si="130"/>
        <v>225</v>
      </c>
      <c r="N696" s="4">
        <f t="shared" si="131"/>
        <v>165</v>
      </c>
      <c r="O696" s="4">
        <f t="shared" si="132"/>
        <v>190</v>
      </c>
      <c r="P696" s="4">
        <f>IF((((Price25[Cost]*1.5)+50)/0.835)&lt;2500,
MROUND((((( Price25[Cost]*1.5)+50)/0.835)*1.05)*2,10),
MROUND((((( Price25[Cost]*1.5)+50)/0.835)*1.18)*2,10))</f>
        <v>620</v>
      </c>
      <c r="Q696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300</v>
      </c>
    </row>
    <row r="697" spans="1:17" x14ac:dyDescent="0.25">
      <c r="A697" s="1"/>
      <c r="B697" s="18">
        <v>446</v>
      </c>
      <c r="C697" s="19" t="s">
        <v>277</v>
      </c>
      <c r="D697" s="19" t="s">
        <v>494</v>
      </c>
      <c r="E697" s="19" t="s">
        <v>138</v>
      </c>
      <c r="F697" s="19">
        <v>935</v>
      </c>
      <c r="G697" s="20">
        <v>130</v>
      </c>
      <c r="I697" s="20">
        <v>10</v>
      </c>
      <c r="J697" s="4">
        <f t="shared" si="134"/>
        <v>140</v>
      </c>
      <c r="K697" s="4">
        <f t="shared" si="128"/>
        <v>170</v>
      </c>
      <c r="L697" s="4">
        <f t="shared" si="129"/>
        <v>175</v>
      </c>
      <c r="M697" s="4">
        <f t="shared" si="130"/>
        <v>225</v>
      </c>
      <c r="N697" s="4">
        <f t="shared" si="131"/>
        <v>165</v>
      </c>
      <c r="O697" s="4">
        <f t="shared" si="132"/>
        <v>190</v>
      </c>
      <c r="P697" s="4">
        <f>IF((((Price25[Cost]*1.5)+50)/0.835)&lt;2500,
MROUND((((( Price25[Cost]*1.5)+50)/0.835)*1.05)*2,10),
MROUND((((( Price25[Cost]*1.5)+50)/0.835)*1.18)*2,10))</f>
        <v>620</v>
      </c>
      <c r="Q697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300</v>
      </c>
    </row>
    <row r="698" spans="1:17" x14ac:dyDescent="0.25">
      <c r="A698" s="1"/>
      <c r="B698" s="18">
        <v>448</v>
      </c>
      <c r="C698" s="19" t="s">
        <v>277</v>
      </c>
      <c r="D698" s="19" t="s">
        <v>494</v>
      </c>
      <c r="E698" s="19" t="s">
        <v>138</v>
      </c>
      <c r="F698" s="19">
        <v>3071</v>
      </c>
      <c r="G698" s="20">
        <v>165</v>
      </c>
      <c r="I698" s="20">
        <v>10</v>
      </c>
      <c r="J698" s="4">
        <f t="shared" si="134"/>
        <v>175</v>
      </c>
      <c r="K698" s="4">
        <f t="shared" si="128"/>
        <v>210</v>
      </c>
      <c r="L698" s="4">
        <f t="shared" si="129"/>
        <v>220</v>
      </c>
      <c r="M698" s="4">
        <f t="shared" si="130"/>
        <v>300</v>
      </c>
      <c r="N698" s="4">
        <f t="shared" si="131"/>
        <v>205</v>
      </c>
      <c r="O698" s="4">
        <f t="shared" si="132"/>
        <v>240</v>
      </c>
      <c r="P698" s="4">
        <f>IF((((Price25[Cost]*1.5)+50)/0.835)&lt;2500,
MROUND((((( Price25[Cost]*1.5)+50)/0.835)*1.05)*2,10),
MROUND((((( Price25[Cost]*1.5)+50)/0.835)*1.18)*2,10))</f>
        <v>750</v>
      </c>
      <c r="Q698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370</v>
      </c>
    </row>
    <row r="699" spans="1:17" x14ac:dyDescent="0.25">
      <c r="A699" s="1"/>
      <c r="B699" s="18">
        <v>449</v>
      </c>
      <c r="C699" s="19" t="s">
        <v>277</v>
      </c>
      <c r="D699" s="19" t="s">
        <v>494</v>
      </c>
      <c r="E699" s="19" t="s">
        <v>138</v>
      </c>
      <c r="F699" s="19">
        <v>5083</v>
      </c>
      <c r="G699" s="20">
        <v>88</v>
      </c>
      <c r="I699" s="20">
        <v>10</v>
      </c>
      <c r="J699" s="4">
        <f t="shared" si="134"/>
        <v>98</v>
      </c>
      <c r="K699" s="4">
        <f t="shared" si="128"/>
        <v>120</v>
      </c>
      <c r="L699" s="4">
        <f t="shared" si="129"/>
        <v>125</v>
      </c>
      <c r="M699" s="4">
        <f t="shared" si="130"/>
        <v>175</v>
      </c>
      <c r="N699" s="4">
        <f t="shared" si="131"/>
        <v>115</v>
      </c>
      <c r="O699" s="4">
        <f t="shared" si="132"/>
        <v>135</v>
      </c>
      <c r="P699" s="4">
        <f>IF((((Price25[Cost]*1.5)+50)/0.835)&lt;2500,
MROUND((((( Price25[Cost]*1.5)+50)/0.835)*1.05)*2,10),
MROUND((((( Price25[Cost]*1.5)+50)/0.835)*1.18)*2,10))</f>
        <v>460</v>
      </c>
      <c r="Q699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250</v>
      </c>
    </row>
    <row r="700" spans="1:17" x14ac:dyDescent="0.25">
      <c r="A700" s="1"/>
      <c r="B700" s="18">
        <v>4501</v>
      </c>
      <c r="C700" s="19" t="s">
        <v>277</v>
      </c>
      <c r="D700" s="19" t="s">
        <v>494</v>
      </c>
      <c r="E700" s="19" t="s">
        <v>392</v>
      </c>
      <c r="F700" s="19" t="s">
        <v>393</v>
      </c>
      <c r="G700" s="20">
        <v>185</v>
      </c>
      <c r="I700" s="20">
        <v>10</v>
      </c>
      <c r="J700" s="4">
        <f t="shared" si="134"/>
        <v>195</v>
      </c>
      <c r="K700" s="4">
        <f t="shared" si="128"/>
        <v>235</v>
      </c>
      <c r="L700" s="4">
        <f t="shared" si="129"/>
        <v>245</v>
      </c>
      <c r="M700" s="4">
        <f t="shared" si="130"/>
        <v>325</v>
      </c>
      <c r="N700" s="4">
        <f t="shared" si="131"/>
        <v>230</v>
      </c>
      <c r="O700" s="4">
        <f t="shared" si="132"/>
        <v>265</v>
      </c>
      <c r="P700" s="4">
        <f>IF((((Price25[Cost]*1.5)+50)/0.835)&lt;2500,
MROUND((((( Price25[Cost]*1.5)+50)/0.835)*1.05)*2,10),
MROUND((((( Price25[Cost]*1.5)+50)/0.835)*1.18)*2,10))</f>
        <v>820</v>
      </c>
      <c r="Q700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400</v>
      </c>
    </row>
    <row r="701" spans="1:17" x14ac:dyDescent="0.25">
      <c r="A701" s="1"/>
      <c r="B701" s="18">
        <v>4502</v>
      </c>
      <c r="C701" s="19" t="s">
        <v>287</v>
      </c>
      <c r="D701" s="19" t="s">
        <v>494</v>
      </c>
      <c r="E701" s="19" t="s">
        <v>392</v>
      </c>
      <c r="F701" s="19" t="s">
        <v>394</v>
      </c>
      <c r="G701" s="20">
        <v>170</v>
      </c>
      <c r="I701" s="20">
        <v>10</v>
      </c>
      <c r="J701" s="4">
        <f t="shared" si="134"/>
        <v>180</v>
      </c>
      <c r="K701" s="4">
        <f t="shared" si="128"/>
        <v>215</v>
      </c>
      <c r="L701" s="4">
        <f t="shared" si="129"/>
        <v>225</v>
      </c>
      <c r="M701" s="4">
        <f t="shared" si="130"/>
        <v>300</v>
      </c>
      <c r="N701" s="4">
        <f t="shared" si="131"/>
        <v>210</v>
      </c>
      <c r="O701" s="4">
        <f t="shared" si="132"/>
        <v>245</v>
      </c>
      <c r="P701" s="4">
        <f>IF((((Price25[Cost]*1.5)+50)/0.835)&lt;2500,
MROUND((((( Price25[Cost]*1.5)+50)/0.835)*1.05)*2,10),
MROUND((((( Price25[Cost]*1.5)+50)/0.835)*1.18)*2,10))</f>
        <v>770</v>
      </c>
      <c r="Q701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370</v>
      </c>
    </row>
    <row r="702" spans="1:17" x14ac:dyDescent="0.25">
      <c r="A702" s="1"/>
      <c r="B702" s="18">
        <v>4503</v>
      </c>
      <c r="C702" s="19" t="s">
        <v>287</v>
      </c>
      <c r="D702" s="19" t="s">
        <v>494</v>
      </c>
      <c r="E702" s="19" t="s">
        <v>392</v>
      </c>
      <c r="F702" s="19" t="s">
        <v>395</v>
      </c>
      <c r="G702" s="20">
        <v>116</v>
      </c>
      <c r="I702" s="20">
        <v>10</v>
      </c>
      <c r="J702" s="4">
        <f t="shared" si="134"/>
        <v>126</v>
      </c>
      <c r="K702" s="4">
        <f t="shared" si="128"/>
        <v>155</v>
      </c>
      <c r="L702" s="4">
        <f t="shared" si="129"/>
        <v>160</v>
      </c>
      <c r="M702" s="4">
        <f t="shared" si="130"/>
        <v>200</v>
      </c>
      <c r="N702" s="4">
        <f t="shared" si="131"/>
        <v>150</v>
      </c>
      <c r="O702" s="4">
        <f t="shared" si="132"/>
        <v>175</v>
      </c>
      <c r="P702" s="4">
        <f>IF((((Price25[Cost]*1.5)+50)/0.835)&lt;2500,
MROUND((((( Price25[Cost]*1.5)+50)/0.835)*1.05)*2,10),
MROUND((((( Price25[Cost]*1.5)+50)/0.835)*1.18)*2,10))</f>
        <v>560</v>
      </c>
      <c r="Q702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270</v>
      </c>
    </row>
    <row r="703" spans="1:17" x14ac:dyDescent="0.25">
      <c r="A703" s="1"/>
      <c r="B703" s="18">
        <v>4504</v>
      </c>
      <c r="C703" s="19" t="s">
        <v>277</v>
      </c>
      <c r="D703" s="19" t="s">
        <v>494</v>
      </c>
      <c r="E703" s="19" t="s">
        <v>392</v>
      </c>
      <c r="F703" s="19" t="s">
        <v>396</v>
      </c>
      <c r="G703" s="20">
        <v>70</v>
      </c>
      <c r="I703" s="20">
        <v>10</v>
      </c>
      <c r="J703" s="4">
        <f t="shared" si="134"/>
        <v>80</v>
      </c>
      <c r="K703" s="4">
        <f t="shared" si="128"/>
        <v>95</v>
      </c>
      <c r="L703" s="4">
        <f t="shared" si="129"/>
        <v>100</v>
      </c>
      <c r="M703" s="4">
        <f t="shared" si="130"/>
        <v>150</v>
      </c>
      <c r="N703" s="4">
        <f t="shared" si="131"/>
        <v>95</v>
      </c>
      <c r="O703" s="4">
        <f t="shared" si="132"/>
        <v>110</v>
      </c>
      <c r="P703" s="4">
        <f>IF((((Price25[Cost]*1.5)+50)/0.835)&lt;2500,
MROUND((((( Price25[Cost]*1.5)+50)/0.835)*1.05)*2,10),
MROUND((((( Price25[Cost]*1.5)+50)/0.835)*1.18)*2,10))</f>
        <v>390</v>
      </c>
      <c r="Q703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220</v>
      </c>
    </row>
    <row r="704" spans="1:17" x14ac:dyDescent="0.25">
      <c r="A704" s="1"/>
      <c r="B704" s="18">
        <v>4505</v>
      </c>
      <c r="C704" s="19" t="s">
        <v>277</v>
      </c>
      <c r="D704" s="19" t="s">
        <v>494</v>
      </c>
      <c r="E704" s="19" t="s">
        <v>392</v>
      </c>
      <c r="F704" s="19" t="s">
        <v>397</v>
      </c>
      <c r="G704" s="20">
        <v>100</v>
      </c>
      <c r="I704" s="20">
        <v>10</v>
      </c>
      <c r="J704" s="4">
        <f t="shared" si="134"/>
        <v>110</v>
      </c>
      <c r="K704" s="4">
        <f t="shared" si="128"/>
        <v>135</v>
      </c>
      <c r="L704" s="4">
        <f t="shared" si="129"/>
        <v>140</v>
      </c>
      <c r="M704" s="4">
        <f t="shared" si="130"/>
        <v>175</v>
      </c>
      <c r="N704" s="4">
        <f t="shared" si="131"/>
        <v>130</v>
      </c>
      <c r="O704" s="4">
        <f t="shared" si="132"/>
        <v>150</v>
      </c>
      <c r="P704" s="4">
        <f>IF((((Price25[Cost]*1.5)+50)/0.835)&lt;2500,
MROUND((((( Price25[Cost]*1.5)+50)/0.835)*1.05)*2,10),
MROUND((((( Price25[Cost]*1.5)+50)/0.835)*1.18)*2,10))</f>
        <v>500</v>
      </c>
      <c r="Q704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250</v>
      </c>
    </row>
    <row r="705" spans="1:17" x14ac:dyDescent="0.25">
      <c r="A705" s="1"/>
      <c r="B705" s="18">
        <v>4506</v>
      </c>
      <c r="C705" s="19" t="s">
        <v>277</v>
      </c>
      <c r="D705" s="19" t="s">
        <v>494</v>
      </c>
      <c r="E705" s="19" t="s">
        <v>392</v>
      </c>
      <c r="F705" s="19" t="s">
        <v>398</v>
      </c>
      <c r="G705" s="20">
        <v>86</v>
      </c>
      <c r="I705" s="20">
        <v>10</v>
      </c>
      <c r="J705" s="4">
        <f t="shared" si="134"/>
        <v>96</v>
      </c>
      <c r="K705" s="4">
        <f t="shared" si="128"/>
        <v>115</v>
      </c>
      <c r="L705" s="4">
        <f t="shared" si="129"/>
        <v>120</v>
      </c>
      <c r="M705" s="4">
        <f t="shared" si="130"/>
        <v>175</v>
      </c>
      <c r="N705" s="4">
        <f t="shared" si="131"/>
        <v>115</v>
      </c>
      <c r="O705" s="4">
        <f t="shared" si="132"/>
        <v>130</v>
      </c>
      <c r="P705" s="4">
        <f>IF((((Price25[Cost]*1.5)+50)/0.835)&lt;2500,
MROUND((((( Price25[Cost]*1.5)+50)/0.835)*1.05)*2,10),
MROUND((((( Price25[Cost]*1.5)+50)/0.835)*1.18)*2,10))</f>
        <v>450</v>
      </c>
      <c r="Q705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250</v>
      </c>
    </row>
    <row r="706" spans="1:17" x14ac:dyDescent="0.25">
      <c r="A706" s="1"/>
      <c r="B706" s="18">
        <v>4507</v>
      </c>
      <c r="C706" s="19" t="s">
        <v>277</v>
      </c>
      <c r="D706" s="19" t="s">
        <v>494</v>
      </c>
      <c r="E706" s="19" t="s">
        <v>392</v>
      </c>
      <c r="F706" s="19" t="s">
        <v>399</v>
      </c>
      <c r="G706" s="20">
        <v>78</v>
      </c>
      <c r="I706" s="20">
        <v>10</v>
      </c>
      <c r="J706" s="4">
        <f t="shared" si="134"/>
        <v>88</v>
      </c>
      <c r="K706" s="4">
        <f t="shared" si="128"/>
        <v>105</v>
      </c>
      <c r="L706" s="4">
        <f t="shared" si="129"/>
        <v>110</v>
      </c>
      <c r="M706" s="4">
        <f t="shared" si="130"/>
        <v>150</v>
      </c>
      <c r="N706" s="4">
        <f t="shared" si="131"/>
        <v>105</v>
      </c>
      <c r="O706" s="4">
        <f t="shared" si="132"/>
        <v>120</v>
      </c>
      <c r="P706" s="4">
        <f>IF((((Price25[Cost]*1.5)+50)/0.835)&lt;2500,
MROUND((((( Price25[Cost]*1.5)+50)/0.835)*1.05)*2,10),
MROUND((((( Price25[Cost]*1.5)+50)/0.835)*1.18)*2,10))</f>
        <v>420</v>
      </c>
      <c r="Q706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220</v>
      </c>
    </row>
    <row r="707" spans="1:17" x14ac:dyDescent="0.25">
      <c r="A707" s="1"/>
      <c r="B707" s="18">
        <v>4508</v>
      </c>
      <c r="C707" s="19" t="s">
        <v>277</v>
      </c>
      <c r="D707" s="19" t="s">
        <v>494</v>
      </c>
      <c r="E707" s="19" t="s">
        <v>392</v>
      </c>
      <c r="F707" s="19" t="s">
        <v>400</v>
      </c>
      <c r="G707" s="20">
        <v>62</v>
      </c>
      <c r="I707" s="20">
        <v>10</v>
      </c>
      <c r="J707" s="4">
        <f t="shared" si="134"/>
        <v>72</v>
      </c>
      <c r="K707" s="4">
        <f t="shared" si="128"/>
        <v>90</v>
      </c>
      <c r="L707" s="4">
        <f t="shared" si="129"/>
        <v>90</v>
      </c>
      <c r="M707" s="4">
        <f t="shared" si="130"/>
        <v>125</v>
      </c>
      <c r="N707" s="4">
        <f t="shared" si="131"/>
        <v>85</v>
      </c>
      <c r="O707" s="4">
        <f t="shared" si="132"/>
        <v>100</v>
      </c>
      <c r="P707" s="4">
        <f>IF((((Price25[Cost]*1.5)+50)/0.835)&lt;2500,
MROUND((((( Price25[Cost]*1.5)+50)/0.835)*1.05)*2,10),
MROUND((((( Price25[Cost]*1.5)+50)/0.835)*1.18)*2,10))</f>
        <v>360</v>
      </c>
      <c r="Q707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200</v>
      </c>
    </row>
    <row r="708" spans="1:17" x14ac:dyDescent="0.25">
      <c r="A708" s="1"/>
      <c r="B708" s="18">
        <v>4509</v>
      </c>
      <c r="C708" s="19" t="s">
        <v>287</v>
      </c>
      <c r="D708" s="19" t="s">
        <v>494</v>
      </c>
      <c r="E708" s="19" t="s">
        <v>392</v>
      </c>
      <c r="F708" s="19" t="s">
        <v>401</v>
      </c>
      <c r="G708" s="20">
        <v>55</v>
      </c>
      <c r="I708" s="20">
        <v>10</v>
      </c>
      <c r="J708" s="4">
        <f t="shared" si="134"/>
        <v>65</v>
      </c>
      <c r="K708" s="4">
        <f t="shared" si="128"/>
        <v>85</v>
      </c>
      <c r="L708" s="4">
        <f t="shared" si="129"/>
        <v>85</v>
      </c>
      <c r="M708" s="4">
        <f t="shared" si="130"/>
        <v>125</v>
      </c>
      <c r="N708" s="4">
        <f t="shared" si="131"/>
        <v>80</v>
      </c>
      <c r="O708" s="4">
        <f t="shared" si="132"/>
        <v>95</v>
      </c>
      <c r="P708" s="4">
        <f>IF((((Price25[Cost]*1.5)+50)/0.835)&lt;2500,
MROUND((((( Price25[Cost]*1.5)+50)/0.835)*1.05)*2,10),
MROUND((((( Price25[Cost]*1.5)+50)/0.835)*1.18)*2,10))</f>
        <v>330</v>
      </c>
      <c r="Q708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200</v>
      </c>
    </row>
    <row r="709" spans="1:17" x14ac:dyDescent="0.25">
      <c r="A709" s="1"/>
      <c r="B709" s="18">
        <v>4510</v>
      </c>
      <c r="C709" s="19" t="s">
        <v>277</v>
      </c>
      <c r="D709" s="19" t="s">
        <v>494</v>
      </c>
      <c r="E709" s="19" t="s">
        <v>392</v>
      </c>
      <c r="F709" s="19" t="s">
        <v>402</v>
      </c>
      <c r="G709" s="20">
        <v>45</v>
      </c>
      <c r="I709" s="20">
        <v>10</v>
      </c>
      <c r="J709" s="4">
        <f t="shared" si="134"/>
        <v>55</v>
      </c>
      <c r="K709" s="4">
        <f t="shared" si="128"/>
        <v>70</v>
      </c>
      <c r="L709" s="4">
        <f t="shared" si="129"/>
        <v>70</v>
      </c>
      <c r="M709" s="4">
        <f t="shared" si="130"/>
        <v>100</v>
      </c>
      <c r="N709" s="4">
        <f t="shared" si="131"/>
        <v>65</v>
      </c>
      <c r="O709" s="4">
        <f t="shared" si="132"/>
        <v>75</v>
      </c>
      <c r="P709" s="4">
        <f>IF((((Price25[Cost]*1.5)+50)/0.835)&lt;2500,
MROUND((((( Price25[Cost]*1.5)+50)/0.835)*1.05)*2,10),
MROUND((((( Price25[Cost]*1.5)+50)/0.835)*1.18)*2,10))</f>
        <v>300</v>
      </c>
      <c r="Q709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170</v>
      </c>
    </row>
    <row r="710" spans="1:17" x14ac:dyDescent="0.25">
      <c r="A710" s="1"/>
      <c r="B710" s="18">
        <v>4711</v>
      </c>
      <c r="C710" s="19" t="s">
        <v>277</v>
      </c>
      <c r="D710" s="19" t="s">
        <v>494</v>
      </c>
      <c r="E710" s="19" t="s">
        <v>392</v>
      </c>
      <c r="F710" s="19" t="s">
        <v>403</v>
      </c>
      <c r="G710" s="20">
        <v>29</v>
      </c>
      <c r="I710" s="20">
        <v>5</v>
      </c>
      <c r="J710" s="4">
        <f t="shared" si="134"/>
        <v>34</v>
      </c>
      <c r="K710" s="4">
        <f t="shared" si="128"/>
        <v>45</v>
      </c>
      <c r="L710" s="4">
        <f t="shared" si="129"/>
        <v>45</v>
      </c>
      <c r="M710" s="4">
        <f t="shared" si="130"/>
        <v>75</v>
      </c>
      <c r="N710" s="4">
        <f t="shared" si="131"/>
        <v>45</v>
      </c>
      <c r="O710" s="4">
        <f t="shared" si="132"/>
        <v>50</v>
      </c>
      <c r="P710" s="4">
        <f>IF((((Price25[Cost]*1.5)+50)/0.835)&lt;2500,
MROUND((((( Price25[Cost]*1.5)+50)/0.835)*1.05)*2,10),
MROUND((((( Price25[Cost]*1.5)+50)/0.835)*1.18)*2,10))</f>
        <v>240</v>
      </c>
      <c r="Q710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150</v>
      </c>
    </row>
    <row r="711" spans="1:17" x14ac:dyDescent="0.25">
      <c r="A711" s="1"/>
      <c r="B711" s="18">
        <v>4712</v>
      </c>
      <c r="C711" s="19" t="s">
        <v>277</v>
      </c>
      <c r="D711" s="19" t="s">
        <v>494</v>
      </c>
      <c r="E711" s="19" t="s">
        <v>392</v>
      </c>
      <c r="F711" s="19" t="s">
        <v>404</v>
      </c>
      <c r="G711" s="20">
        <v>38</v>
      </c>
      <c r="I711" s="20">
        <v>5</v>
      </c>
      <c r="J711" s="4">
        <f t="shared" si="134"/>
        <v>43</v>
      </c>
      <c r="K711" s="4">
        <f t="shared" si="128"/>
        <v>55</v>
      </c>
      <c r="L711" s="4">
        <f t="shared" si="129"/>
        <v>55</v>
      </c>
      <c r="M711" s="4">
        <f t="shared" si="130"/>
        <v>75</v>
      </c>
      <c r="N711" s="4">
        <f t="shared" si="131"/>
        <v>55</v>
      </c>
      <c r="O711" s="4">
        <f t="shared" si="132"/>
        <v>60</v>
      </c>
      <c r="P711" s="4">
        <f>IF((((Price25[Cost]*1.5)+50)/0.835)&lt;2500,
MROUND((((( Price25[Cost]*1.5)+50)/0.835)*1.05)*2,10),
MROUND((((( Price25[Cost]*1.5)+50)/0.835)*1.18)*2,10))</f>
        <v>270</v>
      </c>
      <c r="Q711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150</v>
      </c>
    </row>
    <row r="712" spans="1:17" x14ac:dyDescent="0.25">
      <c r="A712" s="1"/>
      <c r="B712" s="18">
        <v>472</v>
      </c>
      <c r="C712" s="19" t="s">
        <v>287</v>
      </c>
      <c r="D712" s="19" t="s">
        <v>494</v>
      </c>
      <c r="E712" s="19" t="s">
        <v>138</v>
      </c>
      <c r="F712" s="19">
        <v>3006</v>
      </c>
      <c r="G712" s="20">
        <v>185</v>
      </c>
      <c r="I712" s="20">
        <v>10</v>
      </c>
      <c r="J712" s="4">
        <f t="shared" si="134"/>
        <v>195</v>
      </c>
      <c r="K712" s="4">
        <f t="shared" si="128"/>
        <v>235</v>
      </c>
      <c r="L712" s="4">
        <f t="shared" si="129"/>
        <v>245</v>
      </c>
      <c r="M712" s="4">
        <f t="shared" si="130"/>
        <v>325</v>
      </c>
      <c r="N712" s="4">
        <f t="shared" si="131"/>
        <v>230</v>
      </c>
      <c r="O712" s="4">
        <f t="shared" si="132"/>
        <v>265</v>
      </c>
      <c r="P712" s="4">
        <f>IF((((Price25[Cost]*1.5)+50)/0.835)&lt;2500,
MROUND((((( Price25[Cost]*1.5)+50)/0.835)*1.05)*2,10),
MROUND((((( Price25[Cost]*1.5)+50)/0.835)*1.18)*2,10))</f>
        <v>820</v>
      </c>
      <c r="Q712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400</v>
      </c>
    </row>
    <row r="713" spans="1:17" x14ac:dyDescent="0.25">
      <c r="A713" s="1"/>
      <c r="B713" s="18">
        <v>474</v>
      </c>
      <c r="C713" s="19" t="s">
        <v>277</v>
      </c>
      <c r="D713" s="19" t="s">
        <v>494</v>
      </c>
      <c r="E713" s="19" t="s">
        <v>138</v>
      </c>
      <c r="F713" s="19">
        <v>5076</v>
      </c>
      <c r="G713" s="20">
        <v>128</v>
      </c>
      <c r="I713" s="20">
        <v>10</v>
      </c>
      <c r="J713" s="4">
        <f t="shared" si="134"/>
        <v>138</v>
      </c>
      <c r="K713" s="4">
        <f t="shared" si="128"/>
        <v>170</v>
      </c>
      <c r="L713" s="4">
        <f t="shared" si="129"/>
        <v>175</v>
      </c>
      <c r="M713" s="4">
        <f t="shared" si="130"/>
        <v>225</v>
      </c>
      <c r="N713" s="4">
        <f t="shared" si="131"/>
        <v>165</v>
      </c>
      <c r="O713" s="4">
        <f t="shared" si="132"/>
        <v>190</v>
      </c>
      <c r="P713" s="4">
        <f>IF((((Price25[Cost]*1.5)+50)/0.835)&lt;2500,
MROUND((((( Price25[Cost]*1.5)+50)/0.835)*1.05)*2,10),
MROUND((((( Price25[Cost]*1.5)+50)/0.835)*1.18)*2,10))</f>
        <v>610</v>
      </c>
      <c r="Q713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300</v>
      </c>
    </row>
    <row r="714" spans="1:17" x14ac:dyDescent="0.25">
      <c r="A714" s="1">
        <v>2026</v>
      </c>
      <c r="B714" s="18">
        <v>477</v>
      </c>
      <c r="C714" s="19" t="s">
        <v>277</v>
      </c>
      <c r="D714" s="19" t="s">
        <v>494</v>
      </c>
      <c r="E714" s="19" t="s">
        <v>138</v>
      </c>
      <c r="F714" s="19">
        <v>918</v>
      </c>
      <c r="G714" s="20">
        <v>58</v>
      </c>
      <c r="I714" s="20">
        <v>10</v>
      </c>
      <c r="J714" s="4">
        <f t="shared" si="134"/>
        <v>68</v>
      </c>
      <c r="K714" s="4">
        <f t="shared" si="128"/>
        <v>85</v>
      </c>
      <c r="L714" s="4">
        <f t="shared" si="129"/>
        <v>85</v>
      </c>
      <c r="M714" s="4">
        <f t="shared" si="130"/>
        <v>125</v>
      </c>
      <c r="N714" s="4">
        <f t="shared" si="131"/>
        <v>80</v>
      </c>
      <c r="O714" s="4">
        <f t="shared" si="132"/>
        <v>95</v>
      </c>
      <c r="P714" s="4">
        <f>IF((((Price25[Cost]*1.5)+50)/0.835)&lt;2500,
MROUND((((( Price25[Cost]*1.5)+50)/0.835)*1.05)*2,10),
MROUND((((( Price25[Cost]*1.5)+50)/0.835)*1.18)*2,10))</f>
        <v>340</v>
      </c>
      <c r="Q714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200</v>
      </c>
    </row>
    <row r="715" spans="1:17" x14ac:dyDescent="0.25">
      <c r="A715" s="1"/>
      <c r="B715" s="18">
        <v>480</v>
      </c>
      <c r="C715" s="19" t="s">
        <v>277</v>
      </c>
      <c r="D715" s="19" t="s">
        <v>494</v>
      </c>
      <c r="E715" s="19" t="s">
        <v>138</v>
      </c>
      <c r="F715" s="19">
        <v>3087</v>
      </c>
      <c r="G715" s="20">
        <v>90</v>
      </c>
      <c r="I715" s="20">
        <v>10</v>
      </c>
      <c r="J715" s="4">
        <f t="shared" si="134"/>
        <v>100</v>
      </c>
      <c r="K715" s="4">
        <f t="shared" si="128"/>
        <v>120</v>
      </c>
      <c r="L715" s="4">
        <f t="shared" si="129"/>
        <v>125</v>
      </c>
      <c r="M715" s="4">
        <f t="shared" si="130"/>
        <v>175</v>
      </c>
      <c r="N715" s="4">
        <f t="shared" si="131"/>
        <v>115</v>
      </c>
      <c r="O715" s="4">
        <f t="shared" si="132"/>
        <v>135</v>
      </c>
      <c r="P715" s="4">
        <f>IF((((Price25[Cost]*1.5)+50)/0.835)&lt;2500,
MROUND((((( Price25[Cost]*1.5)+50)/0.835)*1.05)*2,10),
MROUND((((( Price25[Cost]*1.5)+50)/0.835)*1.18)*2,10))</f>
        <v>470</v>
      </c>
      <c r="Q715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250</v>
      </c>
    </row>
    <row r="716" spans="1:17" x14ac:dyDescent="0.25">
      <c r="A716" s="1"/>
      <c r="B716" s="18">
        <v>481</v>
      </c>
      <c r="C716" s="19" t="s">
        <v>277</v>
      </c>
      <c r="D716" s="19" t="s">
        <v>494</v>
      </c>
      <c r="E716" s="19" t="s">
        <v>138</v>
      </c>
      <c r="F716" s="19">
        <v>4083</v>
      </c>
      <c r="G716" s="20">
        <v>76</v>
      </c>
      <c r="I716" s="20">
        <v>10</v>
      </c>
      <c r="J716" s="4">
        <f t="shared" si="134"/>
        <v>86</v>
      </c>
      <c r="K716" s="4">
        <f t="shared" si="128"/>
        <v>105</v>
      </c>
      <c r="L716" s="4">
        <f t="shared" si="129"/>
        <v>110</v>
      </c>
      <c r="M716" s="4">
        <f t="shared" si="130"/>
        <v>150</v>
      </c>
      <c r="N716" s="4">
        <f t="shared" si="131"/>
        <v>105</v>
      </c>
      <c r="O716" s="4">
        <f t="shared" si="132"/>
        <v>120</v>
      </c>
      <c r="P716" s="4">
        <f>IF((((Price25[Cost]*1.5)+50)/0.835)&lt;2500,
MROUND((((( Price25[Cost]*1.5)+50)/0.835)*1.05)*2,10),
MROUND((((( Price25[Cost]*1.5)+50)/0.835)*1.18)*2,10))</f>
        <v>410</v>
      </c>
      <c r="Q716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220</v>
      </c>
    </row>
    <row r="717" spans="1:17" x14ac:dyDescent="0.25">
      <c r="A717" s="1"/>
      <c r="B717" s="18">
        <v>484</v>
      </c>
      <c r="C717" s="19" t="s">
        <v>277</v>
      </c>
      <c r="D717" s="19" t="s">
        <v>494</v>
      </c>
      <c r="E717" s="19" t="s">
        <v>138</v>
      </c>
      <c r="F717" s="19">
        <v>5030</v>
      </c>
      <c r="G717" s="20">
        <v>150</v>
      </c>
      <c r="I717" s="20">
        <v>10</v>
      </c>
      <c r="J717" s="4">
        <f t="shared" si="134"/>
        <v>160</v>
      </c>
      <c r="K717" s="4">
        <f t="shared" si="128"/>
        <v>190</v>
      </c>
      <c r="L717" s="4">
        <f t="shared" si="129"/>
        <v>200</v>
      </c>
      <c r="M717" s="4">
        <f t="shared" si="130"/>
        <v>275</v>
      </c>
      <c r="N717" s="4">
        <f t="shared" si="131"/>
        <v>185</v>
      </c>
      <c r="O717" s="4">
        <f t="shared" si="132"/>
        <v>215</v>
      </c>
      <c r="P717" s="4">
        <f>IF((((Price25[Cost]*1.5)+50)/0.835)&lt;2500,
MROUND((((( Price25[Cost]*1.5)+50)/0.835)*1.05)*2,10),
MROUND((((( Price25[Cost]*1.5)+50)/0.835)*1.18)*2,10))</f>
        <v>690</v>
      </c>
      <c r="Q717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350</v>
      </c>
    </row>
    <row r="718" spans="1:17" x14ac:dyDescent="0.25">
      <c r="A718" s="1"/>
      <c r="B718" s="18">
        <v>491</v>
      </c>
      <c r="C718" s="19" t="s">
        <v>277</v>
      </c>
      <c r="D718" s="19" t="s">
        <v>494</v>
      </c>
      <c r="E718" s="19" t="s">
        <v>278</v>
      </c>
      <c r="F718" s="19" t="s">
        <v>279</v>
      </c>
      <c r="G718" s="20">
        <v>61.5</v>
      </c>
      <c r="I718" s="20">
        <v>10</v>
      </c>
      <c r="J718" s="4">
        <f t="shared" si="134"/>
        <v>71.5</v>
      </c>
      <c r="K718" s="4">
        <f t="shared" si="128"/>
        <v>90</v>
      </c>
      <c r="L718" s="4">
        <f t="shared" si="129"/>
        <v>90</v>
      </c>
      <c r="M718" s="4">
        <f t="shared" si="130"/>
        <v>125</v>
      </c>
      <c r="N718" s="4">
        <f t="shared" si="131"/>
        <v>85</v>
      </c>
      <c r="O718" s="4">
        <f t="shared" si="132"/>
        <v>100</v>
      </c>
      <c r="P718" s="4">
        <f>IF((((Price25[Cost]*1.5)+50)/0.835)&lt;2500,
MROUND((((( Price25[Cost]*1.5)+50)/0.835)*1.05)*2,10),
MROUND((((( Price25[Cost]*1.5)+50)/0.835)*1.18)*2,10))</f>
        <v>360</v>
      </c>
      <c r="Q718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200</v>
      </c>
    </row>
    <row r="719" spans="1:17" x14ac:dyDescent="0.25">
      <c r="A719" s="1">
        <v>2026</v>
      </c>
      <c r="B719" s="18">
        <v>493</v>
      </c>
      <c r="C719" s="19" t="s">
        <v>277</v>
      </c>
      <c r="D719" s="19" t="s">
        <v>494</v>
      </c>
      <c r="E719" s="19" t="s">
        <v>138</v>
      </c>
      <c r="F719" s="19">
        <v>5068</v>
      </c>
      <c r="G719" s="20">
        <v>160</v>
      </c>
      <c r="I719" s="20">
        <v>10</v>
      </c>
      <c r="J719" s="4">
        <f t="shared" si="134"/>
        <v>170</v>
      </c>
      <c r="K719" s="4">
        <f t="shared" si="128"/>
        <v>205</v>
      </c>
      <c r="L719" s="4">
        <f t="shared" si="129"/>
        <v>215</v>
      </c>
      <c r="M719" s="4">
        <f t="shared" si="130"/>
        <v>275</v>
      </c>
      <c r="N719" s="4">
        <f t="shared" si="131"/>
        <v>200</v>
      </c>
      <c r="O719" s="4">
        <f t="shared" si="132"/>
        <v>235</v>
      </c>
      <c r="P719" s="4">
        <f>IF((((Price25[Cost]*1.5)+50)/0.835)&lt;2500,
MROUND((((( Price25[Cost]*1.5)+50)/0.835)*1.05)*2,10),
MROUND((((( Price25[Cost]*1.5)+50)/0.835)*1.18)*2,10))</f>
        <v>730</v>
      </c>
      <c r="Q719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350</v>
      </c>
    </row>
    <row r="720" spans="1:17" x14ac:dyDescent="0.25">
      <c r="A720" s="1"/>
      <c r="B720" s="18" t="s">
        <v>363</v>
      </c>
      <c r="C720" s="19" t="s">
        <v>171</v>
      </c>
      <c r="D720" s="19" t="s">
        <v>496</v>
      </c>
      <c r="E720" s="19" t="s">
        <v>139</v>
      </c>
      <c r="F720" s="19" t="s">
        <v>363</v>
      </c>
      <c r="G720" s="20">
        <v>230</v>
      </c>
      <c r="I720" s="20">
        <v>10</v>
      </c>
      <c r="J720" s="4">
        <f t="shared" si="134"/>
        <v>240</v>
      </c>
      <c r="K720" s="4">
        <f t="shared" si="128"/>
        <v>285</v>
      </c>
      <c r="L720" s="4">
        <f t="shared" si="129"/>
        <v>300</v>
      </c>
      <c r="M720" s="4">
        <f t="shared" si="130"/>
        <v>400</v>
      </c>
      <c r="N720" s="4">
        <f t="shared" si="131"/>
        <v>280</v>
      </c>
      <c r="O720" s="4">
        <f t="shared" si="132"/>
        <v>325</v>
      </c>
      <c r="P720" s="4">
        <f>IF((((Price25[Cost]*1.5)+50)/0.835)&lt;2500,
MROUND((((( Price25[Cost]*1.5)+50)/0.835)*1.05)*2,10),
MROUND((((( Price25[Cost]*1.5)+50)/0.835)*1.18)*2,10))</f>
        <v>990</v>
      </c>
      <c r="Q720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470</v>
      </c>
    </row>
    <row r="721" spans="1:17" x14ac:dyDescent="0.25">
      <c r="A721" s="1"/>
      <c r="B721" s="18" t="s">
        <v>140</v>
      </c>
      <c r="C721" s="19" t="s">
        <v>171</v>
      </c>
      <c r="D721" s="19" t="s">
        <v>496</v>
      </c>
      <c r="E721" s="19" t="s">
        <v>139</v>
      </c>
      <c r="F721" s="19" t="s">
        <v>140</v>
      </c>
      <c r="G721" s="20">
        <v>230</v>
      </c>
      <c r="I721" s="20">
        <v>10</v>
      </c>
      <c r="J721" s="4">
        <f t="shared" si="134"/>
        <v>240</v>
      </c>
      <c r="K721" s="4">
        <f t="shared" si="128"/>
        <v>285</v>
      </c>
      <c r="L721" s="4">
        <f t="shared" si="129"/>
        <v>300</v>
      </c>
      <c r="M721" s="4">
        <f t="shared" si="130"/>
        <v>400</v>
      </c>
      <c r="N721" s="4">
        <f t="shared" si="131"/>
        <v>280</v>
      </c>
      <c r="O721" s="4">
        <f t="shared" si="132"/>
        <v>325</v>
      </c>
      <c r="P721" s="4">
        <f>IF((((Price25[Cost]*1.5)+50)/0.835)&lt;2500,
MROUND((((( Price25[Cost]*1.5)+50)/0.835)*1.05)*2,10),
MROUND((((( Price25[Cost]*1.5)+50)/0.835)*1.18)*2,10))</f>
        <v>990</v>
      </c>
      <c r="Q721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470</v>
      </c>
    </row>
    <row r="722" spans="1:17" x14ac:dyDescent="0.25">
      <c r="A722" s="1"/>
      <c r="B722" s="18" t="s">
        <v>352</v>
      </c>
      <c r="C722" s="19" t="s">
        <v>171</v>
      </c>
      <c r="D722" s="19" t="s">
        <v>496</v>
      </c>
      <c r="E722" s="19" t="s">
        <v>139</v>
      </c>
      <c r="F722" s="19" t="s">
        <v>352</v>
      </c>
      <c r="G722" s="20">
        <v>210</v>
      </c>
      <c r="I722" s="20">
        <v>10</v>
      </c>
      <c r="J722" s="4">
        <f t="shared" si="134"/>
        <v>220</v>
      </c>
      <c r="K722" s="4">
        <f t="shared" si="128"/>
        <v>265</v>
      </c>
      <c r="L722" s="4">
        <f t="shared" si="129"/>
        <v>275</v>
      </c>
      <c r="M722" s="4">
        <f t="shared" si="130"/>
        <v>350</v>
      </c>
      <c r="N722" s="4">
        <f t="shared" si="131"/>
        <v>255</v>
      </c>
      <c r="O722" s="4">
        <f t="shared" si="132"/>
        <v>295</v>
      </c>
      <c r="P722" s="4">
        <f>IF((((Price25[Cost]*1.5)+50)/0.835)&lt;2500,
MROUND((((( Price25[Cost]*1.5)+50)/0.835)*1.05)*2,10),
MROUND((((( Price25[Cost]*1.5)+50)/0.835)*1.18)*2,10))</f>
        <v>920</v>
      </c>
      <c r="Q722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420</v>
      </c>
    </row>
    <row r="723" spans="1:17" x14ac:dyDescent="0.25">
      <c r="A723" s="1"/>
      <c r="B723" s="18" t="s">
        <v>369</v>
      </c>
      <c r="C723" s="19" t="s">
        <v>171</v>
      </c>
      <c r="D723" s="19" t="s">
        <v>496</v>
      </c>
      <c r="E723" s="19" t="s">
        <v>139</v>
      </c>
      <c r="F723" s="19" t="s">
        <v>369</v>
      </c>
      <c r="G723" s="20">
        <v>150</v>
      </c>
      <c r="I723" s="20">
        <v>10</v>
      </c>
      <c r="J723" s="4">
        <f t="shared" si="134"/>
        <v>160</v>
      </c>
      <c r="K723" s="4">
        <f t="shared" ref="K723:K786" si="135">IF(ISNUMBER(L723),
   IF(CEILING(ROUND(L723*0.95,2),5)=420,
      425,
      CEILING(ROUND(L723*0.95,2),5)
   ),
   ""
)</f>
        <v>190</v>
      </c>
      <c r="L723" s="4">
        <f t="shared" ref="L723:L786" si="136">IF(AND(ISNUMBER(J723),ISNUMBER(G723)),
   IF(CEILING(ROUND(J723*1.25,2),5)=420,
      425,
      CEILING(ROUND(J723*1.25,2),5)
   ),
   ""
)</f>
        <v>200</v>
      </c>
      <c r="M723" s="4">
        <f t="shared" ref="M723:M786" si="137">IF(AND(ISNUMBER(J723),ISNUMBER(G723)),
   IF(
      CEILING(
         ROUND((J723*1.5) * IF(J723*1.5 &lt;= 2500, 1.05, 1.18), 2),
         IF(ROUND((J723*1.5) * IF(J723*1.5 &lt;= 2500, 1.05, 1.18), 2) &lt; 2500, 25, 50)
      )=420,
      425,
      CEILING(
         ROUND((J723*1.5) * IF(J723*1.5 &lt;= 2500, 1.05, 1.18), 2),
         IF(ROUND((J723*1.5) * IF(J723*1.5 &lt;= 2500, 1.05, 1.18), 2) &lt; 2500, 25, 50)
      )
   ),
   ""
)</f>
        <v>275</v>
      </c>
      <c r="N723" s="4">
        <f t="shared" ref="N723:N786" si="138">IF(ISNUMBER(G723),
   IF(CEILING(ROUND(L723*0.92,2),5)=420,
      425,
      CEILING(ROUND(L723*0.92,2),5)
   ),
   ""
)</f>
        <v>185</v>
      </c>
      <c r="O723" s="4">
        <f t="shared" ref="O723:O786" si="139">IF(ISNUMBER(L723),
   IF(CEILING(ROUND(L723*1.07,2),5)=420,
      425,
      CEILING(ROUND(L723*1.07,2),5)
   ),
   ""
)</f>
        <v>215</v>
      </c>
      <c r="P723" s="4">
        <f>IF((((Price25[Cost]*1.5)+50)/0.835)&lt;2500,
MROUND((((( Price25[Cost]*1.5)+50)/0.835)*1.05)*2,10),
MROUND((((( Price25[Cost]*1.5)+50)/0.835)*1.18)*2,10))</f>
        <v>690</v>
      </c>
      <c r="Q723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350</v>
      </c>
    </row>
    <row r="724" spans="1:17" x14ac:dyDescent="0.25">
      <c r="A724" s="1"/>
      <c r="B724" s="18" t="s">
        <v>266</v>
      </c>
      <c r="C724" s="19" t="s">
        <v>171</v>
      </c>
      <c r="D724" s="19" t="s">
        <v>496</v>
      </c>
      <c r="E724" s="19" t="s">
        <v>139</v>
      </c>
      <c r="F724" s="19" t="s">
        <v>267</v>
      </c>
      <c r="G724" s="20">
        <v>225</v>
      </c>
      <c r="I724" s="20">
        <v>10</v>
      </c>
      <c r="J724" s="4">
        <f t="shared" si="134"/>
        <v>235</v>
      </c>
      <c r="K724" s="4">
        <f t="shared" si="135"/>
        <v>285</v>
      </c>
      <c r="L724" s="4">
        <f t="shared" si="136"/>
        <v>295</v>
      </c>
      <c r="M724" s="4">
        <f t="shared" si="137"/>
        <v>375</v>
      </c>
      <c r="N724" s="4">
        <f t="shared" si="138"/>
        <v>275</v>
      </c>
      <c r="O724" s="4">
        <f t="shared" si="139"/>
        <v>320</v>
      </c>
      <c r="P724" s="4">
        <f>IF((((Price25[Cost]*1.5)+50)/0.835)&lt;2500,
MROUND((((( Price25[Cost]*1.5)+50)/0.835)*1.05)*2,10),
MROUND((((( Price25[Cost]*1.5)+50)/0.835)*1.18)*2,10))</f>
        <v>970</v>
      </c>
      <c r="Q724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450</v>
      </c>
    </row>
    <row r="725" spans="1:17" x14ac:dyDescent="0.25">
      <c r="A725" s="1"/>
      <c r="B725" s="18" t="s">
        <v>268</v>
      </c>
      <c r="C725" s="19" t="s">
        <v>171</v>
      </c>
      <c r="D725" s="19" t="s">
        <v>496</v>
      </c>
      <c r="E725" s="19" t="s">
        <v>139</v>
      </c>
      <c r="F725" s="19" t="s">
        <v>269</v>
      </c>
      <c r="G725" s="20">
        <v>210</v>
      </c>
      <c r="I725" s="20">
        <v>10</v>
      </c>
      <c r="J725" s="4">
        <f t="shared" si="134"/>
        <v>220</v>
      </c>
      <c r="K725" s="4">
        <f t="shared" si="135"/>
        <v>265</v>
      </c>
      <c r="L725" s="4">
        <f t="shared" si="136"/>
        <v>275</v>
      </c>
      <c r="M725" s="4">
        <f t="shared" si="137"/>
        <v>350</v>
      </c>
      <c r="N725" s="4">
        <f t="shared" si="138"/>
        <v>255</v>
      </c>
      <c r="O725" s="4">
        <f t="shared" si="139"/>
        <v>295</v>
      </c>
      <c r="P725" s="4">
        <f>IF((((Price25[Cost]*1.5)+50)/0.835)&lt;2500,
MROUND((((( Price25[Cost]*1.5)+50)/0.835)*1.05)*2,10),
MROUND((((( Price25[Cost]*1.5)+50)/0.835)*1.18)*2,10))</f>
        <v>920</v>
      </c>
      <c r="Q725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420</v>
      </c>
    </row>
    <row r="726" spans="1:17" x14ac:dyDescent="0.25">
      <c r="A726" s="1"/>
      <c r="B726" s="18" t="s">
        <v>360</v>
      </c>
      <c r="C726" s="19" t="s">
        <v>171</v>
      </c>
      <c r="D726" s="19" t="s">
        <v>496</v>
      </c>
      <c r="E726" s="19" t="s">
        <v>139</v>
      </c>
      <c r="F726" s="19" t="s">
        <v>360</v>
      </c>
      <c r="G726" s="20">
        <v>220</v>
      </c>
      <c r="I726" s="20">
        <v>10</v>
      </c>
      <c r="J726" s="4">
        <f t="shared" si="134"/>
        <v>230</v>
      </c>
      <c r="K726" s="4">
        <f t="shared" si="135"/>
        <v>280</v>
      </c>
      <c r="L726" s="4">
        <f t="shared" si="136"/>
        <v>290</v>
      </c>
      <c r="M726" s="4">
        <f t="shared" si="137"/>
        <v>375</v>
      </c>
      <c r="N726" s="4">
        <f t="shared" si="138"/>
        <v>270</v>
      </c>
      <c r="O726" s="4">
        <f t="shared" si="139"/>
        <v>315</v>
      </c>
      <c r="P726" s="4">
        <f>IF((((Price25[Cost]*1.5)+50)/0.835)&lt;2500,
MROUND((((( Price25[Cost]*1.5)+50)/0.835)*1.05)*2,10),
MROUND((((( Price25[Cost]*1.5)+50)/0.835)*1.18)*2,10))</f>
        <v>960</v>
      </c>
      <c r="Q726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450</v>
      </c>
    </row>
    <row r="727" spans="1:17" x14ac:dyDescent="0.25">
      <c r="A727" s="1"/>
      <c r="B727" s="18" t="s">
        <v>275</v>
      </c>
      <c r="C727" s="19" t="s">
        <v>171</v>
      </c>
      <c r="D727" s="19" t="s">
        <v>496</v>
      </c>
      <c r="E727" s="19" t="s">
        <v>139</v>
      </c>
      <c r="F727" s="19" t="s">
        <v>275</v>
      </c>
      <c r="G727" s="20">
        <v>230</v>
      </c>
      <c r="I727" s="20">
        <v>10</v>
      </c>
      <c r="J727" s="4">
        <f t="shared" si="134"/>
        <v>240</v>
      </c>
      <c r="K727" s="4">
        <f t="shared" si="135"/>
        <v>285</v>
      </c>
      <c r="L727" s="4">
        <f t="shared" si="136"/>
        <v>300</v>
      </c>
      <c r="M727" s="4">
        <f t="shared" si="137"/>
        <v>400</v>
      </c>
      <c r="N727" s="4">
        <f t="shared" si="138"/>
        <v>280</v>
      </c>
      <c r="O727" s="4">
        <f t="shared" si="139"/>
        <v>325</v>
      </c>
      <c r="P727" s="4">
        <f>IF((((Price25[Cost]*1.5)+50)/0.835)&lt;2500,
MROUND((((( Price25[Cost]*1.5)+50)/0.835)*1.05)*2,10),
MROUND((((( Price25[Cost]*1.5)+50)/0.835)*1.18)*2,10))</f>
        <v>990</v>
      </c>
      <c r="Q727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470</v>
      </c>
    </row>
    <row r="728" spans="1:17" x14ac:dyDescent="0.25">
      <c r="A728" s="1"/>
      <c r="B728" s="18" t="s">
        <v>410</v>
      </c>
      <c r="C728" s="19" t="s">
        <v>171</v>
      </c>
      <c r="D728" s="19" t="s">
        <v>496</v>
      </c>
      <c r="E728" s="19" t="s">
        <v>139</v>
      </c>
      <c r="F728" s="19" t="s">
        <v>410</v>
      </c>
      <c r="G728" s="20">
        <v>180</v>
      </c>
      <c r="I728" s="20">
        <v>10</v>
      </c>
      <c r="J728" s="4">
        <f t="shared" si="134"/>
        <v>190</v>
      </c>
      <c r="K728" s="4">
        <f t="shared" si="135"/>
        <v>230</v>
      </c>
      <c r="L728" s="4">
        <f t="shared" si="136"/>
        <v>240</v>
      </c>
      <c r="M728" s="4">
        <f t="shared" si="137"/>
        <v>300</v>
      </c>
      <c r="N728" s="4">
        <f t="shared" si="138"/>
        <v>225</v>
      </c>
      <c r="O728" s="4">
        <f t="shared" si="139"/>
        <v>260</v>
      </c>
      <c r="P728" s="4">
        <f>IF((((Price25[Cost]*1.5)+50)/0.835)&lt;2500,
MROUND((((( Price25[Cost]*1.5)+50)/0.835)*1.05)*2,10),
MROUND((((( Price25[Cost]*1.5)+50)/0.835)*1.18)*2,10))</f>
        <v>800</v>
      </c>
      <c r="Q728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370</v>
      </c>
    </row>
    <row r="729" spans="1:17" x14ac:dyDescent="0.25">
      <c r="A729" s="1"/>
      <c r="B729" s="18" t="s">
        <v>411</v>
      </c>
      <c r="C729" s="19" t="s">
        <v>171</v>
      </c>
      <c r="D729" s="19" t="s">
        <v>496</v>
      </c>
      <c r="E729" s="19" t="s">
        <v>139</v>
      </c>
      <c r="F729" s="19" t="s">
        <v>411</v>
      </c>
      <c r="G729" s="20">
        <v>200</v>
      </c>
      <c r="I729" s="20">
        <v>10</v>
      </c>
      <c r="J729" s="4">
        <f t="shared" si="134"/>
        <v>210</v>
      </c>
      <c r="K729" s="4">
        <f t="shared" si="135"/>
        <v>255</v>
      </c>
      <c r="L729" s="4">
        <f t="shared" si="136"/>
        <v>265</v>
      </c>
      <c r="M729" s="4">
        <f t="shared" si="137"/>
        <v>350</v>
      </c>
      <c r="N729" s="4">
        <f t="shared" si="138"/>
        <v>245</v>
      </c>
      <c r="O729" s="4">
        <f t="shared" si="139"/>
        <v>285</v>
      </c>
      <c r="P729" s="4">
        <f>IF((((Price25[Cost]*1.5)+50)/0.835)&lt;2500,
MROUND((((( Price25[Cost]*1.5)+50)/0.835)*1.05)*2,10),
MROUND((((( Price25[Cost]*1.5)+50)/0.835)*1.18)*2,10))</f>
        <v>880</v>
      </c>
      <c r="Q729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420</v>
      </c>
    </row>
    <row r="730" spans="1:17" x14ac:dyDescent="0.25">
      <c r="A730" s="1"/>
      <c r="B730" s="18" t="s">
        <v>258</v>
      </c>
      <c r="C730" s="19" t="s">
        <v>171</v>
      </c>
      <c r="D730" s="19" t="s">
        <v>496</v>
      </c>
      <c r="E730" s="19" t="s">
        <v>139</v>
      </c>
      <c r="F730" s="19" t="s">
        <v>259</v>
      </c>
      <c r="G730" s="20">
        <v>160</v>
      </c>
      <c r="I730" s="20">
        <v>10</v>
      </c>
      <c r="J730" s="4">
        <f t="shared" si="134"/>
        <v>170</v>
      </c>
      <c r="K730" s="4">
        <f t="shared" si="135"/>
        <v>205</v>
      </c>
      <c r="L730" s="4">
        <f t="shared" si="136"/>
        <v>215</v>
      </c>
      <c r="M730" s="4">
        <f t="shared" si="137"/>
        <v>275</v>
      </c>
      <c r="N730" s="4">
        <f t="shared" si="138"/>
        <v>200</v>
      </c>
      <c r="O730" s="4">
        <f t="shared" si="139"/>
        <v>235</v>
      </c>
      <c r="P730" s="4">
        <f>IF((((Price25[Cost]*1.5)+50)/0.835)&lt;2500,
MROUND((((( Price25[Cost]*1.5)+50)/0.835)*1.05)*2,10),
MROUND((((( Price25[Cost]*1.5)+50)/0.835)*1.18)*2,10))</f>
        <v>730</v>
      </c>
      <c r="Q730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350</v>
      </c>
    </row>
    <row r="731" spans="1:17" x14ac:dyDescent="0.25">
      <c r="A731" s="1">
        <v>2025</v>
      </c>
      <c r="B731" s="18" t="s">
        <v>85</v>
      </c>
      <c r="C731" s="19" t="s">
        <v>171</v>
      </c>
      <c r="D731" s="19" t="s">
        <v>496</v>
      </c>
      <c r="E731" s="19" t="s">
        <v>139</v>
      </c>
      <c r="F731" s="19" t="s">
        <v>609</v>
      </c>
      <c r="G731" s="20">
        <v>280</v>
      </c>
      <c r="I731" s="20">
        <v>10</v>
      </c>
      <c r="J731" s="4">
        <f t="shared" si="134"/>
        <v>290</v>
      </c>
      <c r="K731" s="4">
        <f t="shared" si="135"/>
        <v>350</v>
      </c>
      <c r="L731" s="4">
        <f t="shared" si="136"/>
        <v>365</v>
      </c>
      <c r="M731" s="4">
        <f t="shared" si="137"/>
        <v>475</v>
      </c>
      <c r="N731" s="4">
        <f t="shared" si="138"/>
        <v>340</v>
      </c>
      <c r="O731" s="4">
        <f t="shared" si="139"/>
        <v>395</v>
      </c>
      <c r="P731" s="4">
        <f>IF((((Price25[Cost]*1.5)+50)/0.835)&lt;2500,
MROUND((((( Price25[Cost]*1.5)+50)/0.835)*1.05)*2,10),
MROUND((((( Price25[Cost]*1.5)+50)/0.835)*1.18)*2,10))</f>
        <v>1180</v>
      </c>
      <c r="Q731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550</v>
      </c>
    </row>
    <row r="732" spans="1:17" x14ac:dyDescent="0.25">
      <c r="A732" s="1">
        <v>2025</v>
      </c>
      <c r="B732" s="18" t="s">
        <v>86</v>
      </c>
      <c r="C732" s="19" t="s">
        <v>171</v>
      </c>
      <c r="D732" s="19" t="s">
        <v>496</v>
      </c>
      <c r="E732" s="19" t="s">
        <v>139</v>
      </c>
      <c r="F732" s="19" t="s">
        <v>603</v>
      </c>
      <c r="G732" s="20">
        <v>280</v>
      </c>
      <c r="I732" s="20">
        <v>10</v>
      </c>
      <c r="J732" s="4">
        <f t="shared" si="134"/>
        <v>290</v>
      </c>
      <c r="K732" s="4">
        <f t="shared" si="135"/>
        <v>350</v>
      </c>
      <c r="L732" s="4">
        <f t="shared" si="136"/>
        <v>365</v>
      </c>
      <c r="M732" s="4">
        <f t="shared" si="137"/>
        <v>475</v>
      </c>
      <c r="N732" s="4">
        <f t="shared" si="138"/>
        <v>340</v>
      </c>
      <c r="O732" s="4">
        <f t="shared" si="139"/>
        <v>395</v>
      </c>
      <c r="P732" s="4">
        <f>IF((((Price25[Cost]*1.5)+50)/0.835)&lt;2500,
MROUND((((( Price25[Cost]*1.5)+50)/0.835)*1.05)*2,10),
MROUND((((( Price25[Cost]*1.5)+50)/0.835)*1.18)*2,10))</f>
        <v>1180</v>
      </c>
      <c r="Q732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550</v>
      </c>
    </row>
    <row r="733" spans="1:17" x14ac:dyDescent="0.25">
      <c r="A733" s="1">
        <v>2025</v>
      </c>
      <c r="B733" s="18" t="s">
        <v>412</v>
      </c>
      <c r="C733" s="19" t="s">
        <v>171</v>
      </c>
      <c r="D733" s="19" t="s">
        <v>496</v>
      </c>
      <c r="E733" s="19" t="s">
        <v>139</v>
      </c>
      <c r="F733" s="19" t="s">
        <v>604</v>
      </c>
      <c r="G733" s="20">
        <v>280</v>
      </c>
      <c r="I733" s="20">
        <v>10</v>
      </c>
      <c r="J733" s="4">
        <f t="shared" si="134"/>
        <v>290</v>
      </c>
      <c r="K733" s="4">
        <f t="shared" si="135"/>
        <v>350</v>
      </c>
      <c r="L733" s="4">
        <f t="shared" si="136"/>
        <v>365</v>
      </c>
      <c r="M733" s="4">
        <f t="shared" si="137"/>
        <v>475</v>
      </c>
      <c r="N733" s="4">
        <f t="shared" si="138"/>
        <v>340</v>
      </c>
      <c r="O733" s="4">
        <f t="shared" si="139"/>
        <v>395</v>
      </c>
      <c r="P733" s="4">
        <f>IF((((Price25[Cost]*1.5)+50)/0.835)&lt;2500,
MROUND((((( Price25[Cost]*1.5)+50)/0.835)*1.05)*2,10),
MROUND((((( Price25[Cost]*1.5)+50)/0.835)*1.18)*2,10))</f>
        <v>1180</v>
      </c>
      <c r="Q733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550</v>
      </c>
    </row>
    <row r="734" spans="1:17" x14ac:dyDescent="0.25">
      <c r="A734" s="1"/>
      <c r="B734" s="18" t="s">
        <v>141</v>
      </c>
      <c r="C734" s="19" t="s">
        <v>171</v>
      </c>
      <c r="D734" s="19" t="s">
        <v>496</v>
      </c>
      <c r="E734" s="19" t="s">
        <v>139</v>
      </c>
      <c r="F734" s="19" t="s">
        <v>276</v>
      </c>
      <c r="G734" s="20">
        <v>295</v>
      </c>
      <c r="I734" s="20">
        <v>10</v>
      </c>
      <c r="J734" s="4">
        <f t="shared" si="134"/>
        <v>305</v>
      </c>
      <c r="K734" s="4">
        <f t="shared" si="135"/>
        <v>370</v>
      </c>
      <c r="L734" s="4">
        <f t="shared" si="136"/>
        <v>385</v>
      </c>
      <c r="M734" s="4">
        <f t="shared" si="137"/>
        <v>500</v>
      </c>
      <c r="N734" s="4">
        <f t="shared" si="138"/>
        <v>355</v>
      </c>
      <c r="O734" s="4">
        <f t="shared" si="139"/>
        <v>415</v>
      </c>
      <c r="P734" s="4">
        <f>IF((((Price25[Cost]*1.5)+50)/0.835)&lt;2500,
MROUND((((( Price25[Cost]*1.5)+50)/0.835)*1.05)*2,10),
MROUND((((( Price25[Cost]*1.5)+50)/0.835)*1.18)*2,10))</f>
        <v>1240</v>
      </c>
      <c r="Q734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570</v>
      </c>
    </row>
    <row r="735" spans="1:17" x14ac:dyDescent="0.25">
      <c r="A735" s="1"/>
      <c r="B735" s="18" t="s">
        <v>354</v>
      </c>
      <c r="C735" s="19" t="s">
        <v>171</v>
      </c>
      <c r="D735" s="19" t="s">
        <v>496</v>
      </c>
      <c r="E735" s="19" t="s">
        <v>139</v>
      </c>
      <c r="F735" s="19" t="s">
        <v>354</v>
      </c>
      <c r="G735" s="20">
        <v>240</v>
      </c>
      <c r="I735" s="20">
        <v>10</v>
      </c>
      <c r="J735" s="4">
        <f t="shared" si="134"/>
        <v>250</v>
      </c>
      <c r="K735" s="4">
        <f t="shared" si="135"/>
        <v>300</v>
      </c>
      <c r="L735" s="4">
        <f t="shared" si="136"/>
        <v>315</v>
      </c>
      <c r="M735" s="4">
        <f t="shared" si="137"/>
        <v>400</v>
      </c>
      <c r="N735" s="4">
        <f t="shared" si="138"/>
        <v>290</v>
      </c>
      <c r="O735" s="4">
        <f t="shared" si="139"/>
        <v>340</v>
      </c>
      <c r="P735" s="4">
        <f>IF((((Price25[Cost]*1.5)+50)/0.835)&lt;2500,
MROUND((((( Price25[Cost]*1.5)+50)/0.835)*1.05)*2,10),
MROUND((((( Price25[Cost]*1.5)+50)/0.835)*1.18)*2,10))</f>
        <v>1030</v>
      </c>
      <c r="Q735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470</v>
      </c>
    </row>
    <row r="736" spans="1:17" x14ac:dyDescent="0.25">
      <c r="A736" s="1">
        <v>2025</v>
      </c>
      <c r="B736" s="18" t="s">
        <v>607</v>
      </c>
      <c r="C736" s="19" t="s">
        <v>171</v>
      </c>
      <c r="D736" s="19" t="s">
        <v>496</v>
      </c>
      <c r="E736" s="19" t="s">
        <v>139</v>
      </c>
      <c r="F736" s="19" t="s">
        <v>607</v>
      </c>
      <c r="G736" s="20">
        <v>220</v>
      </c>
      <c r="I736" s="20">
        <v>10</v>
      </c>
      <c r="J736" s="4">
        <f t="shared" si="134"/>
        <v>230</v>
      </c>
      <c r="K736" s="4">
        <f t="shared" si="135"/>
        <v>280</v>
      </c>
      <c r="L736" s="4">
        <f t="shared" si="136"/>
        <v>290</v>
      </c>
      <c r="M736" s="4">
        <f t="shared" si="137"/>
        <v>375</v>
      </c>
      <c r="N736" s="4">
        <f t="shared" si="138"/>
        <v>270</v>
      </c>
      <c r="O736" s="4">
        <f t="shared" si="139"/>
        <v>315</v>
      </c>
      <c r="P736" s="4">
        <f>IF((((Price25[Cost]*1.5)+50)/0.835)&lt;2500,
MROUND((((( Price25[Cost]*1.5)+50)/0.835)*1.05)*2,10),
MROUND((((( Price25[Cost]*1.5)+50)/0.835)*1.18)*2,10))</f>
        <v>960</v>
      </c>
      <c r="Q736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450</v>
      </c>
    </row>
    <row r="737" spans="1:17" x14ac:dyDescent="0.25">
      <c r="A737" s="1">
        <v>2025</v>
      </c>
      <c r="B737" s="18" t="s">
        <v>608</v>
      </c>
      <c r="C737" s="19" t="s">
        <v>171</v>
      </c>
      <c r="D737" s="19" t="s">
        <v>496</v>
      </c>
      <c r="E737" s="19" t="s">
        <v>139</v>
      </c>
      <c r="F737" s="19" t="s">
        <v>608</v>
      </c>
      <c r="G737" s="20">
        <v>220</v>
      </c>
      <c r="I737" s="20">
        <v>10</v>
      </c>
      <c r="J737" s="4">
        <f t="shared" si="134"/>
        <v>230</v>
      </c>
      <c r="K737" s="4">
        <f t="shared" si="135"/>
        <v>280</v>
      </c>
      <c r="L737" s="4">
        <f t="shared" si="136"/>
        <v>290</v>
      </c>
      <c r="M737" s="4">
        <f t="shared" si="137"/>
        <v>375</v>
      </c>
      <c r="N737" s="4">
        <f t="shared" si="138"/>
        <v>270</v>
      </c>
      <c r="O737" s="4">
        <f t="shared" si="139"/>
        <v>315</v>
      </c>
      <c r="P737" s="4">
        <f>IF((((Price25[Cost]*1.5)+50)/0.835)&lt;2500,
MROUND((((( Price25[Cost]*1.5)+50)/0.835)*1.05)*2,10),
MROUND((((( Price25[Cost]*1.5)+50)/0.835)*1.18)*2,10))</f>
        <v>960</v>
      </c>
      <c r="Q737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450</v>
      </c>
    </row>
    <row r="738" spans="1:17" x14ac:dyDescent="0.25">
      <c r="A738" s="1"/>
      <c r="B738" s="18" t="s">
        <v>356</v>
      </c>
      <c r="C738" s="19" t="s">
        <v>171</v>
      </c>
      <c r="D738" s="19" t="s">
        <v>496</v>
      </c>
      <c r="E738" s="19" t="s">
        <v>139</v>
      </c>
      <c r="F738" s="19" t="s">
        <v>356</v>
      </c>
      <c r="G738" s="20">
        <v>180</v>
      </c>
      <c r="I738" s="20">
        <v>10</v>
      </c>
      <c r="J738" s="4">
        <f t="shared" si="134"/>
        <v>190</v>
      </c>
      <c r="K738" s="4">
        <f t="shared" si="135"/>
        <v>230</v>
      </c>
      <c r="L738" s="4">
        <f t="shared" si="136"/>
        <v>240</v>
      </c>
      <c r="M738" s="4">
        <f t="shared" si="137"/>
        <v>300</v>
      </c>
      <c r="N738" s="4">
        <f t="shared" si="138"/>
        <v>225</v>
      </c>
      <c r="O738" s="4">
        <f t="shared" si="139"/>
        <v>260</v>
      </c>
      <c r="P738" s="4">
        <f>IF((((Price25[Cost]*1.5)+50)/0.835)&lt;2500,
MROUND((((( Price25[Cost]*1.5)+50)/0.835)*1.05)*2,10),
MROUND((((( Price25[Cost]*1.5)+50)/0.835)*1.18)*2,10))</f>
        <v>800</v>
      </c>
      <c r="Q738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370</v>
      </c>
    </row>
    <row r="739" spans="1:17" x14ac:dyDescent="0.25">
      <c r="A739" s="1"/>
      <c r="B739" s="18" t="s">
        <v>371</v>
      </c>
      <c r="C739" s="19" t="s">
        <v>171</v>
      </c>
      <c r="D739" s="19" t="s">
        <v>496</v>
      </c>
      <c r="E739" s="19" t="s">
        <v>139</v>
      </c>
      <c r="F739" s="19" t="s">
        <v>372</v>
      </c>
      <c r="G739" s="20">
        <v>200</v>
      </c>
      <c r="I739" s="20">
        <v>10</v>
      </c>
      <c r="J739" s="4">
        <f t="shared" si="134"/>
        <v>210</v>
      </c>
      <c r="K739" s="4">
        <f t="shared" si="135"/>
        <v>255</v>
      </c>
      <c r="L739" s="4">
        <f t="shared" si="136"/>
        <v>265</v>
      </c>
      <c r="M739" s="4">
        <f t="shared" si="137"/>
        <v>350</v>
      </c>
      <c r="N739" s="4">
        <f t="shared" si="138"/>
        <v>245</v>
      </c>
      <c r="O739" s="4">
        <f t="shared" si="139"/>
        <v>285</v>
      </c>
      <c r="P739" s="4">
        <f>IF((((Price25[Cost]*1.5)+50)/0.835)&lt;2500,
MROUND((((( Price25[Cost]*1.5)+50)/0.835)*1.05)*2,10),
MROUND((((( Price25[Cost]*1.5)+50)/0.835)*1.18)*2,10))</f>
        <v>880</v>
      </c>
      <c r="Q739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420</v>
      </c>
    </row>
    <row r="740" spans="1:17" x14ac:dyDescent="0.25">
      <c r="A740" s="1"/>
      <c r="B740" s="18" t="s">
        <v>413</v>
      </c>
      <c r="C740" s="19" t="s">
        <v>171</v>
      </c>
      <c r="D740" s="19" t="s">
        <v>496</v>
      </c>
      <c r="E740" s="19" t="s">
        <v>139</v>
      </c>
      <c r="F740" s="19" t="s">
        <v>413</v>
      </c>
      <c r="G740" s="20">
        <v>180</v>
      </c>
      <c r="I740" s="20">
        <v>10</v>
      </c>
      <c r="J740" s="4">
        <f t="shared" si="134"/>
        <v>190</v>
      </c>
      <c r="K740" s="4">
        <f t="shared" si="135"/>
        <v>230</v>
      </c>
      <c r="L740" s="4">
        <f t="shared" si="136"/>
        <v>240</v>
      </c>
      <c r="M740" s="4">
        <f t="shared" si="137"/>
        <v>300</v>
      </c>
      <c r="N740" s="4">
        <f t="shared" si="138"/>
        <v>225</v>
      </c>
      <c r="O740" s="4">
        <f t="shared" si="139"/>
        <v>260</v>
      </c>
      <c r="P740" s="4">
        <f>IF((((Price25[Cost]*1.5)+50)/0.835)&lt;2500,
MROUND((((( Price25[Cost]*1.5)+50)/0.835)*1.05)*2,10),
MROUND((((( Price25[Cost]*1.5)+50)/0.835)*1.18)*2,10))</f>
        <v>800</v>
      </c>
      <c r="Q740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370</v>
      </c>
    </row>
    <row r="741" spans="1:17" x14ac:dyDescent="0.25">
      <c r="A741" s="1">
        <v>2025</v>
      </c>
      <c r="B741" s="18" t="s">
        <v>611</v>
      </c>
      <c r="C741" s="19" t="s">
        <v>171</v>
      </c>
      <c r="D741" s="19" t="s">
        <v>496</v>
      </c>
      <c r="E741" s="19" t="s">
        <v>139</v>
      </c>
      <c r="F741" s="19" t="s">
        <v>611</v>
      </c>
      <c r="G741" s="20">
        <v>250</v>
      </c>
      <c r="I741" s="20">
        <v>10</v>
      </c>
      <c r="J741" s="4">
        <f t="shared" si="134"/>
        <v>260</v>
      </c>
      <c r="K741" s="4">
        <f t="shared" si="135"/>
        <v>310</v>
      </c>
      <c r="L741" s="4">
        <f t="shared" si="136"/>
        <v>325</v>
      </c>
      <c r="M741" s="4">
        <f t="shared" si="137"/>
        <v>425</v>
      </c>
      <c r="N741" s="4">
        <f t="shared" si="138"/>
        <v>300</v>
      </c>
      <c r="O741" s="4">
        <f t="shared" si="139"/>
        <v>350</v>
      </c>
      <c r="P741" s="4">
        <f>IF((((Price25[Cost]*1.5)+50)/0.835)&lt;2500,
MROUND((((( Price25[Cost]*1.5)+50)/0.835)*1.05)*2,10),
MROUND((((( Price25[Cost]*1.5)+50)/0.835)*1.18)*2,10))</f>
        <v>1070</v>
      </c>
      <c r="Q741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500</v>
      </c>
    </row>
    <row r="742" spans="1:17" x14ac:dyDescent="0.25">
      <c r="A742" s="1"/>
      <c r="B742" s="18" t="s">
        <v>414</v>
      </c>
      <c r="C742" s="19" t="s">
        <v>171</v>
      </c>
      <c r="D742" s="19" t="s">
        <v>496</v>
      </c>
      <c r="E742" s="19" t="s">
        <v>139</v>
      </c>
      <c r="F742" s="19" t="s">
        <v>414</v>
      </c>
      <c r="G742" s="20">
        <v>200</v>
      </c>
      <c r="I742" s="20">
        <v>10</v>
      </c>
      <c r="J742" s="4">
        <f t="shared" si="134"/>
        <v>210</v>
      </c>
      <c r="K742" s="4">
        <f t="shared" si="135"/>
        <v>255</v>
      </c>
      <c r="L742" s="4">
        <f t="shared" si="136"/>
        <v>265</v>
      </c>
      <c r="M742" s="4">
        <f t="shared" si="137"/>
        <v>350</v>
      </c>
      <c r="N742" s="4">
        <f t="shared" si="138"/>
        <v>245</v>
      </c>
      <c r="O742" s="4">
        <f t="shared" si="139"/>
        <v>285</v>
      </c>
      <c r="P742" s="4">
        <f>IF((((Price25[Cost]*1.5)+50)/0.835)&lt;2500,
MROUND((((( Price25[Cost]*1.5)+50)/0.835)*1.05)*2,10),
MROUND((((( Price25[Cost]*1.5)+50)/0.835)*1.18)*2,10))</f>
        <v>880</v>
      </c>
      <c r="Q742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420</v>
      </c>
    </row>
    <row r="743" spans="1:17" x14ac:dyDescent="0.25">
      <c r="A743" s="1"/>
      <c r="B743" s="18" t="s">
        <v>142</v>
      </c>
      <c r="C743" s="19" t="s">
        <v>171</v>
      </c>
      <c r="D743" s="19" t="s">
        <v>496</v>
      </c>
      <c r="E743" s="19" t="s">
        <v>139</v>
      </c>
      <c r="F743" s="19" t="s">
        <v>142</v>
      </c>
      <c r="G743" s="20">
        <v>240</v>
      </c>
      <c r="I743" s="20">
        <v>10</v>
      </c>
      <c r="J743" s="4">
        <f t="shared" si="134"/>
        <v>250</v>
      </c>
      <c r="K743" s="4">
        <f t="shared" si="135"/>
        <v>300</v>
      </c>
      <c r="L743" s="4">
        <f t="shared" si="136"/>
        <v>315</v>
      </c>
      <c r="M743" s="4">
        <f t="shared" si="137"/>
        <v>400</v>
      </c>
      <c r="N743" s="4">
        <f t="shared" si="138"/>
        <v>290</v>
      </c>
      <c r="O743" s="4">
        <f t="shared" si="139"/>
        <v>340</v>
      </c>
      <c r="P743" s="4">
        <f>IF((((Price25[Cost]*1.5)+50)/0.835)&lt;2500,
MROUND((((( Price25[Cost]*1.5)+50)/0.835)*1.05)*2,10),
MROUND((((( Price25[Cost]*1.5)+50)/0.835)*1.18)*2,10))</f>
        <v>1030</v>
      </c>
      <c r="Q743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470</v>
      </c>
    </row>
    <row r="744" spans="1:17" x14ac:dyDescent="0.25">
      <c r="A744" s="1"/>
      <c r="B744" s="18" t="s">
        <v>143</v>
      </c>
      <c r="C744" s="19" t="s">
        <v>171</v>
      </c>
      <c r="D744" s="19" t="s">
        <v>496</v>
      </c>
      <c r="E744" s="19" t="s">
        <v>139</v>
      </c>
      <c r="F744" s="19" t="s">
        <v>143</v>
      </c>
      <c r="G744" s="20">
        <v>240</v>
      </c>
      <c r="I744" s="20">
        <v>10</v>
      </c>
      <c r="J744" s="4">
        <f t="shared" si="134"/>
        <v>250</v>
      </c>
      <c r="K744" s="4">
        <f t="shared" si="135"/>
        <v>300</v>
      </c>
      <c r="L744" s="4">
        <f t="shared" si="136"/>
        <v>315</v>
      </c>
      <c r="M744" s="4">
        <f t="shared" si="137"/>
        <v>400</v>
      </c>
      <c r="N744" s="4">
        <f t="shared" si="138"/>
        <v>290</v>
      </c>
      <c r="O744" s="4">
        <f t="shared" si="139"/>
        <v>340</v>
      </c>
      <c r="P744" s="4">
        <f>IF((((Price25[Cost]*1.5)+50)/0.835)&lt;2500,
MROUND((((( Price25[Cost]*1.5)+50)/0.835)*1.05)*2,10),
MROUND((((( Price25[Cost]*1.5)+50)/0.835)*1.18)*2,10))</f>
        <v>1030</v>
      </c>
      <c r="Q744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470</v>
      </c>
    </row>
    <row r="745" spans="1:17" x14ac:dyDescent="0.25">
      <c r="A745" s="1"/>
      <c r="B745" s="18" t="s">
        <v>144</v>
      </c>
      <c r="C745" s="19" t="s">
        <v>171</v>
      </c>
      <c r="D745" s="19" t="s">
        <v>496</v>
      </c>
      <c r="E745" s="19" t="s">
        <v>139</v>
      </c>
      <c r="F745" s="19" t="s">
        <v>144</v>
      </c>
      <c r="G745" s="20">
        <v>220</v>
      </c>
      <c r="I745" s="20">
        <v>10</v>
      </c>
      <c r="J745" s="4">
        <f t="shared" si="134"/>
        <v>230</v>
      </c>
      <c r="K745" s="4">
        <f t="shared" si="135"/>
        <v>280</v>
      </c>
      <c r="L745" s="4">
        <f t="shared" si="136"/>
        <v>290</v>
      </c>
      <c r="M745" s="4">
        <f t="shared" si="137"/>
        <v>375</v>
      </c>
      <c r="N745" s="4">
        <f t="shared" si="138"/>
        <v>270</v>
      </c>
      <c r="O745" s="4">
        <f t="shared" si="139"/>
        <v>315</v>
      </c>
      <c r="P745" s="4">
        <f>IF((((Price25[Cost]*1.5)+50)/0.835)&lt;2500,
MROUND((((( Price25[Cost]*1.5)+50)/0.835)*1.05)*2,10),
MROUND((((( Price25[Cost]*1.5)+50)/0.835)*1.18)*2,10))</f>
        <v>960</v>
      </c>
      <c r="Q745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450</v>
      </c>
    </row>
    <row r="746" spans="1:17" x14ac:dyDescent="0.25">
      <c r="A746" s="1"/>
      <c r="B746" s="18" t="s">
        <v>423</v>
      </c>
      <c r="C746" s="19" t="s">
        <v>171</v>
      </c>
      <c r="D746" s="19" t="s">
        <v>496</v>
      </c>
      <c r="E746" s="19" t="s">
        <v>139</v>
      </c>
      <c r="F746" s="19" t="s">
        <v>423</v>
      </c>
      <c r="G746" s="20">
        <v>200</v>
      </c>
      <c r="I746" s="20">
        <v>10</v>
      </c>
      <c r="J746" s="4">
        <f t="shared" si="134"/>
        <v>210</v>
      </c>
      <c r="K746" s="4">
        <f t="shared" si="135"/>
        <v>255</v>
      </c>
      <c r="L746" s="4">
        <f t="shared" si="136"/>
        <v>265</v>
      </c>
      <c r="M746" s="4">
        <f t="shared" si="137"/>
        <v>350</v>
      </c>
      <c r="N746" s="4">
        <f t="shared" si="138"/>
        <v>245</v>
      </c>
      <c r="O746" s="4">
        <f t="shared" si="139"/>
        <v>285</v>
      </c>
      <c r="P746" s="4">
        <f>IF((((Price25[Cost]*1.5)+50)/0.835)&lt;2500,
MROUND((((( Price25[Cost]*1.5)+50)/0.835)*1.05)*2,10),
MROUND((((( Price25[Cost]*1.5)+50)/0.835)*1.18)*2,10))</f>
        <v>880</v>
      </c>
      <c r="Q746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420</v>
      </c>
    </row>
    <row r="747" spans="1:17" x14ac:dyDescent="0.25">
      <c r="A747" s="1"/>
      <c r="B747" s="18" t="s">
        <v>415</v>
      </c>
      <c r="C747" s="19" t="s">
        <v>171</v>
      </c>
      <c r="D747" s="19" t="s">
        <v>496</v>
      </c>
      <c r="E747" s="19" t="s">
        <v>139</v>
      </c>
      <c r="F747" s="19" t="s">
        <v>415</v>
      </c>
      <c r="G747" s="20">
        <v>200</v>
      </c>
      <c r="I747" s="20">
        <v>10</v>
      </c>
      <c r="J747" s="4">
        <f t="shared" si="134"/>
        <v>210</v>
      </c>
      <c r="K747" s="4">
        <f t="shared" si="135"/>
        <v>255</v>
      </c>
      <c r="L747" s="4">
        <f t="shared" si="136"/>
        <v>265</v>
      </c>
      <c r="M747" s="4">
        <f t="shared" si="137"/>
        <v>350</v>
      </c>
      <c r="N747" s="4">
        <f t="shared" si="138"/>
        <v>245</v>
      </c>
      <c r="O747" s="4">
        <f t="shared" si="139"/>
        <v>285</v>
      </c>
      <c r="P747" s="4">
        <f>IF((((Price25[Cost]*1.5)+50)/0.835)&lt;2500,
MROUND((((( Price25[Cost]*1.5)+50)/0.835)*1.05)*2,10),
MROUND((((( Price25[Cost]*1.5)+50)/0.835)*1.18)*2,10))</f>
        <v>880</v>
      </c>
      <c r="Q747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420</v>
      </c>
    </row>
    <row r="748" spans="1:17" x14ac:dyDescent="0.25">
      <c r="A748" s="1">
        <v>2025</v>
      </c>
      <c r="B748" s="18" t="s">
        <v>610</v>
      </c>
      <c r="C748" s="19" t="s">
        <v>171</v>
      </c>
      <c r="D748" s="19" t="s">
        <v>496</v>
      </c>
      <c r="E748" s="19" t="s">
        <v>139</v>
      </c>
      <c r="F748" s="19" t="s">
        <v>610</v>
      </c>
      <c r="G748" s="20">
        <v>190</v>
      </c>
      <c r="I748" s="20">
        <v>10</v>
      </c>
      <c r="J748" s="4">
        <f t="shared" si="134"/>
        <v>200</v>
      </c>
      <c r="K748" s="4">
        <f t="shared" si="135"/>
        <v>240</v>
      </c>
      <c r="L748" s="4">
        <f t="shared" si="136"/>
        <v>250</v>
      </c>
      <c r="M748" s="4">
        <f t="shared" si="137"/>
        <v>325</v>
      </c>
      <c r="N748" s="4">
        <f t="shared" si="138"/>
        <v>230</v>
      </c>
      <c r="O748" s="4">
        <f t="shared" si="139"/>
        <v>270</v>
      </c>
      <c r="P748" s="4">
        <f>IF((((Price25[Cost]*1.5)+50)/0.835)&lt;2500,
MROUND((((( Price25[Cost]*1.5)+50)/0.835)*1.05)*2,10),
MROUND((((( Price25[Cost]*1.5)+50)/0.835)*1.18)*2,10))</f>
        <v>840</v>
      </c>
      <c r="Q748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400</v>
      </c>
    </row>
    <row r="749" spans="1:17" x14ac:dyDescent="0.25">
      <c r="A749" s="1"/>
      <c r="B749" s="18" t="s">
        <v>145</v>
      </c>
      <c r="C749" s="19" t="s">
        <v>171</v>
      </c>
      <c r="D749" s="19" t="s">
        <v>496</v>
      </c>
      <c r="E749" s="19" t="s">
        <v>139</v>
      </c>
      <c r="F749" s="19" t="s">
        <v>145</v>
      </c>
      <c r="G749" s="20">
        <v>240</v>
      </c>
      <c r="I749" s="20">
        <v>10</v>
      </c>
      <c r="J749" s="4">
        <f t="shared" si="134"/>
        <v>250</v>
      </c>
      <c r="K749" s="4">
        <f t="shared" si="135"/>
        <v>300</v>
      </c>
      <c r="L749" s="4">
        <f t="shared" si="136"/>
        <v>315</v>
      </c>
      <c r="M749" s="4">
        <f t="shared" si="137"/>
        <v>400</v>
      </c>
      <c r="N749" s="4">
        <f t="shared" si="138"/>
        <v>290</v>
      </c>
      <c r="O749" s="4">
        <f t="shared" si="139"/>
        <v>340</v>
      </c>
      <c r="P749" s="4">
        <f>IF((((Price25[Cost]*1.5)+50)/0.835)&lt;2500,
MROUND((((( Price25[Cost]*1.5)+50)/0.835)*1.05)*2,10),
MROUND((((( Price25[Cost]*1.5)+50)/0.835)*1.18)*2,10))</f>
        <v>1030</v>
      </c>
      <c r="Q749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470</v>
      </c>
    </row>
    <row r="750" spans="1:17" x14ac:dyDescent="0.25">
      <c r="A750" s="1"/>
      <c r="B750" s="18" t="s">
        <v>353</v>
      </c>
      <c r="C750" s="19" t="s">
        <v>171</v>
      </c>
      <c r="D750" s="19" t="s">
        <v>496</v>
      </c>
      <c r="E750" s="19" t="s">
        <v>139</v>
      </c>
      <c r="F750" s="19" t="s">
        <v>353</v>
      </c>
      <c r="G750" s="20">
        <v>230</v>
      </c>
      <c r="I750" s="20">
        <v>10</v>
      </c>
      <c r="J750" s="4">
        <f t="shared" si="134"/>
        <v>240</v>
      </c>
      <c r="K750" s="4">
        <f t="shared" si="135"/>
        <v>285</v>
      </c>
      <c r="L750" s="4">
        <f t="shared" si="136"/>
        <v>300</v>
      </c>
      <c r="M750" s="4">
        <f t="shared" si="137"/>
        <v>400</v>
      </c>
      <c r="N750" s="4">
        <f t="shared" si="138"/>
        <v>280</v>
      </c>
      <c r="O750" s="4">
        <f t="shared" si="139"/>
        <v>325</v>
      </c>
      <c r="P750" s="4">
        <f>IF((((Price25[Cost]*1.5)+50)/0.835)&lt;2500,
MROUND((((( Price25[Cost]*1.5)+50)/0.835)*1.05)*2,10),
MROUND((((( Price25[Cost]*1.5)+50)/0.835)*1.18)*2,10))</f>
        <v>990</v>
      </c>
      <c r="Q750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470</v>
      </c>
    </row>
    <row r="751" spans="1:17" x14ac:dyDescent="0.25">
      <c r="A751" s="1"/>
      <c r="B751" s="18" t="s">
        <v>364</v>
      </c>
      <c r="C751" s="19" t="s">
        <v>171</v>
      </c>
      <c r="D751" s="19" t="s">
        <v>496</v>
      </c>
      <c r="E751" s="19" t="s">
        <v>139</v>
      </c>
      <c r="F751" s="19" t="s">
        <v>364</v>
      </c>
      <c r="G751" s="20">
        <v>190</v>
      </c>
      <c r="I751" s="20">
        <v>10</v>
      </c>
      <c r="J751" s="4">
        <f t="shared" si="134"/>
        <v>200</v>
      </c>
      <c r="K751" s="4">
        <f t="shared" si="135"/>
        <v>240</v>
      </c>
      <c r="L751" s="4">
        <f t="shared" si="136"/>
        <v>250</v>
      </c>
      <c r="M751" s="4">
        <f t="shared" si="137"/>
        <v>325</v>
      </c>
      <c r="N751" s="4">
        <f t="shared" si="138"/>
        <v>230</v>
      </c>
      <c r="O751" s="4">
        <f t="shared" si="139"/>
        <v>270</v>
      </c>
      <c r="P751" s="4">
        <f>IF((((Price25[Cost]*1.5)+50)/0.835)&lt;2500,
MROUND((((( Price25[Cost]*1.5)+50)/0.835)*1.05)*2,10),
MROUND((((( Price25[Cost]*1.5)+50)/0.835)*1.18)*2,10))</f>
        <v>840</v>
      </c>
      <c r="Q751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400</v>
      </c>
    </row>
    <row r="752" spans="1:17" x14ac:dyDescent="0.25">
      <c r="A752" s="1"/>
      <c r="B752" s="18" t="s">
        <v>357</v>
      </c>
      <c r="C752" s="19" t="s">
        <v>171</v>
      </c>
      <c r="D752" s="19" t="s">
        <v>496</v>
      </c>
      <c r="E752" s="19" t="s">
        <v>139</v>
      </c>
      <c r="F752" s="19" t="s">
        <v>357</v>
      </c>
      <c r="G752" s="20">
        <v>235</v>
      </c>
      <c r="I752" s="20">
        <v>10</v>
      </c>
      <c r="J752" s="4">
        <f t="shared" ref="J752:J806" si="140">IF(SUMIF(G752:I752,"&lt;&gt;")=0,"",SUM(G752:I752))</f>
        <v>245</v>
      </c>
      <c r="K752" s="4">
        <f t="shared" si="135"/>
        <v>295</v>
      </c>
      <c r="L752" s="4">
        <f t="shared" si="136"/>
        <v>310</v>
      </c>
      <c r="M752" s="4">
        <f t="shared" si="137"/>
        <v>400</v>
      </c>
      <c r="N752" s="4">
        <f t="shared" si="138"/>
        <v>290</v>
      </c>
      <c r="O752" s="4">
        <f t="shared" si="139"/>
        <v>335</v>
      </c>
      <c r="P752" s="4">
        <f>IF((((Price25[Cost]*1.5)+50)/0.835)&lt;2500,
MROUND((((( Price25[Cost]*1.5)+50)/0.835)*1.05)*2,10),
MROUND((((( Price25[Cost]*1.5)+50)/0.835)*1.18)*2,10))</f>
        <v>1010</v>
      </c>
      <c r="Q752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470</v>
      </c>
    </row>
    <row r="753" spans="1:17" x14ac:dyDescent="0.25">
      <c r="A753" s="1"/>
      <c r="B753" s="18" t="s">
        <v>405</v>
      </c>
      <c r="C753" s="19" t="s">
        <v>171</v>
      </c>
      <c r="D753" s="19" t="s">
        <v>496</v>
      </c>
      <c r="E753" s="19" t="s">
        <v>139</v>
      </c>
      <c r="F753" s="19" t="s">
        <v>405</v>
      </c>
      <c r="G753" s="20">
        <v>170</v>
      </c>
      <c r="I753" s="20">
        <v>10</v>
      </c>
      <c r="J753" s="4">
        <f t="shared" si="140"/>
        <v>180</v>
      </c>
      <c r="K753" s="4">
        <f t="shared" si="135"/>
        <v>215</v>
      </c>
      <c r="L753" s="4">
        <f t="shared" si="136"/>
        <v>225</v>
      </c>
      <c r="M753" s="4">
        <f t="shared" si="137"/>
        <v>300</v>
      </c>
      <c r="N753" s="4">
        <f t="shared" si="138"/>
        <v>210</v>
      </c>
      <c r="O753" s="4">
        <f t="shared" si="139"/>
        <v>245</v>
      </c>
      <c r="P753" s="4">
        <f>IF((((Price25[Cost]*1.5)+50)/0.835)&lt;2500,
MROUND((((( Price25[Cost]*1.5)+50)/0.835)*1.05)*2,10),
MROUND((((( Price25[Cost]*1.5)+50)/0.835)*1.18)*2,10))</f>
        <v>770</v>
      </c>
      <c r="Q753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370</v>
      </c>
    </row>
    <row r="754" spans="1:17" x14ac:dyDescent="0.25">
      <c r="A754" s="1"/>
      <c r="B754" s="18" t="s">
        <v>359</v>
      </c>
      <c r="C754" s="19" t="s">
        <v>171</v>
      </c>
      <c r="D754" s="19" t="s">
        <v>496</v>
      </c>
      <c r="E754" s="19" t="s">
        <v>139</v>
      </c>
      <c r="F754" s="19" t="s">
        <v>359</v>
      </c>
      <c r="G754" s="20">
        <v>220</v>
      </c>
      <c r="I754" s="20">
        <v>10</v>
      </c>
      <c r="J754" s="4">
        <f t="shared" si="140"/>
        <v>230</v>
      </c>
      <c r="K754" s="4">
        <f t="shared" si="135"/>
        <v>280</v>
      </c>
      <c r="L754" s="4">
        <f t="shared" si="136"/>
        <v>290</v>
      </c>
      <c r="M754" s="4">
        <f t="shared" si="137"/>
        <v>375</v>
      </c>
      <c r="N754" s="4">
        <f t="shared" si="138"/>
        <v>270</v>
      </c>
      <c r="O754" s="4">
        <f t="shared" si="139"/>
        <v>315</v>
      </c>
      <c r="P754" s="4">
        <f>IF((((Price25[Cost]*1.5)+50)/0.835)&lt;2500,
MROUND((((( Price25[Cost]*1.5)+50)/0.835)*1.05)*2,10),
MROUND((((( Price25[Cost]*1.5)+50)/0.835)*1.18)*2,10))</f>
        <v>960</v>
      </c>
      <c r="Q754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450</v>
      </c>
    </row>
    <row r="755" spans="1:17" x14ac:dyDescent="0.25">
      <c r="A755" s="1"/>
      <c r="B755" s="18" t="s">
        <v>409</v>
      </c>
      <c r="C755" s="19" t="s">
        <v>171</v>
      </c>
      <c r="D755" s="19" t="s">
        <v>496</v>
      </c>
      <c r="E755" s="19" t="s">
        <v>139</v>
      </c>
      <c r="F755" s="19" t="s">
        <v>409</v>
      </c>
      <c r="G755" s="20">
        <v>220</v>
      </c>
      <c r="I755" s="20">
        <v>10</v>
      </c>
      <c r="J755" s="4">
        <f t="shared" si="140"/>
        <v>230</v>
      </c>
      <c r="K755" s="4">
        <f t="shared" si="135"/>
        <v>280</v>
      </c>
      <c r="L755" s="4">
        <f t="shared" si="136"/>
        <v>290</v>
      </c>
      <c r="M755" s="4">
        <f t="shared" si="137"/>
        <v>375</v>
      </c>
      <c r="N755" s="4">
        <f t="shared" si="138"/>
        <v>270</v>
      </c>
      <c r="O755" s="4">
        <f t="shared" si="139"/>
        <v>315</v>
      </c>
      <c r="P755" s="4">
        <f>IF((((Price25[Cost]*1.5)+50)/0.835)&lt;2500,
MROUND((((( Price25[Cost]*1.5)+50)/0.835)*1.05)*2,10),
MROUND((((( Price25[Cost]*1.5)+50)/0.835)*1.18)*2,10))</f>
        <v>960</v>
      </c>
      <c r="Q755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450</v>
      </c>
    </row>
    <row r="756" spans="1:17" x14ac:dyDescent="0.25">
      <c r="A756" s="1"/>
      <c r="B756" s="18" t="s">
        <v>271</v>
      </c>
      <c r="C756" s="19" t="s">
        <v>171</v>
      </c>
      <c r="D756" s="19" t="s">
        <v>496</v>
      </c>
      <c r="E756" s="19" t="s">
        <v>139</v>
      </c>
      <c r="F756" s="19" t="s">
        <v>271</v>
      </c>
      <c r="G756" s="20">
        <v>240</v>
      </c>
      <c r="I756" s="20">
        <v>10</v>
      </c>
      <c r="J756" s="4">
        <f t="shared" si="140"/>
        <v>250</v>
      </c>
      <c r="K756" s="4">
        <f t="shared" si="135"/>
        <v>300</v>
      </c>
      <c r="L756" s="4">
        <f t="shared" si="136"/>
        <v>315</v>
      </c>
      <c r="M756" s="4">
        <f t="shared" si="137"/>
        <v>400</v>
      </c>
      <c r="N756" s="4">
        <f t="shared" si="138"/>
        <v>290</v>
      </c>
      <c r="O756" s="4">
        <f t="shared" si="139"/>
        <v>340</v>
      </c>
      <c r="P756" s="4">
        <f>IF((((Price25[Cost]*1.5)+50)/0.835)&lt;2500,
MROUND((((( Price25[Cost]*1.5)+50)/0.835)*1.05)*2,10),
MROUND((((( Price25[Cost]*1.5)+50)/0.835)*1.18)*2,10))</f>
        <v>1030</v>
      </c>
      <c r="Q756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470</v>
      </c>
    </row>
    <row r="757" spans="1:17" x14ac:dyDescent="0.25">
      <c r="A757" s="1"/>
      <c r="B757" s="18" t="s">
        <v>274</v>
      </c>
      <c r="C757" s="19" t="s">
        <v>171</v>
      </c>
      <c r="D757" s="19" t="s">
        <v>496</v>
      </c>
      <c r="E757" s="19" t="s">
        <v>139</v>
      </c>
      <c r="F757" s="19" t="s">
        <v>274</v>
      </c>
      <c r="G757" s="20">
        <v>240</v>
      </c>
      <c r="I757" s="20">
        <v>10</v>
      </c>
      <c r="J757" s="4">
        <f t="shared" si="140"/>
        <v>250</v>
      </c>
      <c r="K757" s="4">
        <f t="shared" si="135"/>
        <v>300</v>
      </c>
      <c r="L757" s="4">
        <f t="shared" si="136"/>
        <v>315</v>
      </c>
      <c r="M757" s="4">
        <f t="shared" si="137"/>
        <v>400</v>
      </c>
      <c r="N757" s="4">
        <f t="shared" si="138"/>
        <v>290</v>
      </c>
      <c r="O757" s="4">
        <f t="shared" si="139"/>
        <v>340</v>
      </c>
      <c r="P757" s="4">
        <f>IF((((Price25[Cost]*1.5)+50)/0.835)&lt;2500,
MROUND((((( Price25[Cost]*1.5)+50)/0.835)*1.05)*2,10),
MROUND((((( Price25[Cost]*1.5)+50)/0.835)*1.18)*2,10))</f>
        <v>1030</v>
      </c>
      <c r="Q757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470</v>
      </c>
    </row>
    <row r="758" spans="1:17" x14ac:dyDescent="0.25">
      <c r="A758" s="1"/>
      <c r="B758" s="18" t="s">
        <v>365</v>
      </c>
      <c r="C758" s="19" t="s">
        <v>171</v>
      </c>
      <c r="D758" s="19" t="s">
        <v>496</v>
      </c>
      <c r="E758" s="19" t="s">
        <v>139</v>
      </c>
      <c r="F758" s="19" t="s">
        <v>365</v>
      </c>
      <c r="G758" s="20">
        <v>235</v>
      </c>
      <c r="I758" s="20">
        <v>10</v>
      </c>
      <c r="J758" s="4">
        <f t="shared" si="140"/>
        <v>245</v>
      </c>
      <c r="K758" s="4">
        <f t="shared" si="135"/>
        <v>295</v>
      </c>
      <c r="L758" s="4">
        <f t="shared" si="136"/>
        <v>310</v>
      </c>
      <c r="M758" s="4">
        <f t="shared" si="137"/>
        <v>400</v>
      </c>
      <c r="N758" s="4">
        <f t="shared" si="138"/>
        <v>290</v>
      </c>
      <c r="O758" s="4">
        <f t="shared" si="139"/>
        <v>335</v>
      </c>
      <c r="P758" s="4">
        <f>IF((((Price25[Cost]*1.5)+50)/0.835)&lt;2500,
MROUND((((( Price25[Cost]*1.5)+50)/0.835)*1.05)*2,10),
MROUND((((( Price25[Cost]*1.5)+50)/0.835)*1.18)*2,10))</f>
        <v>1010</v>
      </c>
      <c r="Q758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470</v>
      </c>
    </row>
    <row r="759" spans="1:17" x14ac:dyDescent="0.25">
      <c r="A759" s="1"/>
      <c r="B759" s="18" t="s">
        <v>270</v>
      </c>
      <c r="C759" s="19" t="s">
        <v>171</v>
      </c>
      <c r="D759" s="19" t="s">
        <v>496</v>
      </c>
      <c r="E759" s="19" t="s">
        <v>139</v>
      </c>
      <c r="F759" s="19" t="s">
        <v>270</v>
      </c>
      <c r="G759" s="20">
        <v>220</v>
      </c>
      <c r="I759" s="20">
        <v>10</v>
      </c>
      <c r="J759" s="4">
        <f t="shared" si="140"/>
        <v>230</v>
      </c>
      <c r="K759" s="4">
        <f t="shared" si="135"/>
        <v>280</v>
      </c>
      <c r="L759" s="4">
        <f t="shared" si="136"/>
        <v>290</v>
      </c>
      <c r="M759" s="4">
        <f t="shared" si="137"/>
        <v>375</v>
      </c>
      <c r="N759" s="4">
        <f t="shared" si="138"/>
        <v>270</v>
      </c>
      <c r="O759" s="4">
        <f t="shared" si="139"/>
        <v>315</v>
      </c>
      <c r="P759" s="4">
        <f>IF((((Price25[Cost]*1.5)+50)/0.835)&lt;2500,
MROUND((((( Price25[Cost]*1.5)+50)/0.835)*1.05)*2,10),
MROUND((((( Price25[Cost]*1.5)+50)/0.835)*1.18)*2,10))</f>
        <v>960</v>
      </c>
      <c r="Q759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450</v>
      </c>
    </row>
    <row r="760" spans="1:17" x14ac:dyDescent="0.25">
      <c r="A760" s="1"/>
      <c r="B760" s="18" t="s">
        <v>416</v>
      </c>
      <c r="C760" s="19" t="s">
        <v>171</v>
      </c>
      <c r="D760" s="19" t="s">
        <v>496</v>
      </c>
      <c r="E760" s="19" t="s">
        <v>139</v>
      </c>
      <c r="F760" s="19" t="s">
        <v>416</v>
      </c>
      <c r="G760" s="20">
        <v>180</v>
      </c>
      <c r="I760" s="20">
        <v>10</v>
      </c>
      <c r="J760" s="4">
        <f t="shared" si="140"/>
        <v>190</v>
      </c>
      <c r="K760" s="4">
        <f t="shared" si="135"/>
        <v>230</v>
      </c>
      <c r="L760" s="4">
        <f t="shared" si="136"/>
        <v>240</v>
      </c>
      <c r="M760" s="4">
        <f t="shared" si="137"/>
        <v>300</v>
      </c>
      <c r="N760" s="4">
        <f t="shared" si="138"/>
        <v>225</v>
      </c>
      <c r="O760" s="4">
        <f t="shared" si="139"/>
        <v>260</v>
      </c>
      <c r="P760" s="4">
        <f>IF((((Price25[Cost]*1.5)+50)/0.835)&lt;2500,
MROUND((((( Price25[Cost]*1.5)+50)/0.835)*1.05)*2,10),
MROUND((((( Price25[Cost]*1.5)+50)/0.835)*1.18)*2,10))</f>
        <v>800</v>
      </c>
      <c r="Q760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370</v>
      </c>
    </row>
    <row r="761" spans="1:17" x14ac:dyDescent="0.25">
      <c r="A761" s="1"/>
      <c r="B761" s="18" t="s">
        <v>361</v>
      </c>
      <c r="C761" s="19" t="s">
        <v>171</v>
      </c>
      <c r="D761" s="19" t="s">
        <v>496</v>
      </c>
      <c r="E761" s="19" t="s">
        <v>139</v>
      </c>
      <c r="F761" s="19" t="s">
        <v>361</v>
      </c>
      <c r="G761" s="20">
        <v>210</v>
      </c>
      <c r="I761" s="20">
        <v>10</v>
      </c>
      <c r="J761" s="4">
        <f t="shared" si="140"/>
        <v>220</v>
      </c>
      <c r="K761" s="4">
        <f t="shared" si="135"/>
        <v>265</v>
      </c>
      <c r="L761" s="4">
        <f t="shared" si="136"/>
        <v>275</v>
      </c>
      <c r="M761" s="4">
        <f t="shared" si="137"/>
        <v>350</v>
      </c>
      <c r="N761" s="4">
        <f t="shared" si="138"/>
        <v>255</v>
      </c>
      <c r="O761" s="4">
        <f t="shared" si="139"/>
        <v>295</v>
      </c>
      <c r="P761" s="4">
        <f>IF((((Price25[Cost]*1.5)+50)/0.835)&lt;2500,
MROUND((((( Price25[Cost]*1.5)+50)/0.835)*1.05)*2,10),
MROUND((((( Price25[Cost]*1.5)+50)/0.835)*1.18)*2,10))</f>
        <v>920</v>
      </c>
      <c r="Q761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420</v>
      </c>
    </row>
    <row r="762" spans="1:17" x14ac:dyDescent="0.25">
      <c r="A762" s="1"/>
      <c r="B762" s="18" t="s">
        <v>406</v>
      </c>
      <c r="C762" s="19" t="s">
        <v>171</v>
      </c>
      <c r="D762" s="19" t="s">
        <v>496</v>
      </c>
      <c r="E762" s="19" t="s">
        <v>139</v>
      </c>
      <c r="F762" s="19" t="s">
        <v>407</v>
      </c>
      <c r="G762" s="20">
        <v>200</v>
      </c>
      <c r="I762" s="20">
        <v>10</v>
      </c>
      <c r="J762" s="4">
        <f t="shared" si="140"/>
        <v>210</v>
      </c>
      <c r="K762" s="4">
        <f t="shared" si="135"/>
        <v>255</v>
      </c>
      <c r="L762" s="4">
        <f t="shared" si="136"/>
        <v>265</v>
      </c>
      <c r="M762" s="4">
        <f t="shared" si="137"/>
        <v>350</v>
      </c>
      <c r="N762" s="4">
        <f t="shared" si="138"/>
        <v>245</v>
      </c>
      <c r="O762" s="4">
        <f t="shared" si="139"/>
        <v>285</v>
      </c>
      <c r="P762" s="4">
        <f>IF((((Price25[Cost]*1.5)+50)/0.835)&lt;2500,
MROUND((((( Price25[Cost]*1.5)+50)/0.835)*1.05)*2,10),
MROUND((((( Price25[Cost]*1.5)+50)/0.835)*1.18)*2,10))</f>
        <v>880</v>
      </c>
      <c r="Q762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420</v>
      </c>
    </row>
    <row r="763" spans="1:17" x14ac:dyDescent="0.25">
      <c r="A763" s="1"/>
      <c r="B763" s="18" t="s">
        <v>355</v>
      </c>
      <c r="C763" s="19" t="s">
        <v>171</v>
      </c>
      <c r="D763" s="19" t="s">
        <v>496</v>
      </c>
      <c r="E763" s="19" t="s">
        <v>139</v>
      </c>
      <c r="F763" s="19" t="s">
        <v>355</v>
      </c>
      <c r="G763" s="20">
        <v>220</v>
      </c>
      <c r="I763" s="20">
        <v>10</v>
      </c>
      <c r="J763" s="4">
        <f t="shared" si="140"/>
        <v>230</v>
      </c>
      <c r="K763" s="4">
        <f t="shared" si="135"/>
        <v>280</v>
      </c>
      <c r="L763" s="4">
        <f t="shared" si="136"/>
        <v>290</v>
      </c>
      <c r="M763" s="4">
        <f t="shared" si="137"/>
        <v>375</v>
      </c>
      <c r="N763" s="4">
        <f t="shared" si="138"/>
        <v>270</v>
      </c>
      <c r="O763" s="4">
        <f t="shared" si="139"/>
        <v>315</v>
      </c>
      <c r="P763" s="4">
        <f>IF((((Price25[Cost]*1.5)+50)/0.835)&lt;2500,
MROUND((((( Price25[Cost]*1.5)+50)/0.835)*1.05)*2,10),
MROUND((((( Price25[Cost]*1.5)+50)/0.835)*1.18)*2,10))</f>
        <v>960</v>
      </c>
      <c r="Q763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450</v>
      </c>
    </row>
    <row r="764" spans="1:17" x14ac:dyDescent="0.25">
      <c r="A764" s="1"/>
      <c r="B764" s="18" t="s">
        <v>417</v>
      </c>
      <c r="C764" s="19" t="s">
        <v>171</v>
      </c>
      <c r="D764" s="19" t="s">
        <v>496</v>
      </c>
      <c r="E764" s="19" t="s">
        <v>139</v>
      </c>
      <c r="F764" s="19" t="s">
        <v>417</v>
      </c>
      <c r="G764" s="20">
        <v>220</v>
      </c>
      <c r="I764" s="20">
        <v>10</v>
      </c>
      <c r="J764" s="4">
        <f t="shared" si="140"/>
        <v>230</v>
      </c>
      <c r="K764" s="4">
        <f t="shared" si="135"/>
        <v>280</v>
      </c>
      <c r="L764" s="4">
        <f t="shared" si="136"/>
        <v>290</v>
      </c>
      <c r="M764" s="4">
        <f t="shared" si="137"/>
        <v>375</v>
      </c>
      <c r="N764" s="4">
        <f t="shared" si="138"/>
        <v>270</v>
      </c>
      <c r="O764" s="4">
        <f t="shared" si="139"/>
        <v>315</v>
      </c>
      <c r="P764" s="4">
        <f>IF((((Price25[Cost]*1.5)+50)/0.835)&lt;2500,
MROUND((((( Price25[Cost]*1.5)+50)/0.835)*1.05)*2,10),
MROUND((((( Price25[Cost]*1.5)+50)/0.835)*1.18)*2,10))</f>
        <v>960</v>
      </c>
      <c r="Q764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450</v>
      </c>
    </row>
    <row r="765" spans="1:17" x14ac:dyDescent="0.25">
      <c r="A765" s="1"/>
      <c r="B765" s="18" t="s">
        <v>418</v>
      </c>
      <c r="C765" s="19" t="s">
        <v>171</v>
      </c>
      <c r="D765" s="19" t="s">
        <v>496</v>
      </c>
      <c r="E765" s="19" t="s">
        <v>139</v>
      </c>
      <c r="F765" s="19" t="s">
        <v>418</v>
      </c>
      <c r="G765" s="20">
        <v>220</v>
      </c>
      <c r="I765" s="20">
        <v>10</v>
      </c>
      <c r="J765" s="4">
        <f t="shared" si="140"/>
        <v>230</v>
      </c>
      <c r="K765" s="4">
        <f t="shared" si="135"/>
        <v>280</v>
      </c>
      <c r="L765" s="4">
        <f t="shared" si="136"/>
        <v>290</v>
      </c>
      <c r="M765" s="4">
        <f t="shared" si="137"/>
        <v>375</v>
      </c>
      <c r="N765" s="4">
        <f t="shared" si="138"/>
        <v>270</v>
      </c>
      <c r="O765" s="4">
        <f t="shared" si="139"/>
        <v>315</v>
      </c>
      <c r="P765" s="4">
        <f>IF((((Price25[Cost]*1.5)+50)/0.835)&lt;2500,
MROUND((((( Price25[Cost]*1.5)+50)/0.835)*1.05)*2,10),
MROUND((((( Price25[Cost]*1.5)+50)/0.835)*1.18)*2,10))</f>
        <v>960</v>
      </c>
      <c r="Q765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450</v>
      </c>
    </row>
    <row r="766" spans="1:17" x14ac:dyDescent="0.25">
      <c r="A766" s="1"/>
      <c r="B766" s="18" t="s">
        <v>419</v>
      </c>
      <c r="C766" s="19" t="s">
        <v>171</v>
      </c>
      <c r="D766" s="19" t="s">
        <v>496</v>
      </c>
      <c r="E766" s="19" t="s">
        <v>139</v>
      </c>
      <c r="F766" s="19" t="s">
        <v>419</v>
      </c>
      <c r="G766" s="20">
        <v>180</v>
      </c>
      <c r="I766" s="20">
        <v>10</v>
      </c>
      <c r="J766" s="4">
        <f t="shared" si="140"/>
        <v>190</v>
      </c>
      <c r="K766" s="4">
        <f t="shared" si="135"/>
        <v>230</v>
      </c>
      <c r="L766" s="4">
        <f t="shared" si="136"/>
        <v>240</v>
      </c>
      <c r="M766" s="4">
        <f t="shared" si="137"/>
        <v>300</v>
      </c>
      <c r="N766" s="4">
        <f t="shared" si="138"/>
        <v>225</v>
      </c>
      <c r="O766" s="4">
        <f t="shared" si="139"/>
        <v>260</v>
      </c>
      <c r="P766" s="4">
        <f>IF((((Price25[Cost]*1.5)+50)/0.835)&lt;2500,
MROUND((((( Price25[Cost]*1.5)+50)/0.835)*1.05)*2,10),
MROUND((((( Price25[Cost]*1.5)+50)/0.835)*1.18)*2,10))</f>
        <v>800</v>
      </c>
      <c r="Q766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370</v>
      </c>
    </row>
    <row r="767" spans="1:17" x14ac:dyDescent="0.25">
      <c r="A767" s="1">
        <v>2025</v>
      </c>
      <c r="B767" s="18" t="s">
        <v>612</v>
      </c>
      <c r="C767" s="19" t="s">
        <v>171</v>
      </c>
      <c r="D767" s="19" t="s">
        <v>496</v>
      </c>
      <c r="E767" s="19" t="s">
        <v>139</v>
      </c>
      <c r="F767" s="19" t="s">
        <v>598</v>
      </c>
      <c r="G767" s="20">
        <v>240</v>
      </c>
      <c r="I767" s="20">
        <v>10</v>
      </c>
      <c r="J767" s="4">
        <f t="shared" si="140"/>
        <v>250</v>
      </c>
      <c r="K767" s="4">
        <f t="shared" si="135"/>
        <v>300</v>
      </c>
      <c r="L767" s="4">
        <f t="shared" si="136"/>
        <v>315</v>
      </c>
      <c r="M767" s="4">
        <f t="shared" si="137"/>
        <v>400</v>
      </c>
      <c r="N767" s="4">
        <f t="shared" si="138"/>
        <v>290</v>
      </c>
      <c r="O767" s="4">
        <f t="shared" si="139"/>
        <v>340</v>
      </c>
      <c r="P767" s="4">
        <f>IF((((Price25[Cost]*1.5)+50)/0.835)&lt;2500,
MROUND((((( Price25[Cost]*1.5)+50)/0.835)*1.05)*2,10),
MROUND((((( Price25[Cost]*1.5)+50)/0.835)*1.18)*2,10))</f>
        <v>1030</v>
      </c>
      <c r="Q767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470</v>
      </c>
    </row>
    <row r="768" spans="1:17" x14ac:dyDescent="0.25">
      <c r="A768" s="1"/>
      <c r="B768" s="18" t="s">
        <v>349</v>
      </c>
      <c r="C768" s="19" t="s">
        <v>171</v>
      </c>
      <c r="D768" s="19" t="s">
        <v>496</v>
      </c>
      <c r="E768" s="19" t="s">
        <v>139</v>
      </c>
      <c r="F768" s="19" t="s">
        <v>349</v>
      </c>
      <c r="G768" s="20">
        <v>270</v>
      </c>
      <c r="I768" s="20">
        <v>10</v>
      </c>
      <c r="J768" s="4">
        <f t="shared" si="140"/>
        <v>280</v>
      </c>
      <c r="K768" s="4">
        <f t="shared" si="135"/>
        <v>335</v>
      </c>
      <c r="L768" s="4">
        <f t="shared" si="136"/>
        <v>350</v>
      </c>
      <c r="M768" s="4">
        <f t="shared" si="137"/>
        <v>450</v>
      </c>
      <c r="N768" s="4">
        <f t="shared" si="138"/>
        <v>325</v>
      </c>
      <c r="O768" s="4">
        <f t="shared" si="139"/>
        <v>375</v>
      </c>
      <c r="P768" s="4">
        <f>IF((((Price25[Cost]*1.5)+50)/0.835)&lt;2500,
MROUND((((( Price25[Cost]*1.5)+50)/0.835)*1.05)*2,10),
MROUND((((( Price25[Cost]*1.5)+50)/0.835)*1.18)*2,10))</f>
        <v>1140</v>
      </c>
      <c r="Q768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520</v>
      </c>
    </row>
    <row r="769" spans="1:17" x14ac:dyDescent="0.25">
      <c r="A769" s="1">
        <v>2025</v>
      </c>
      <c r="B769" s="18" t="s">
        <v>596</v>
      </c>
      <c r="C769" s="19" t="s">
        <v>171</v>
      </c>
      <c r="D769" s="19" t="s">
        <v>496</v>
      </c>
      <c r="E769" s="19" t="s">
        <v>139</v>
      </c>
      <c r="F769" s="19" t="s">
        <v>597</v>
      </c>
      <c r="G769" s="20">
        <v>230</v>
      </c>
      <c r="I769" s="20">
        <v>10</v>
      </c>
      <c r="J769" s="4">
        <f t="shared" si="140"/>
        <v>240</v>
      </c>
      <c r="K769" s="4">
        <f t="shared" si="135"/>
        <v>285</v>
      </c>
      <c r="L769" s="4">
        <f t="shared" si="136"/>
        <v>300</v>
      </c>
      <c r="M769" s="4">
        <f t="shared" si="137"/>
        <v>400</v>
      </c>
      <c r="N769" s="4">
        <f t="shared" si="138"/>
        <v>280</v>
      </c>
      <c r="O769" s="4">
        <f t="shared" si="139"/>
        <v>325</v>
      </c>
      <c r="P769" s="4">
        <f>IF((((Price25[Cost]*1.5)+50)/0.835)&lt;2500,
MROUND((((( Price25[Cost]*1.5)+50)/0.835)*1.05)*2,10),
MROUND((((( Price25[Cost]*1.5)+50)/0.835)*1.18)*2,10))</f>
        <v>990</v>
      </c>
      <c r="Q769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470</v>
      </c>
    </row>
    <row r="770" spans="1:17" x14ac:dyDescent="0.25">
      <c r="A770" s="1"/>
      <c r="B770" s="18" t="s">
        <v>350</v>
      </c>
      <c r="C770" s="19" t="s">
        <v>171</v>
      </c>
      <c r="D770" s="19" t="s">
        <v>496</v>
      </c>
      <c r="E770" s="19" t="s">
        <v>139</v>
      </c>
      <c r="F770" s="19" t="s">
        <v>350</v>
      </c>
      <c r="G770" s="20">
        <v>290</v>
      </c>
      <c r="I770" s="20">
        <v>10</v>
      </c>
      <c r="J770" s="4">
        <f t="shared" si="140"/>
        <v>300</v>
      </c>
      <c r="K770" s="4">
        <f t="shared" si="135"/>
        <v>360</v>
      </c>
      <c r="L770" s="4">
        <f t="shared" si="136"/>
        <v>375</v>
      </c>
      <c r="M770" s="4">
        <f t="shared" si="137"/>
        <v>475</v>
      </c>
      <c r="N770" s="4">
        <f t="shared" si="138"/>
        <v>345</v>
      </c>
      <c r="O770" s="4">
        <f t="shared" si="139"/>
        <v>405</v>
      </c>
      <c r="P770" s="4">
        <f>IF((((Price25[Cost]*1.5)+50)/0.835)&lt;2500,
MROUND((((( Price25[Cost]*1.5)+50)/0.835)*1.05)*2,10),
MROUND((((( Price25[Cost]*1.5)+50)/0.835)*1.18)*2,10))</f>
        <v>1220</v>
      </c>
      <c r="Q770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550</v>
      </c>
    </row>
    <row r="771" spans="1:17" x14ac:dyDescent="0.25">
      <c r="A771" s="1"/>
      <c r="B771" s="18" t="s">
        <v>264</v>
      </c>
      <c r="C771" s="19" t="s">
        <v>171</v>
      </c>
      <c r="D771" s="19" t="s">
        <v>496</v>
      </c>
      <c r="E771" s="19" t="s">
        <v>139</v>
      </c>
      <c r="F771" s="19" t="s">
        <v>265</v>
      </c>
      <c r="G771" s="20">
        <v>170</v>
      </c>
      <c r="I771" s="20">
        <v>10</v>
      </c>
      <c r="J771" s="4">
        <f t="shared" si="140"/>
        <v>180</v>
      </c>
      <c r="K771" s="4">
        <f t="shared" si="135"/>
        <v>215</v>
      </c>
      <c r="L771" s="4">
        <f t="shared" si="136"/>
        <v>225</v>
      </c>
      <c r="M771" s="4">
        <f t="shared" si="137"/>
        <v>300</v>
      </c>
      <c r="N771" s="4">
        <f t="shared" si="138"/>
        <v>210</v>
      </c>
      <c r="O771" s="4">
        <f t="shared" si="139"/>
        <v>245</v>
      </c>
      <c r="P771" s="4">
        <f>IF((((Price25[Cost]*1.5)+50)/0.835)&lt;2500,
MROUND((((( Price25[Cost]*1.5)+50)/0.835)*1.05)*2,10),
MROUND((((( Price25[Cost]*1.5)+50)/0.835)*1.18)*2,10))</f>
        <v>770</v>
      </c>
      <c r="Q771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370</v>
      </c>
    </row>
    <row r="772" spans="1:17" x14ac:dyDescent="0.25">
      <c r="A772" s="1"/>
      <c r="B772" s="18" t="s">
        <v>272</v>
      </c>
      <c r="C772" s="19" t="s">
        <v>171</v>
      </c>
      <c r="D772" s="19" t="s">
        <v>496</v>
      </c>
      <c r="E772" s="19" t="s">
        <v>139</v>
      </c>
      <c r="F772" s="19" t="s">
        <v>272</v>
      </c>
      <c r="G772" s="20">
        <v>220</v>
      </c>
      <c r="I772" s="20">
        <v>10</v>
      </c>
      <c r="J772" s="4">
        <f t="shared" si="140"/>
        <v>230</v>
      </c>
      <c r="K772" s="4">
        <f t="shared" si="135"/>
        <v>280</v>
      </c>
      <c r="L772" s="4">
        <f t="shared" si="136"/>
        <v>290</v>
      </c>
      <c r="M772" s="4">
        <f t="shared" si="137"/>
        <v>375</v>
      </c>
      <c r="N772" s="4">
        <f t="shared" si="138"/>
        <v>270</v>
      </c>
      <c r="O772" s="4">
        <f t="shared" si="139"/>
        <v>315</v>
      </c>
      <c r="P772" s="4">
        <f>IF((((Price25[Cost]*1.5)+50)/0.835)&lt;2500,
MROUND((((( Price25[Cost]*1.5)+50)/0.835)*1.05)*2,10),
MROUND((((( Price25[Cost]*1.5)+50)/0.835)*1.18)*2,10))</f>
        <v>960</v>
      </c>
      <c r="Q772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450</v>
      </c>
    </row>
    <row r="773" spans="1:17" x14ac:dyDescent="0.25">
      <c r="A773" s="1"/>
      <c r="B773" s="18" t="s">
        <v>273</v>
      </c>
      <c r="C773" s="19" t="s">
        <v>171</v>
      </c>
      <c r="D773" s="19" t="s">
        <v>496</v>
      </c>
      <c r="E773" s="19" t="s">
        <v>139</v>
      </c>
      <c r="F773" s="19" t="s">
        <v>273</v>
      </c>
      <c r="G773" s="20">
        <v>220</v>
      </c>
      <c r="I773" s="20">
        <v>10</v>
      </c>
      <c r="J773" s="4">
        <f t="shared" si="140"/>
        <v>230</v>
      </c>
      <c r="K773" s="4">
        <f t="shared" si="135"/>
        <v>280</v>
      </c>
      <c r="L773" s="4">
        <f t="shared" si="136"/>
        <v>290</v>
      </c>
      <c r="M773" s="4">
        <f t="shared" si="137"/>
        <v>375</v>
      </c>
      <c r="N773" s="4">
        <f t="shared" si="138"/>
        <v>270</v>
      </c>
      <c r="O773" s="4">
        <f t="shared" si="139"/>
        <v>315</v>
      </c>
      <c r="P773" s="4">
        <f>IF((((Price25[Cost]*1.5)+50)/0.835)&lt;2500,
MROUND((((( Price25[Cost]*1.5)+50)/0.835)*1.05)*2,10),
MROUND((((( Price25[Cost]*1.5)+50)/0.835)*1.18)*2,10))</f>
        <v>960</v>
      </c>
      <c r="Q773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450</v>
      </c>
    </row>
    <row r="774" spans="1:17" x14ac:dyDescent="0.25">
      <c r="A774" s="1"/>
      <c r="B774" s="18" t="s">
        <v>367</v>
      </c>
      <c r="C774" s="19" t="s">
        <v>171</v>
      </c>
      <c r="D774" s="19" t="s">
        <v>496</v>
      </c>
      <c r="E774" s="19" t="s">
        <v>139</v>
      </c>
      <c r="F774" s="19" t="s">
        <v>367</v>
      </c>
      <c r="G774" s="20">
        <v>250</v>
      </c>
      <c r="I774" s="20">
        <v>10</v>
      </c>
      <c r="J774" s="4">
        <f t="shared" si="140"/>
        <v>260</v>
      </c>
      <c r="K774" s="4">
        <f t="shared" si="135"/>
        <v>310</v>
      </c>
      <c r="L774" s="4">
        <f t="shared" si="136"/>
        <v>325</v>
      </c>
      <c r="M774" s="4">
        <f t="shared" si="137"/>
        <v>425</v>
      </c>
      <c r="N774" s="4">
        <f t="shared" si="138"/>
        <v>300</v>
      </c>
      <c r="O774" s="4">
        <f t="shared" si="139"/>
        <v>350</v>
      </c>
      <c r="P774" s="4">
        <f>IF((((Price25[Cost]*1.5)+50)/0.835)&lt;2500,
MROUND((((( Price25[Cost]*1.5)+50)/0.835)*1.05)*2,10),
MROUND((((( Price25[Cost]*1.5)+50)/0.835)*1.18)*2,10))</f>
        <v>1070</v>
      </c>
      <c r="Q774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500</v>
      </c>
    </row>
    <row r="775" spans="1:17" x14ac:dyDescent="0.25">
      <c r="A775" s="1">
        <v>2025</v>
      </c>
      <c r="B775" s="18" t="s">
        <v>601</v>
      </c>
      <c r="C775" s="19" t="s">
        <v>171</v>
      </c>
      <c r="D775" s="19" t="s">
        <v>496</v>
      </c>
      <c r="E775" s="19" t="s">
        <v>139</v>
      </c>
      <c r="F775" s="19" t="s">
        <v>602</v>
      </c>
      <c r="G775" s="20">
        <v>230</v>
      </c>
      <c r="I775" s="20">
        <v>10</v>
      </c>
      <c r="J775" s="4">
        <f t="shared" si="140"/>
        <v>240</v>
      </c>
      <c r="K775" s="4">
        <f t="shared" si="135"/>
        <v>285</v>
      </c>
      <c r="L775" s="4">
        <f t="shared" si="136"/>
        <v>300</v>
      </c>
      <c r="M775" s="4">
        <f t="shared" si="137"/>
        <v>400</v>
      </c>
      <c r="N775" s="4">
        <f t="shared" si="138"/>
        <v>280</v>
      </c>
      <c r="O775" s="4">
        <f t="shared" si="139"/>
        <v>325</v>
      </c>
      <c r="P775" s="4">
        <f>IF((((Price25[Cost]*1.5)+50)/0.835)&lt;2500,
MROUND((((( Price25[Cost]*1.5)+50)/0.835)*1.05)*2,10),
MROUND((((( Price25[Cost]*1.5)+50)/0.835)*1.18)*2,10))</f>
        <v>990</v>
      </c>
      <c r="Q775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470</v>
      </c>
    </row>
    <row r="776" spans="1:17" x14ac:dyDescent="0.25">
      <c r="A776" s="1"/>
      <c r="B776" s="18" t="s">
        <v>358</v>
      </c>
      <c r="C776" s="19" t="s">
        <v>171</v>
      </c>
      <c r="D776" s="19" t="s">
        <v>496</v>
      </c>
      <c r="E776" s="19" t="s">
        <v>139</v>
      </c>
      <c r="F776" s="19" t="s">
        <v>358</v>
      </c>
      <c r="G776" s="20">
        <v>250</v>
      </c>
      <c r="I776" s="20">
        <v>10</v>
      </c>
      <c r="J776" s="4">
        <f t="shared" si="140"/>
        <v>260</v>
      </c>
      <c r="K776" s="4">
        <f t="shared" si="135"/>
        <v>310</v>
      </c>
      <c r="L776" s="4">
        <f t="shared" si="136"/>
        <v>325</v>
      </c>
      <c r="M776" s="4">
        <f t="shared" si="137"/>
        <v>425</v>
      </c>
      <c r="N776" s="4">
        <f t="shared" si="138"/>
        <v>300</v>
      </c>
      <c r="O776" s="4">
        <f t="shared" si="139"/>
        <v>350</v>
      </c>
      <c r="P776" s="4">
        <f>IF((((Price25[Cost]*1.5)+50)/0.835)&lt;2500,
MROUND((((( Price25[Cost]*1.5)+50)/0.835)*1.05)*2,10),
MROUND((((( Price25[Cost]*1.5)+50)/0.835)*1.18)*2,10))</f>
        <v>1070</v>
      </c>
      <c r="Q776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500</v>
      </c>
    </row>
    <row r="777" spans="1:17" x14ac:dyDescent="0.25">
      <c r="A777" s="1"/>
      <c r="B777" s="18" t="s">
        <v>420</v>
      </c>
      <c r="C777" s="19" t="s">
        <v>171</v>
      </c>
      <c r="D777" s="19" t="s">
        <v>496</v>
      </c>
      <c r="E777" s="19" t="s">
        <v>139</v>
      </c>
      <c r="F777" s="19" t="s">
        <v>420</v>
      </c>
      <c r="G777" s="20">
        <v>180</v>
      </c>
      <c r="I777" s="20">
        <v>10</v>
      </c>
      <c r="J777" s="4">
        <f t="shared" si="140"/>
        <v>190</v>
      </c>
      <c r="K777" s="4">
        <f t="shared" si="135"/>
        <v>230</v>
      </c>
      <c r="L777" s="4">
        <f t="shared" si="136"/>
        <v>240</v>
      </c>
      <c r="M777" s="4">
        <f t="shared" si="137"/>
        <v>300</v>
      </c>
      <c r="N777" s="4">
        <f t="shared" si="138"/>
        <v>225</v>
      </c>
      <c r="O777" s="4">
        <f t="shared" si="139"/>
        <v>260</v>
      </c>
      <c r="P777" s="4">
        <f>IF((((Price25[Cost]*1.5)+50)/0.835)&lt;2500,
MROUND((((( Price25[Cost]*1.5)+50)/0.835)*1.05)*2,10),
MROUND((((( Price25[Cost]*1.5)+50)/0.835)*1.18)*2,10))</f>
        <v>800</v>
      </c>
      <c r="Q777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370</v>
      </c>
    </row>
    <row r="778" spans="1:17" x14ac:dyDescent="0.25">
      <c r="A778" s="1"/>
      <c r="B778" s="18" t="s">
        <v>366</v>
      </c>
      <c r="C778" s="19" t="s">
        <v>171</v>
      </c>
      <c r="D778" s="19" t="s">
        <v>496</v>
      </c>
      <c r="E778" s="19" t="s">
        <v>139</v>
      </c>
      <c r="F778" s="19" t="s">
        <v>366</v>
      </c>
      <c r="G778" s="20">
        <v>190</v>
      </c>
      <c r="I778" s="20">
        <v>10</v>
      </c>
      <c r="J778" s="4">
        <f t="shared" si="140"/>
        <v>200</v>
      </c>
      <c r="K778" s="4">
        <f t="shared" si="135"/>
        <v>240</v>
      </c>
      <c r="L778" s="4">
        <f t="shared" si="136"/>
        <v>250</v>
      </c>
      <c r="M778" s="4">
        <f t="shared" si="137"/>
        <v>325</v>
      </c>
      <c r="N778" s="4">
        <f t="shared" si="138"/>
        <v>230</v>
      </c>
      <c r="O778" s="4">
        <f t="shared" si="139"/>
        <v>270</v>
      </c>
      <c r="P778" s="4">
        <f>IF((((Price25[Cost]*1.5)+50)/0.835)&lt;2500,
MROUND((((( Price25[Cost]*1.5)+50)/0.835)*1.05)*2,10),
MROUND((((( Price25[Cost]*1.5)+50)/0.835)*1.18)*2,10))</f>
        <v>840</v>
      </c>
      <c r="Q778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400</v>
      </c>
    </row>
    <row r="779" spans="1:17" x14ac:dyDescent="0.25">
      <c r="A779" s="1">
        <v>2025</v>
      </c>
      <c r="B779" s="18" t="s">
        <v>599</v>
      </c>
      <c r="C779" s="19" t="s">
        <v>171</v>
      </c>
      <c r="D779" s="19" t="s">
        <v>496</v>
      </c>
      <c r="E779" s="19" t="s">
        <v>139</v>
      </c>
      <c r="F779" s="19" t="s">
        <v>600</v>
      </c>
      <c r="G779" s="20">
        <v>240</v>
      </c>
      <c r="I779" s="20">
        <v>10</v>
      </c>
      <c r="J779" s="4">
        <f t="shared" si="140"/>
        <v>250</v>
      </c>
      <c r="K779" s="4">
        <f t="shared" si="135"/>
        <v>300</v>
      </c>
      <c r="L779" s="4">
        <f t="shared" si="136"/>
        <v>315</v>
      </c>
      <c r="M779" s="4">
        <f t="shared" si="137"/>
        <v>400</v>
      </c>
      <c r="N779" s="4">
        <f t="shared" si="138"/>
        <v>290</v>
      </c>
      <c r="O779" s="4">
        <f t="shared" si="139"/>
        <v>340</v>
      </c>
      <c r="P779" s="4">
        <f>IF((((Price25[Cost]*1.5)+50)/0.835)&lt;2500,
MROUND((((( Price25[Cost]*1.5)+50)/0.835)*1.05)*2,10),
MROUND((((( Price25[Cost]*1.5)+50)/0.835)*1.18)*2,10))</f>
        <v>1030</v>
      </c>
      <c r="Q779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470</v>
      </c>
    </row>
    <row r="780" spans="1:17" x14ac:dyDescent="0.25">
      <c r="A780" s="1"/>
      <c r="B780" s="18" t="s">
        <v>146</v>
      </c>
      <c r="C780" s="19" t="s">
        <v>171</v>
      </c>
      <c r="D780" s="19" t="s">
        <v>496</v>
      </c>
      <c r="E780" s="19" t="s">
        <v>139</v>
      </c>
      <c r="F780" s="19" t="s">
        <v>146</v>
      </c>
      <c r="G780" s="20">
        <v>240</v>
      </c>
      <c r="I780" s="20">
        <v>10</v>
      </c>
      <c r="J780" s="4">
        <f t="shared" si="140"/>
        <v>250</v>
      </c>
      <c r="K780" s="4">
        <f t="shared" si="135"/>
        <v>300</v>
      </c>
      <c r="L780" s="4">
        <f t="shared" si="136"/>
        <v>315</v>
      </c>
      <c r="M780" s="4">
        <f t="shared" si="137"/>
        <v>400</v>
      </c>
      <c r="N780" s="4">
        <f t="shared" si="138"/>
        <v>290</v>
      </c>
      <c r="O780" s="4">
        <f t="shared" si="139"/>
        <v>340</v>
      </c>
      <c r="P780" s="4">
        <f>IF((((Price25[Cost]*1.5)+50)/0.835)&lt;2500,
MROUND((((( Price25[Cost]*1.5)+50)/0.835)*1.05)*2,10),
MROUND((((( Price25[Cost]*1.5)+50)/0.835)*1.18)*2,10))</f>
        <v>1030</v>
      </c>
      <c r="Q780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470</v>
      </c>
    </row>
    <row r="781" spans="1:17" x14ac:dyDescent="0.25">
      <c r="A781" s="1"/>
      <c r="B781" s="18" t="s">
        <v>147</v>
      </c>
      <c r="C781" s="19" t="s">
        <v>171</v>
      </c>
      <c r="D781" s="19" t="s">
        <v>496</v>
      </c>
      <c r="E781" s="19" t="s">
        <v>139</v>
      </c>
      <c r="F781" s="19" t="s">
        <v>147</v>
      </c>
      <c r="G781" s="20">
        <v>220</v>
      </c>
      <c r="I781" s="20">
        <v>10</v>
      </c>
      <c r="J781" s="4">
        <f t="shared" si="140"/>
        <v>230</v>
      </c>
      <c r="K781" s="4">
        <f t="shared" si="135"/>
        <v>280</v>
      </c>
      <c r="L781" s="4">
        <f t="shared" si="136"/>
        <v>290</v>
      </c>
      <c r="M781" s="4">
        <f t="shared" si="137"/>
        <v>375</v>
      </c>
      <c r="N781" s="4">
        <f t="shared" si="138"/>
        <v>270</v>
      </c>
      <c r="O781" s="4">
        <f t="shared" si="139"/>
        <v>315</v>
      </c>
      <c r="P781" s="4">
        <f>IF((((Price25[Cost]*1.5)+50)/0.835)&lt;2500,
MROUND((((( Price25[Cost]*1.5)+50)/0.835)*1.05)*2,10),
MROUND((((( Price25[Cost]*1.5)+50)/0.835)*1.18)*2,10))</f>
        <v>960</v>
      </c>
      <c r="Q781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450</v>
      </c>
    </row>
    <row r="782" spans="1:17" x14ac:dyDescent="0.25">
      <c r="A782" s="1"/>
      <c r="B782" s="18" t="s">
        <v>148</v>
      </c>
      <c r="C782" s="19" t="s">
        <v>171</v>
      </c>
      <c r="D782" s="19" t="s">
        <v>496</v>
      </c>
      <c r="E782" s="19" t="s">
        <v>139</v>
      </c>
      <c r="F782" s="19" t="s">
        <v>148</v>
      </c>
      <c r="G782" s="20">
        <v>220</v>
      </c>
      <c r="I782" s="20">
        <v>10</v>
      </c>
      <c r="J782" s="4">
        <f t="shared" si="140"/>
        <v>230</v>
      </c>
      <c r="K782" s="4">
        <f t="shared" si="135"/>
        <v>280</v>
      </c>
      <c r="L782" s="4">
        <f t="shared" si="136"/>
        <v>290</v>
      </c>
      <c r="M782" s="4">
        <f t="shared" si="137"/>
        <v>375</v>
      </c>
      <c r="N782" s="4">
        <f t="shared" si="138"/>
        <v>270</v>
      </c>
      <c r="O782" s="4">
        <f t="shared" si="139"/>
        <v>315</v>
      </c>
      <c r="P782" s="4">
        <f>IF((((Price25[Cost]*1.5)+50)/0.835)&lt;2500,
MROUND((((( Price25[Cost]*1.5)+50)/0.835)*1.05)*2,10),
MROUND((((( Price25[Cost]*1.5)+50)/0.835)*1.18)*2,10))</f>
        <v>960</v>
      </c>
      <c r="Q782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450</v>
      </c>
    </row>
    <row r="783" spans="1:17" x14ac:dyDescent="0.25">
      <c r="A783" s="1"/>
      <c r="B783" s="18" t="s">
        <v>149</v>
      </c>
      <c r="C783" s="19" t="s">
        <v>171</v>
      </c>
      <c r="D783" s="19" t="s">
        <v>496</v>
      </c>
      <c r="E783" s="19" t="s">
        <v>139</v>
      </c>
      <c r="F783" s="19" t="s">
        <v>149</v>
      </c>
      <c r="G783" s="20">
        <v>220</v>
      </c>
      <c r="I783" s="20">
        <v>10</v>
      </c>
      <c r="J783" s="4">
        <f t="shared" si="140"/>
        <v>230</v>
      </c>
      <c r="K783" s="4">
        <f t="shared" si="135"/>
        <v>280</v>
      </c>
      <c r="L783" s="4">
        <f t="shared" si="136"/>
        <v>290</v>
      </c>
      <c r="M783" s="4">
        <f t="shared" si="137"/>
        <v>375</v>
      </c>
      <c r="N783" s="4">
        <f t="shared" si="138"/>
        <v>270</v>
      </c>
      <c r="O783" s="4">
        <f t="shared" si="139"/>
        <v>315</v>
      </c>
      <c r="P783" s="4">
        <f>IF((((Price25[Cost]*1.5)+50)/0.835)&lt;2500,
MROUND((((( Price25[Cost]*1.5)+50)/0.835)*1.05)*2,10),
MROUND((((( Price25[Cost]*1.5)+50)/0.835)*1.18)*2,10))</f>
        <v>960</v>
      </c>
      <c r="Q783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450</v>
      </c>
    </row>
    <row r="784" spans="1:17" x14ac:dyDescent="0.25">
      <c r="A784" s="1"/>
      <c r="B784" s="18" t="s">
        <v>348</v>
      </c>
      <c r="C784" s="19" t="s">
        <v>171</v>
      </c>
      <c r="D784" s="19" t="s">
        <v>496</v>
      </c>
      <c r="E784" s="19" t="s">
        <v>139</v>
      </c>
      <c r="F784" s="19" t="s">
        <v>348</v>
      </c>
      <c r="G784" s="20">
        <v>90</v>
      </c>
      <c r="I784" s="20">
        <v>10</v>
      </c>
      <c r="J784" s="4">
        <f t="shared" si="140"/>
        <v>100</v>
      </c>
      <c r="K784" s="4">
        <f t="shared" si="135"/>
        <v>120</v>
      </c>
      <c r="L784" s="4">
        <f t="shared" si="136"/>
        <v>125</v>
      </c>
      <c r="M784" s="4">
        <f t="shared" si="137"/>
        <v>175</v>
      </c>
      <c r="N784" s="4">
        <f t="shared" si="138"/>
        <v>115</v>
      </c>
      <c r="O784" s="4">
        <f t="shared" si="139"/>
        <v>135</v>
      </c>
      <c r="P784" s="4">
        <f>IF((((Price25[Cost]*1.5)+50)/0.835)&lt;2500,
MROUND((((( Price25[Cost]*1.5)+50)/0.835)*1.05)*2,10),
MROUND((((( Price25[Cost]*1.5)+50)/0.835)*1.18)*2,10))</f>
        <v>470</v>
      </c>
      <c r="Q784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250</v>
      </c>
    </row>
    <row r="785" spans="1:17" x14ac:dyDescent="0.25">
      <c r="A785" s="1"/>
      <c r="B785" s="18" t="s">
        <v>260</v>
      </c>
      <c r="C785" s="19" t="s">
        <v>171</v>
      </c>
      <c r="D785" s="19" t="s">
        <v>496</v>
      </c>
      <c r="E785" s="19" t="s">
        <v>139</v>
      </c>
      <c r="F785" s="19" t="s">
        <v>261</v>
      </c>
      <c r="G785" s="20">
        <v>110</v>
      </c>
      <c r="I785" s="20">
        <v>10</v>
      </c>
      <c r="J785" s="4">
        <f t="shared" si="140"/>
        <v>120</v>
      </c>
      <c r="K785" s="4">
        <f t="shared" si="135"/>
        <v>145</v>
      </c>
      <c r="L785" s="4">
        <f t="shared" si="136"/>
        <v>150</v>
      </c>
      <c r="M785" s="4">
        <f t="shared" si="137"/>
        <v>200</v>
      </c>
      <c r="N785" s="4">
        <f t="shared" si="138"/>
        <v>140</v>
      </c>
      <c r="O785" s="4">
        <f t="shared" si="139"/>
        <v>165</v>
      </c>
      <c r="P785" s="4">
        <f>IF((((Price25[Cost]*1.5)+50)/0.835)&lt;2500,
MROUND((((( Price25[Cost]*1.5)+50)/0.835)*1.05)*2,10),
MROUND((((( Price25[Cost]*1.5)+50)/0.835)*1.18)*2,10))</f>
        <v>540</v>
      </c>
      <c r="Q785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270</v>
      </c>
    </row>
    <row r="786" spans="1:17" x14ac:dyDescent="0.25">
      <c r="A786" s="1"/>
      <c r="B786" s="18" t="s">
        <v>351</v>
      </c>
      <c r="C786" s="19" t="s">
        <v>171</v>
      </c>
      <c r="D786" s="19" t="s">
        <v>496</v>
      </c>
      <c r="E786" s="19" t="s">
        <v>139</v>
      </c>
      <c r="F786" s="19" t="s">
        <v>351</v>
      </c>
      <c r="G786" s="20">
        <v>450</v>
      </c>
      <c r="I786" s="20">
        <v>10</v>
      </c>
      <c r="J786" s="4">
        <f t="shared" si="140"/>
        <v>460</v>
      </c>
      <c r="K786" s="4">
        <f t="shared" si="135"/>
        <v>550</v>
      </c>
      <c r="L786" s="4">
        <f t="shared" si="136"/>
        <v>575</v>
      </c>
      <c r="M786" s="4">
        <f t="shared" si="137"/>
        <v>725</v>
      </c>
      <c r="N786" s="4">
        <f t="shared" si="138"/>
        <v>530</v>
      </c>
      <c r="O786" s="4">
        <f t="shared" si="139"/>
        <v>620</v>
      </c>
      <c r="P786" s="4">
        <f>IF((((Price25[Cost]*1.5)+50)/0.835)&lt;2500,
MROUND((((( Price25[Cost]*1.5)+50)/0.835)*1.05)*2,10),
MROUND((((( Price25[Cost]*1.5)+50)/0.835)*1.18)*2,10))</f>
        <v>1820</v>
      </c>
      <c r="Q786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800</v>
      </c>
    </row>
    <row r="787" spans="1:17" x14ac:dyDescent="0.25">
      <c r="A787" s="1"/>
      <c r="B787" s="18" t="s">
        <v>368</v>
      </c>
      <c r="C787" s="19" t="s">
        <v>171</v>
      </c>
      <c r="D787" s="19" t="s">
        <v>496</v>
      </c>
      <c r="E787" s="19" t="s">
        <v>139</v>
      </c>
      <c r="F787" s="19" t="s">
        <v>368</v>
      </c>
      <c r="G787" s="20">
        <v>460</v>
      </c>
      <c r="I787" s="20">
        <v>10</v>
      </c>
      <c r="J787" s="4">
        <f t="shared" si="140"/>
        <v>470</v>
      </c>
      <c r="K787" s="4">
        <f t="shared" ref="K787:K806" si="141">IF(ISNUMBER(L787),
   IF(CEILING(ROUND(L787*0.95,2),5)=420,
      425,
      CEILING(ROUND(L787*0.95,2),5)
   ),
   ""
)</f>
        <v>565</v>
      </c>
      <c r="L787" s="4">
        <f t="shared" ref="L787:L806" si="142">IF(AND(ISNUMBER(J787),ISNUMBER(G787)),
   IF(CEILING(ROUND(J787*1.25,2),5)=420,
      425,
      CEILING(ROUND(J787*1.25,2),5)
   ),
   ""
)</f>
        <v>590</v>
      </c>
      <c r="M787" s="4">
        <f t="shared" ref="M787:M806" si="143">IF(AND(ISNUMBER(J787),ISNUMBER(G787)),
   IF(
      CEILING(
         ROUND((J787*1.5) * IF(J787*1.5 &lt;= 2500, 1.05, 1.18), 2),
         IF(ROUND((J787*1.5) * IF(J787*1.5 &lt;= 2500, 1.05, 1.18), 2) &lt; 2500, 25, 50)
      )=420,
      425,
      CEILING(
         ROUND((J787*1.5) * IF(J787*1.5 &lt;= 2500, 1.05, 1.18), 2),
         IF(ROUND((J787*1.5) * IF(J787*1.5 &lt;= 2500, 1.05, 1.18), 2) &lt; 2500, 25, 50)
      )
   ),
   ""
)</f>
        <v>750</v>
      </c>
      <c r="N787" s="4">
        <f t="shared" ref="N787:N806" si="144">IF(ISNUMBER(G787),
   IF(CEILING(ROUND(L787*0.92,2),5)=420,
      425,
      CEILING(ROUND(L787*0.92,2),5)
   ),
   ""
)</f>
        <v>545</v>
      </c>
      <c r="O787" s="4">
        <f t="shared" ref="O787:O806" si="145">IF(ISNUMBER(L787),
   IF(CEILING(ROUND(L787*1.07,2),5)=420,
      425,
      CEILING(ROUND(L787*1.07,2),5)
   ),
   ""
)</f>
        <v>635</v>
      </c>
      <c r="P787" s="4">
        <f>IF((((Price25[Cost]*1.5)+50)/0.835)&lt;2500,
MROUND((((( Price25[Cost]*1.5)+50)/0.835)*1.05)*2,10),
MROUND((((( Price25[Cost]*1.5)+50)/0.835)*1.18)*2,10))</f>
        <v>1860</v>
      </c>
      <c r="Q787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820</v>
      </c>
    </row>
    <row r="788" spans="1:17" x14ac:dyDescent="0.25">
      <c r="A788" s="1">
        <v>2025</v>
      </c>
      <c r="B788" s="18" t="s">
        <v>605</v>
      </c>
      <c r="C788" s="19" t="s">
        <v>171</v>
      </c>
      <c r="D788" s="19" t="s">
        <v>496</v>
      </c>
      <c r="E788" s="19" t="s">
        <v>139</v>
      </c>
      <c r="F788" s="19" t="s">
        <v>606</v>
      </c>
      <c r="G788" s="20">
        <v>280</v>
      </c>
      <c r="I788" s="20">
        <v>10</v>
      </c>
      <c r="J788" s="4">
        <f t="shared" si="140"/>
        <v>290</v>
      </c>
      <c r="K788" s="4">
        <f t="shared" si="141"/>
        <v>350</v>
      </c>
      <c r="L788" s="4">
        <f t="shared" si="142"/>
        <v>365</v>
      </c>
      <c r="M788" s="4">
        <f t="shared" si="143"/>
        <v>475</v>
      </c>
      <c r="N788" s="4">
        <f t="shared" si="144"/>
        <v>340</v>
      </c>
      <c r="O788" s="4">
        <f t="shared" si="145"/>
        <v>395</v>
      </c>
      <c r="P788" s="4">
        <f>IF((((Price25[Cost]*1.5)+50)/0.835)&lt;2500,
MROUND((((( Price25[Cost]*1.5)+50)/0.835)*1.05)*2,10),
MROUND((((( Price25[Cost]*1.5)+50)/0.835)*1.18)*2,10))</f>
        <v>1180</v>
      </c>
      <c r="Q788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550</v>
      </c>
    </row>
    <row r="789" spans="1:17" x14ac:dyDescent="0.25">
      <c r="A789" s="1"/>
      <c r="B789" s="18" t="s">
        <v>262</v>
      </c>
      <c r="C789" s="19" t="s">
        <v>171</v>
      </c>
      <c r="D789" s="19" t="s">
        <v>496</v>
      </c>
      <c r="E789" s="19" t="s">
        <v>139</v>
      </c>
      <c r="F789" s="19" t="s">
        <v>263</v>
      </c>
      <c r="G789" s="20">
        <v>125</v>
      </c>
      <c r="I789" s="20">
        <v>10</v>
      </c>
      <c r="J789" s="4">
        <f t="shared" si="140"/>
        <v>135</v>
      </c>
      <c r="K789" s="4">
        <f t="shared" si="141"/>
        <v>165</v>
      </c>
      <c r="L789" s="4">
        <f t="shared" si="142"/>
        <v>170</v>
      </c>
      <c r="M789" s="4">
        <f t="shared" si="143"/>
        <v>225</v>
      </c>
      <c r="N789" s="4">
        <f t="shared" si="144"/>
        <v>160</v>
      </c>
      <c r="O789" s="4">
        <f t="shared" si="145"/>
        <v>185</v>
      </c>
      <c r="P789" s="4">
        <f>IF((((Price25[Cost]*1.5)+50)/0.835)&lt;2500,
MROUND((((( Price25[Cost]*1.5)+50)/0.835)*1.05)*2,10),
MROUND((((( Price25[Cost]*1.5)+50)/0.835)*1.18)*2,10))</f>
        <v>600</v>
      </c>
      <c r="Q789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300</v>
      </c>
    </row>
    <row r="790" spans="1:17" x14ac:dyDescent="0.25">
      <c r="A790" s="1"/>
      <c r="B790" s="18" t="s">
        <v>150</v>
      </c>
      <c r="C790" s="19" t="s">
        <v>171</v>
      </c>
      <c r="D790" s="19" t="s">
        <v>496</v>
      </c>
      <c r="E790" s="19" t="s">
        <v>139</v>
      </c>
      <c r="F790" s="19" t="s">
        <v>150</v>
      </c>
      <c r="G790" s="20">
        <v>230</v>
      </c>
      <c r="I790" s="20">
        <v>10</v>
      </c>
      <c r="J790" s="4">
        <f t="shared" si="140"/>
        <v>240</v>
      </c>
      <c r="K790" s="4">
        <f t="shared" si="141"/>
        <v>285</v>
      </c>
      <c r="L790" s="4">
        <f t="shared" si="142"/>
        <v>300</v>
      </c>
      <c r="M790" s="4">
        <f t="shared" si="143"/>
        <v>400</v>
      </c>
      <c r="N790" s="4">
        <f t="shared" si="144"/>
        <v>280</v>
      </c>
      <c r="O790" s="4">
        <f t="shared" si="145"/>
        <v>325</v>
      </c>
      <c r="P790" s="4">
        <f>IF((((Price25[Cost]*1.5)+50)/0.835)&lt;2500,
MROUND((((( Price25[Cost]*1.5)+50)/0.835)*1.05)*2,10),
MROUND((((( Price25[Cost]*1.5)+50)/0.835)*1.18)*2,10))</f>
        <v>990</v>
      </c>
      <c r="Q790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470</v>
      </c>
    </row>
    <row r="791" spans="1:17" x14ac:dyDescent="0.25">
      <c r="A791" s="1"/>
      <c r="B791" s="18" t="s">
        <v>585</v>
      </c>
      <c r="C791" s="19" t="s">
        <v>171</v>
      </c>
      <c r="D791" s="19" t="s">
        <v>496</v>
      </c>
      <c r="E791" s="19" t="s">
        <v>595</v>
      </c>
      <c r="F791" s="19" t="s">
        <v>585</v>
      </c>
      <c r="G791" s="20">
        <v>215</v>
      </c>
      <c r="I791" s="20">
        <v>10</v>
      </c>
      <c r="J791" s="4">
        <f t="shared" si="140"/>
        <v>225</v>
      </c>
      <c r="K791" s="4">
        <f t="shared" si="141"/>
        <v>275</v>
      </c>
      <c r="L791" s="4">
        <f t="shared" si="142"/>
        <v>285</v>
      </c>
      <c r="M791" s="4">
        <f t="shared" si="143"/>
        <v>375</v>
      </c>
      <c r="N791" s="4">
        <f t="shared" si="144"/>
        <v>265</v>
      </c>
      <c r="O791" s="4">
        <f t="shared" si="145"/>
        <v>305</v>
      </c>
      <c r="P791" s="4">
        <f>IF((((Price25[Cost]*1.5)+50)/0.835)&lt;2500,
MROUND((((( Price25[Cost]*1.5)+50)/0.835)*1.05)*2,10),
MROUND((((( Price25[Cost]*1.5)+50)/0.835)*1.18)*2,10))</f>
        <v>940</v>
      </c>
      <c r="Q791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450</v>
      </c>
    </row>
    <row r="792" spans="1:17" x14ac:dyDescent="0.25">
      <c r="A792" s="1"/>
      <c r="B792" s="18" t="s">
        <v>586</v>
      </c>
      <c r="C792" s="19" t="s">
        <v>171</v>
      </c>
      <c r="D792" s="19" t="s">
        <v>496</v>
      </c>
      <c r="E792" s="19" t="s">
        <v>595</v>
      </c>
      <c r="F792" s="19" t="s">
        <v>586</v>
      </c>
      <c r="G792" s="20">
        <v>240</v>
      </c>
      <c r="I792" s="20">
        <v>10</v>
      </c>
      <c r="J792" s="4">
        <f t="shared" si="140"/>
        <v>250</v>
      </c>
      <c r="K792" s="4">
        <f t="shared" si="141"/>
        <v>300</v>
      </c>
      <c r="L792" s="4">
        <f t="shared" si="142"/>
        <v>315</v>
      </c>
      <c r="M792" s="4">
        <f t="shared" si="143"/>
        <v>400</v>
      </c>
      <c r="N792" s="4">
        <f t="shared" si="144"/>
        <v>290</v>
      </c>
      <c r="O792" s="4">
        <f t="shared" si="145"/>
        <v>340</v>
      </c>
      <c r="P792" s="4">
        <f>IF((((Price25[Cost]*1.5)+50)/0.835)&lt;2500,
MROUND((((( Price25[Cost]*1.5)+50)/0.835)*1.05)*2,10),
MROUND((((( Price25[Cost]*1.5)+50)/0.835)*1.18)*2,10))</f>
        <v>1030</v>
      </c>
      <c r="Q792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470</v>
      </c>
    </row>
    <row r="793" spans="1:17" x14ac:dyDescent="0.25">
      <c r="A793" s="1"/>
      <c r="B793" s="18" t="s">
        <v>587</v>
      </c>
      <c r="C793" s="19" t="s">
        <v>171</v>
      </c>
      <c r="D793" s="19" t="s">
        <v>496</v>
      </c>
      <c r="E793" s="19" t="s">
        <v>595</v>
      </c>
      <c r="F793" s="19" t="s">
        <v>587</v>
      </c>
      <c r="G793" s="20">
        <v>200</v>
      </c>
      <c r="I793" s="20">
        <v>10</v>
      </c>
      <c r="J793" s="4">
        <f t="shared" si="140"/>
        <v>210</v>
      </c>
      <c r="K793" s="4">
        <f t="shared" si="141"/>
        <v>255</v>
      </c>
      <c r="L793" s="4">
        <f t="shared" si="142"/>
        <v>265</v>
      </c>
      <c r="M793" s="4">
        <f t="shared" si="143"/>
        <v>350</v>
      </c>
      <c r="N793" s="4">
        <f t="shared" si="144"/>
        <v>245</v>
      </c>
      <c r="O793" s="4">
        <f t="shared" si="145"/>
        <v>285</v>
      </c>
      <c r="P793" s="4">
        <f>IF((((Price25[Cost]*1.5)+50)/0.835)&lt;2500,
MROUND((((( Price25[Cost]*1.5)+50)/0.835)*1.05)*2,10),
MROUND((((( Price25[Cost]*1.5)+50)/0.835)*1.18)*2,10))</f>
        <v>880</v>
      </c>
      <c r="Q793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420</v>
      </c>
    </row>
    <row r="794" spans="1:17" x14ac:dyDescent="0.25">
      <c r="A794" s="1"/>
      <c r="B794" s="18" t="s">
        <v>588</v>
      </c>
      <c r="C794" s="19" t="s">
        <v>171</v>
      </c>
      <c r="D794" s="19" t="s">
        <v>496</v>
      </c>
      <c r="E794" s="19" t="s">
        <v>595</v>
      </c>
      <c r="F794" s="19" t="s">
        <v>588</v>
      </c>
      <c r="G794" s="20">
        <v>178</v>
      </c>
      <c r="I794" s="20">
        <v>10</v>
      </c>
      <c r="J794" s="4">
        <f t="shared" si="140"/>
        <v>188</v>
      </c>
      <c r="K794" s="4">
        <f t="shared" si="141"/>
        <v>225</v>
      </c>
      <c r="L794" s="4">
        <f t="shared" si="142"/>
        <v>235</v>
      </c>
      <c r="M794" s="4">
        <f t="shared" si="143"/>
        <v>300</v>
      </c>
      <c r="N794" s="4">
        <f t="shared" si="144"/>
        <v>220</v>
      </c>
      <c r="O794" s="4">
        <f t="shared" si="145"/>
        <v>255</v>
      </c>
      <c r="P794" s="4">
        <f>IF((((Price25[Cost]*1.5)+50)/0.835)&lt;2500,
MROUND((((( Price25[Cost]*1.5)+50)/0.835)*1.05)*2,10),
MROUND((((( Price25[Cost]*1.5)+50)/0.835)*1.18)*2,10))</f>
        <v>800</v>
      </c>
      <c r="Q794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370</v>
      </c>
    </row>
    <row r="795" spans="1:17" x14ac:dyDescent="0.25">
      <c r="A795" s="1"/>
      <c r="B795" s="18" t="s">
        <v>589</v>
      </c>
      <c r="C795" s="19" t="s">
        <v>171</v>
      </c>
      <c r="D795" s="19" t="s">
        <v>496</v>
      </c>
      <c r="E795" s="19" t="s">
        <v>595</v>
      </c>
      <c r="F795" s="19" t="s">
        <v>589</v>
      </c>
      <c r="G795" s="20">
        <v>178</v>
      </c>
      <c r="I795" s="20">
        <v>10</v>
      </c>
      <c r="J795" s="4">
        <f t="shared" si="140"/>
        <v>188</v>
      </c>
      <c r="K795" s="4">
        <f t="shared" si="141"/>
        <v>225</v>
      </c>
      <c r="L795" s="4">
        <f t="shared" si="142"/>
        <v>235</v>
      </c>
      <c r="M795" s="4">
        <f t="shared" si="143"/>
        <v>300</v>
      </c>
      <c r="N795" s="4">
        <f t="shared" si="144"/>
        <v>220</v>
      </c>
      <c r="O795" s="4">
        <f t="shared" si="145"/>
        <v>255</v>
      </c>
      <c r="P795" s="4">
        <f>IF((((Price25[Cost]*1.5)+50)/0.835)&lt;2500,
MROUND((((( Price25[Cost]*1.5)+50)/0.835)*1.05)*2,10),
MROUND((((( Price25[Cost]*1.5)+50)/0.835)*1.18)*2,10))</f>
        <v>800</v>
      </c>
      <c r="Q795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370</v>
      </c>
    </row>
    <row r="796" spans="1:17" x14ac:dyDescent="0.25">
      <c r="A796" s="1"/>
      <c r="B796" s="18" t="s">
        <v>590</v>
      </c>
      <c r="C796" s="19" t="s">
        <v>171</v>
      </c>
      <c r="D796" s="19" t="s">
        <v>496</v>
      </c>
      <c r="E796" s="19" t="s">
        <v>595</v>
      </c>
      <c r="F796" s="19" t="s">
        <v>590</v>
      </c>
      <c r="G796" s="20">
        <v>210</v>
      </c>
      <c r="I796" s="20">
        <v>10</v>
      </c>
      <c r="J796" s="4">
        <f t="shared" si="140"/>
        <v>220</v>
      </c>
      <c r="K796" s="4">
        <f t="shared" si="141"/>
        <v>265</v>
      </c>
      <c r="L796" s="4">
        <f t="shared" si="142"/>
        <v>275</v>
      </c>
      <c r="M796" s="4">
        <f t="shared" si="143"/>
        <v>350</v>
      </c>
      <c r="N796" s="4">
        <f t="shared" si="144"/>
        <v>255</v>
      </c>
      <c r="O796" s="4">
        <f t="shared" si="145"/>
        <v>295</v>
      </c>
      <c r="P796" s="4">
        <f>IF((((Price25[Cost]*1.5)+50)/0.835)&lt;2500,
MROUND((((( Price25[Cost]*1.5)+50)/0.835)*1.05)*2,10),
MROUND((((( Price25[Cost]*1.5)+50)/0.835)*1.18)*2,10))</f>
        <v>920</v>
      </c>
      <c r="Q796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420</v>
      </c>
    </row>
    <row r="797" spans="1:17" x14ac:dyDescent="0.25">
      <c r="A797" s="1"/>
      <c r="B797" s="18" t="s">
        <v>591</v>
      </c>
      <c r="C797" s="19" t="s">
        <v>171</v>
      </c>
      <c r="D797" s="19" t="s">
        <v>496</v>
      </c>
      <c r="E797" s="19" t="s">
        <v>595</v>
      </c>
      <c r="F797" s="19" t="s">
        <v>591</v>
      </c>
      <c r="G797" s="20">
        <v>180</v>
      </c>
      <c r="I797" s="20">
        <v>10</v>
      </c>
      <c r="J797" s="4">
        <f t="shared" si="140"/>
        <v>190</v>
      </c>
      <c r="K797" s="4">
        <f t="shared" si="141"/>
        <v>230</v>
      </c>
      <c r="L797" s="4">
        <f t="shared" si="142"/>
        <v>240</v>
      </c>
      <c r="M797" s="4">
        <f t="shared" si="143"/>
        <v>300</v>
      </c>
      <c r="N797" s="4">
        <f t="shared" si="144"/>
        <v>225</v>
      </c>
      <c r="O797" s="4">
        <f t="shared" si="145"/>
        <v>260</v>
      </c>
      <c r="P797" s="4">
        <f>IF((((Price25[Cost]*1.5)+50)/0.835)&lt;2500,
MROUND((((( Price25[Cost]*1.5)+50)/0.835)*1.05)*2,10),
MROUND((((( Price25[Cost]*1.5)+50)/0.835)*1.18)*2,10))</f>
        <v>800</v>
      </c>
      <c r="Q797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370</v>
      </c>
    </row>
    <row r="798" spans="1:17" x14ac:dyDescent="0.25">
      <c r="A798" s="1"/>
      <c r="B798" s="18" t="s">
        <v>592</v>
      </c>
      <c r="C798" s="19" t="s">
        <v>171</v>
      </c>
      <c r="D798" s="19" t="s">
        <v>496</v>
      </c>
      <c r="E798" s="19" t="s">
        <v>595</v>
      </c>
      <c r="F798" s="19" t="s">
        <v>592</v>
      </c>
      <c r="G798" s="20">
        <v>250</v>
      </c>
      <c r="I798" s="20">
        <v>10</v>
      </c>
      <c r="J798" s="4">
        <f t="shared" si="140"/>
        <v>260</v>
      </c>
      <c r="K798" s="4">
        <f t="shared" si="141"/>
        <v>310</v>
      </c>
      <c r="L798" s="4">
        <f t="shared" si="142"/>
        <v>325</v>
      </c>
      <c r="M798" s="4">
        <f t="shared" si="143"/>
        <v>425</v>
      </c>
      <c r="N798" s="4">
        <f t="shared" si="144"/>
        <v>300</v>
      </c>
      <c r="O798" s="4">
        <f t="shared" si="145"/>
        <v>350</v>
      </c>
      <c r="P798" s="4">
        <f>IF((((Price25[Cost]*1.5)+50)/0.835)&lt;2500,
MROUND((((( Price25[Cost]*1.5)+50)/0.835)*1.05)*2,10),
MROUND((((( Price25[Cost]*1.5)+50)/0.835)*1.18)*2,10))</f>
        <v>1070</v>
      </c>
      <c r="Q798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500</v>
      </c>
    </row>
    <row r="799" spans="1:17" x14ac:dyDescent="0.25">
      <c r="A799" s="1"/>
      <c r="B799" s="18" t="s">
        <v>593</v>
      </c>
      <c r="C799" s="19" t="s">
        <v>171</v>
      </c>
      <c r="D799" s="19" t="s">
        <v>496</v>
      </c>
      <c r="E799" s="19" t="s">
        <v>595</v>
      </c>
      <c r="F799" s="19" t="s">
        <v>593</v>
      </c>
      <c r="G799" s="20">
        <v>180</v>
      </c>
      <c r="I799" s="20">
        <v>10</v>
      </c>
      <c r="J799" s="4">
        <f t="shared" si="140"/>
        <v>190</v>
      </c>
      <c r="K799" s="4">
        <f t="shared" si="141"/>
        <v>230</v>
      </c>
      <c r="L799" s="4">
        <f t="shared" si="142"/>
        <v>240</v>
      </c>
      <c r="M799" s="4">
        <f t="shared" si="143"/>
        <v>300</v>
      </c>
      <c r="N799" s="4">
        <f t="shared" si="144"/>
        <v>225</v>
      </c>
      <c r="O799" s="4">
        <f t="shared" si="145"/>
        <v>260</v>
      </c>
      <c r="P799" s="4">
        <f>IF((((Price25[Cost]*1.5)+50)/0.835)&lt;2500,
MROUND((((( Price25[Cost]*1.5)+50)/0.835)*1.05)*2,10),
MROUND((((( Price25[Cost]*1.5)+50)/0.835)*1.18)*2,10))</f>
        <v>800</v>
      </c>
      <c r="Q799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370</v>
      </c>
    </row>
    <row r="800" spans="1:17" x14ac:dyDescent="0.25">
      <c r="A800" s="1"/>
      <c r="B800" s="18" t="s">
        <v>594</v>
      </c>
      <c r="C800" s="19" t="s">
        <v>171</v>
      </c>
      <c r="D800" s="19" t="s">
        <v>496</v>
      </c>
      <c r="E800" s="19" t="s">
        <v>595</v>
      </c>
      <c r="F800" s="19" t="s">
        <v>594</v>
      </c>
      <c r="G800" s="20">
        <v>180</v>
      </c>
      <c r="I800" s="20">
        <v>10</v>
      </c>
      <c r="J800" s="4">
        <f t="shared" si="140"/>
        <v>190</v>
      </c>
      <c r="K800" s="4">
        <f t="shared" si="141"/>
        <v>230</v>
      </c>
      <c r="L800" s="4">
        <f t="shared" si="142"/>
        <v>240</v>
      </c>
      <c r="M800" s="4">
        <f t="shared" si="143"/>
        <v>300</v>
      </c>
      <c r="N800" s="4">
        <f t="shared" si="144"/>
        <v>225</v>
      </c>
      <c r="O800" s="4">
        <f t="shared" si="145"/>
        <v>260</v>
      </c>
      <c r="P800" s="4">
        <f>IF((((Price25[Cost]*1.5)+50)/0.835)&lt;2500,
MROUND((((( Price25[Cost]*1.5)+50)/0.835)*1.05)*2,10),
MROUND((((( Price25[Cost]*1.5)+50)/0.835)*1.18)*2,10))</f>
        <v>800</v>
      </c>
      <c r="Q800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370</v>
      </c>
    </row>
    <row r="801" spans="1:17" x14ac:dyDescent="0.25">
      <c r="A801" s="1"/>
      <c r="B801" s="18" t="s">
        <v>151</v>
      </c>
      <c r="C801" s="19" t="s">
        <v>153</v>
      </c>
      <c r="D801" s="19" t="s">
        <v>496</v>
      </c>
      <c r="E801" s="19" t="s">
        <v>139</v>
      </c>
      <c r="F801" s="19" t="s">
        <v>151</v>
      </c>
      <c r="G801" s="20">
        <v>330</v>
      </c>
      <c r="I801" s="20">
        <v>10</v>
      </c>
      <c r="J801" s="4">
        <f t="shared" si="140"/>
        <v>340</v>
      </c>
      <c r="K801" s="4">
        <f t="shared" si="141"/>
        <v>405</v>
      </c>
      <c r="L801" s="4">
        <f t="shared" si="142"/>
        <v>425</v>
      </c>
      <c r="M801" s="4">
        <f t="shared" si="143"/>
        <v>550</v>
      </c>
      <c r="N801" s="4">
        <f t="shared" si="144"/>
        <v>395</v>
      </c>
      <c r="O801" s="4">
        <f t="shared" si="145"/>
        <v>455</v>
      </c>
      <c r="P801" s="4">
        <f>IF((((Price25[Cost]*1.5)+50)/0.835)&lt;2500,
MROUND((((( Price25[Cost]*1.5)+50)/0.835)*1.05)*2,10),
MROUND((((( Price25[Cost]*1.5)+50)/0.835)*1.18)*2,10))</f>
        <v>1370</v>
      </c>
      <c r="Q801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620</v>
      </c>
    </row>
    <row r="802" spans="1:17" x14ac:dyDescent="0.25">
      <c r="A802" s="1"/>
      <c r="B802" s="18" t="s">
        <v>408</v>
      </c>
      <c r="C802" s="19" t="s">
        <v>153</v>
      </c>
      <c r="D802" s="19" t="s">
        <v>496</v>
      </c>
      <c r="E802" s="19" t="s">
        <v>139</v>
      </c>
      <c r="F802" s="19" t="s">
        <v>408</v>
      </c>
      <c r="G802" s="20">
        <v>395</v>
      </c>
      <c r="I802" s="20">
        <v>10</v>
      </c>
      <c r="J802" s="4">
        <f t="shared" si="140"/>
        <v>405</v>
      </c>
      <c r="K802" s="4">
        <f t="shared" si="141"/>
        <v>485</v>
      </c>
      <c r="L802" s="4">
        <f t="shared" si="142"/>
        <v>510</v>
      </c>
      <c r="M802" s="4">
        <f t="shared" si="143"/>
        <v>650</v>
      </c>
      <c r="N802" s="4">
        <f t="shared" si="144"/>
        <v>470</v>
      </c>
      <c r="O802" s="4">
        <f t="shared" si="145"/>
        <v>550</v>
      </c>
      <c r="P802" s="4">
        <f>IF((((Price25[Cost]*1.5)+50)/0.835)&lt;2500,
MROUND((((( Price25[Cost]*1.5)+50)/0.835)*1.05)*2,10),
MROUND((((( Price25[Cost]*1.5)+50)/0.835)*1.18)*2,10))</f>
        <v>1620</v>
      </c>
      <c r="Q802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720</v>
      </c>
    </row>
    <row r="803" spans="1:17" x14ac:dyDescent="0.25">
      <c r="A803" s="1"/>
      <c r="B803" s="18" t="s">
        <v>152</v>
      </c>
      <c r="C803" s="19" t="s">
        <v>153</v>
      </c>
      <c r="D803" s="19" t="s">
        <v>496</v>
      </c>
      <c r="E803" s="19" t="s">
        <v>139</v>
      </c>
      <c r="F803" s="19" t="s">
        <v>152</v>
      </c>
      <c r="G803" s="20">
        <v>295</v>
      </c>
      <c r="J803" s="4">
        <f t="shared" si="140"/>
        <v>295</v>
      </c>
      <c r="K803" s="4">
        <f t="shared" si="141"/>
        <v>355</v>
      </c>
      <c r="L803" s="4">
        <f t="shared" si="142"/>
        <v>370</v>
      </c>
      <c r="M803" s="4">
        <f t="shared" si="143"/>
        <v>475</v>
      </c>
      <c r="N803" s="4">
        <f t="shared" si="144"/>
        <v>345</v>
      </c>
      <c r="O803" s="4">
        <f t="shared" si="145"/>
        <v>400</v>
      </c>
      <c r="P803" s="4">
        <f>IF((((Price25[Cost]*1.5)+50)/0.835)&lt;2500,
MROUND((((( Price25[Cost]*1.5)+50)/0.835)*1.05)*2,10),
MROUND((((( Price25[Cost]*1.5)+50)/0.835)*1.18)*2,10))</f>
        <v>1240</v>
      </c>
      <c r="Q803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550</v>
      </c>
    </row>
    <row r="804" spans="1:17" x14ac:dyDescent="0.25">
      <c r="A804" s="1"/>
      <c r="B804" s="18" t="s">
        <v>370</v>
      </c>
      <c r="C804" s="19" t="s">
        <v>153</v>
      </c>
      <c r="D804" s="19" t="s">
        <v>496</v>
      </c>
      <c r="E804" s="19" t="s">
        <v>139</v>
      </c>
      <c r="F804" s="19" t="s">
        <v>370</v>
      </c>
      <c r="G804" s="20">
        <v>320</v>
      </c>
      <c r="I804" s="20">
        <v>10</v>
      </c>
      <c r="J804" s="4">
        <f t="shared" si="140"/>
        <v>330</v>
      </c>
      <c r="K804" s="4">
        <f t="shared" si="141"/>
        <v>395</v>
      </c>
      <c r="L804" s="4">
        <f t="shared" si="142"/>
        <v>415</v>
      </c>
      <c r="M804" s="4">
        <f t="shared" si="143"/>
        <v>525</v>
      </c>
      <c r="N804" s="4">
        <f t="shared" si="144"/>
        <v>385</v>
      </c>
      <c r="O804" s="4">
        <f t="shared" si="145"/>
        <v>445</v>
      </c>
      <c r="P804" s="4">
        <f>IF((((Price25[Cost]*1.5)+50)/0.835)&lt;2500,
MROUND((((( Price25[Cost]*1.5)+50)/0.835)*1.05)*2,10),
MROUND((((( Price25[Cost]*1.5)+50)/0.835)*1.18)*2,10))</f>
        <v>1330</v>
      </c>
      <c r="Q804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600</v>
      </c>
    </row>
    <row r="805" spans="1:17" x14ac:dyDescent="0.25">
      <c r="A805" s="1"/>
      <c r="B805" s="18" t="s">
        <v>362</v>
      </c>
      <c r="C805" s="19" t="s">
        <v>153</v>
      </c>
      <c r="D805" s="19" t="s">
        <v>31</v>
      </c>
      <c r="E805" s="19" t="s">
        <v>139</v>
      </c>
      <c r="F805" s="19" t="s">
        <v>362</v>
      </c>
      <c r="G805" s="20">
        <v>240</v>
      </c>
      <c r="I805" s="20">
        <v>10</v>
      </c>
      <c r="J805" s="4">
        <f t="shared" si="140"/>
        <v>250</v>
      </c>
      <c r="K805" s="4">
        <f t="shared" si="141"/>
        <v>300</v>
      </c>
      <c r="L805" s="4">
        <f t="shared" si="142"/>
        <v>315</v>
      </c>
      <c r="M805" s="4">
        <f t="shared" si="143"/>
        <v>400</v>
      </c>
      <c r="N805" s="4">
        <f t="shared" si="144"/>
        <v>290</v>
      </c>
      <c r="O805" s="4">
        <f t="shared" si="145"/>
        <v>340</v>
      </c>
      <c r="P805" s="4">
        <f>IF((((Price25[Cost]*1.5)+50)/0.835)&lt;2500,
MROUND((((( Price25[Cost]*1.5)+50)/0.835)*1.05)*2,10),
MROUND((((( Price25[Cost]*1.5)+50)/0.835)*1.18)*2,10))</f>
        <v>1030</v>
      </c>
      <c r="Q805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470</v>
      </c>
    </row>
    <row r="806" spans="1:17" x14ac:dyDescent="0.25">
      <c r="A806" s="1"/>
      <c r="B806" s="18" t="s">
        <v>63</v>
      </c>
      <c r="C806" s="19" t="s">
        <v>31</v>
      </c>
      <c r="D806" s="19" t="s">
        <v>31</v>
      </c>
      <c r="E806" s="19" t="s">
        <v>160</v>
      </c>
      <c r="F806" s="19" t="s">
        <v>161</v>
      </c>
      <c r="G806" s="20">
        <v>95</v>
      </c>
      <c r="I806" s="20">
        <v>5</v>
      </c>
      <c r="J806" s="4">
        <f t="shared" si="140"/>
        <v>100</v>
      </c>
      <c r="K806" s="4">
        <f t="shared" si="141"/>
        <v>120</v>
      </c>
      <c r="L806" s="4">
        <f t="shared" si="142"/>
        <v>125</v>
      </c>
      <c r="M806" s="4">
        <f t="shared" si="143"/>
        <v>175</v>
      </c>
      <c r="N806" s="4">
        <f t="shared" si="144"/>
        <v>115</v>
      </c>
      <c r="O806" s="4">
        <f t="shared" si="145"/>
        <v>135</v>
      </c>
      <c r="P806" s="4">
        <f>IF((((Price25[Cost]*1.5)+50)/0.835)&lt;2500,
MROUND((((( Price25[Cost]*1.5)+50)/0.835)*1.05)*2,10),
MROUND((((( Price25[Cost]*1.5)+50)/0.835)*1.18)*2,10))</f>
        <v>480</v>
      </c>
      <c r="Q806" s="4">
        <f>IF($S$3="","",
MROUND(
  IF($S$3="m",
     IF($T$3=1, Price25[[#This Row],[Mrp]]+$W$4, Price25[[#This Row],[Mrp]]+$X$4),
  IF($S$3="nc",
     IF($T$3=1, Price25[[#This Row],[Net Cash]]+$W$5, Price25[[#This Row],[Net Cash]]+$X$5),
  IF($S$3="npc",
     IF($T$3=1, Price25[[#This Row],[Net Price Credit]]+$W$6, Price25[[#This Row],[Net Price Credit]]+$X$6),
  IF($S$3="w",
     IF($T$3=1, Price25[[#This Row],[Wsp]]+$W$6, Price25[[#This Row],[Wsp]]+$X$6),
  "")))),
10))</f>
        <v>250</v>
      </c>
    </row>
    <row r="807" spans="1:17" x14ac:dyDescent="0.25">
      <c r="A807" s="1"/>
      <c r="B807" s="18"/>
      <c r="C807" s="19"/>
      <c r="D807" s="19"/>
      <c r="E807" s="19"/>
      <c r="F807" s="19"/>
    </row>
    <row r="808" spans="1:17" x14ac:dyDescent="0.25">
      <c r="A808" s="1"/>
      <c r="B808" s="18"/>
      <c r="C808" s="19"/>
      <c r="D808" s="19"/>
      <c r="E808" s="19"/>
      <c r="F808" s="19"/>
    </row>
    <row r="809" spans="1:17" x14ac:dyDescent="0.25">
      <c r="A809" s="1" t="s">
        <v>697</v>
      </c>
      <c r="B809" s="18" t="s">
        <v>696</v>
      </c>
      <c r="C809" s="19" t="s">
        <v>427</v>
      </c>
      <c r="D809" s="19" t="s">
        <v>503</v>
      </c>
      <c r="E809" s="19" t="s">
        <v>123</v>
      </c>
      <c r="F809" s="19" t="s">
        <v>747</v>
      </c>
      <c r="G809" s="20" t="s">
        <v>748</v>
      </c>
      <c r="H809" s="20" t="s">
        <v>749</v>
      </c>
      <c r="I809" s="20" t="s">
        <v>750</v>
      </c>
      <c r="J809" s="4" t="s">
        <v>703</v>
      </c>
      <c r="K809" s="4" t="s">
        <v>751</v>
      </c>
      <c r="L809" s="4" t="s">
        <v>752</v>
      </c>
      <c r="M809" s="4" t="s">
        <v>432</v>
      </c>
      <c r="N809" s="4" t="s">
        <v>753</v>
      </c>
      <c r="O809" s="4" t="s">
        <v>754</v>
      </c>
      <c r="P809" s="4" t="s">
        <v>918</v>
      </c>
      <c r="Q809" s="72" t="s">
        <v>951</v>
      </c>
    </row>
    <row r="810" spans="1:17" x14ac:dyDescent="0.25">
      <c r="A810" s="1"/>
      <c r="B810" s="18" t="s">
        <v>298</v>
      </c>
      <c r="C810" s="19" t="s">
        <v>162</v>
      </c>
      <c r="D810" s="19" t="s">
        <v>701</v>
      </c>
      <c r="E810" s="19" t="s">
        <v>297</v>
      </c>
      <c r="F810" s="19">
        <v>610</v>
      </c>
      <c r="G810" s="20">
        <v>540</v>
      </c>
      <c r="I810" s="20">
        <v>10</v>
      </c>
      <c r="J810" s="4">
        <f t="shared" ref="J810:J838" si="146">IF(SUMIF(G810:I810,"&lt;&gt;")=0,"",SUM(G810:I810))</f>
        <v>550</v>
      </c>
      <c r="K810" s="4">
        <f t="shared" ref="K810:K838" si="147">IF(ISNUMBER(L810), CEILING(ROUND(L810*0.95,2),5), "")</f>
        <v>660</v>
      </c>
      <c r="L810" s="4">
        <f t="shared" ref="L810:L838" si="148">IF(AND(ISNUMBER(J810),ISNUMBER(G810)), CEILING(ROUND(J810*1.25,2),5), "")</f>
        <v>690</v>
      </c>
      <c r="M810" s="4">
        <f t="shared" ref="M810:M838" si="149">IF(AND(ISNUMBER(J810),ISNUMBER(G810)),
   CEILING(
      ROUND((J810*1.4) * 1.05, 2),
      IF(ROUND((J810*1.4) * 1.05, 2) &lt; 2500, 5, 50)
   ),
"")</f>
        <v>810</v>
      </c>
      <c r="N810" s="4">
        <f t="shared" ref="N810:N838" si="150">IF(ISNUMBER(G810), CEILING(ROUND(L810*0.92,2),5), "")</f>
        <v>635</v>
      </c>
      <c r="O810" s="4">
        <f t="shared" ref="O810:O838" si="151">IF(ISNUMBER(L810), CEILING(ROUND(L810*1.07,2),5), "")</f>
        <v>740</v>
      </c>
      <c r="P810" s="4">
        <f>IF(((SuitBranded[[#This Row],[Cost]]*1.5+50)/0.835)&lt;2500,
    MROUND(((SuitBranded[[#This Row],[Cost]]*1.5+50)/0.835*1.05)*2,10),
    MROUND(((SuitBranded[[#This Row],[Cost]]*1.5+50)/0.835*1.18)*2,10))</f>
        <v>2160</v>
      </c>
      <c r="Q810" s="4">
        <f>IF($S$3="","",
MROUND(
  IF($S$3="m",
     IF($T$3=1, SuitBranded[[#This Row],[Mrp]]+$W$4, SuitBranded[[#This Row],[Mrp]]+$X$4),
  IF($S$3="nc",
     IF($T$3=1, SuitBranded[[#This Row],[Net Cash]]+$W$5, SuitBranded[[#This Row],[Net Cash]]+$X$5),
  IF($S$3="npc",
     IF($T$3=1, SuitBranded[[#This Row],[Net Price Credit]]+$W$6, SuitBranded[[#This Row],[Net Price Credit]]+$X$6),
  IF($S$3="w",
     IF($T$3=1, SuitBranded[[#This Row],[Wsp]]+$W$6, SuitBranded[[#This Row],[Wsp]]+$X$6),
  "")))),
10))</f>
        <v>880</v>
      </c>
    </row>
    <row r="811" spans="1:17" x14ac:dyDescent="0.25">
      <c r="A811" s="1"/>
      <c r="B811" s="18" t="s">
        <v>299</v>
      </c>
      <c r="C811" s="19" t="s">
        <v>162</v>
      </c>
      <c r="D811" s="19" t="s">
        <v>701</v>
      </c>
      <c r="E811" s="19" t="s">
        <v>297</v>
      </c>
      <c r="F811" s="19">
        <v>611</v>
      </c>
      <c r="G811" s="20">
        <v>540</v>
      </c>
      <c r="I811" s="20">
        <v>10</v>
      </c>
      <c r="J811" s="4">
        <f t="shared" si="146"/>
        <v>550</v>
      </c>
      <c r="K811" s="4">
        <f t="shared" si="147"/>
        <v>660</v>
      </c>
      <c r="L811" s="4">
        <f t="shared" si="148"/>
        <v>690</v>
      </c>
      <c r="M811" s="4">
        <f t="shared" si="149"/>
        <v>810</v>
      </c>
      <c r="N811" s="4">
        <f t="shared" si="150"/>
        <v>635</v>
      </c>
      <c r="O811" s="4">
        <f t="shared" si="151"/>
        <v>740</v>
      </c>
      <c r="P811" s="4">
        <f>IF(((SuitBranded[[#This Row],[Cost]]*1.5+50)/0.835)&lt;2500,
    MROUND(((SuitBranded[[#This Row],[Cost]]*1.5+50)/0.835*1.05)*2,10),
    MROUND(((SuitBranded[[#This Row],[Cost]]*1.5+50)/0.835*1.18)*2,10))</f>
        <v>2160</v>
      </c>
      <c r="Q811" s="4">
        <f>IF($S$3="","",
MROUND(
  IF($S$3="m",
     IF($T$3=1, SuitBranded[[#This Row],[Mrp]]+$W$4, SuitBranded[[#This Row],[Mrp]]+$X$4),
  IF($S$3="nc",
     IF($T$3=1, SuitBranded[[#This Row],[Net Cash]]+$W$5, SuitBranded[[#This Row],[Net Cash]]+$X$5),
  IF($S$3="npc",
     IF($T$3=1, SuitBranded[[#This Row],[Net Price Credit]]+$W$6, SuitBranded[[#This Row],[Net Price Credit]]+$X$6),
  IF($S$3="w",
     IF($T$3=1, SuitBranded[[#This Row],[Wsp]]+$W$6, SuitBranded[[#This Row],[Wsp]]+$X$6),
  "")))),
10))</f>
        <v>880</v>
      </c>
    </row>
    <row r="812" spans="1:17" x14ac:dyDescent="0.25">
      <c r="A812" s="1"/>
      <c r="B812" s="18" t="s">
        <v>300</v>
      </c>
      <c r="C812" s="19" t="s">
        <v>162</v>
      </c>
      <c r="D812" s="19" t="s">
        <v>701</v>
      </c>
      <c r="E812" s="19" t="s">
        <v>297</v>
      </c>
      <c r="F812" s="19">
        <v>612</v>
      </c>
      <c r="G812" s="20">
        <v>540</v>
      </c>
      <c r="I812" s="20">
        <v>10</v>
      </c>
      <c r="J812" s="4">
        <f t="shared" si="146"/>
        <v>550</v>
      </c>
      <c r="K812" s="4">
        <f t="shared" si="147"/>
        <v>660</v>
      </c>
      <c r="L812" s="4">
        <f t="shared" si="148"/>
        <v>690</v>
      </c>
      <c r="M812" s="4">
        <f t="shared" si="149"/>
        <v>810</v>
      </c>
      <c r="N812" s="4">
        <f t="shared" si="150"/>
        <v>635</v>
      </c>
      <c r="O812" s="4">
        <f t="shared" si="151"/>
        <v>740</v>
      </c>
      <c r="P812" s="4">
        <f>IF(((SuitBranded[[#This Row],[Cost]]*1.5+50)/0.835)&lt;2500,
    MROUND(((SuitBranded[[#This Row],[Cost]]*1.5+50)/0.835*1.05)*2,10),
    MROUND(((SuitBranded[[#This Row],[Cost]]*1.5+50)/0.835*1.18)*2,10))</f>
        <v>2160</v>
      </c>
      <c r="Q812" s="4">
        <f>IF($S$3="","",
MROUND(
  IF($S$3="m",
     IF($T$3=1, SuitBranded[[#This Row],[Mrp]]+$W$4, SuitBranded[[#This Row],[Mrp]]+$X$4),
  IF($S$3="nc",
     IF($T$3=1, SuitBranded[[#This Row],[Net Cash]]+$W$5, SuitBranded[[#This Row],[Net Cash]]+$X$5),
  IF($S$3="npc",
     IF($T$3=1, SuitBranded[[#This Row],[Net Price Credit]]+$W$6, SuitBranded[[#This Row],[Net Price Credit]]+$X$6),
  IF($S$3="w",
     IF($T$3=1, SuitBranded[[#This Row],[Wsp]]+$W$6, SuitBranded[[#This Row],[Wsp]]+$X$6),
  "")))),
10))</f>
        <v>880</v>
      </c>
    </row>
    <row r="813" spans="1:17" x14ac:dyDescent="0.25">
      <c r="A813" s="1"/>
      <c r="B813" s="18" t="s">
        <v>301</v>
      </c>
      <c r="C813" s="19" t="s">
        <v>162</v>
      </c>
      <c r="D813" s="19" t="s">
        <v>701</v>
      </c>
      <c r="E813" s="19" t="s">
        <v>297</v>
      </c>
      <c r="F813" s="19">
        <v>613</v>
      </c>
      <c r="G813" s="20">
        <v>540</v>
      </c>
      <c r="I813" s="20">
        <v>10</v>
      </c>
      <c r="J813" s="4">
        <f t="shared" si="146"/>
        <v>550</v>
      </c>
      <c r="K813" s="4">
        <f t="shared" si="147"/>
        <v>660</v>
      </c>
      <c r="L813" s="4">
        <f t="shared" si="148"/>
        <v>690</v>
      </c>
      <c r="M813" s="4">
        <f t="shared" si="149"/>
        <v>810</v>
      </c>
      <c r="N813" s="4">
        <f t="shared" si="150"/>
        <v>635</v>
      </c>
      <c r="O813" s="4">
        <f t="shared" si="151"/>
        <v>740</v>
      </c>
      <c r="P813" s="4">
        <f>IF(((SuitBranded[[#This Row],[Cost]]*1.5+50)/0.835)&lt;2500,
    MROUND(((SuitBranded[[#This Row],[Cost]]*1.5+50)/0.835*1.05)*2,10),
    MROUND(((SuitBranded[[#This Row],[Cost]]*1.5+50)/0.835*1.18)*2,10))</f>
        <v>2160</v>
      </c>
      <c r="Q813" s="4">
        <f>IF($S$3="","",
MROUND(
  IF($S$3="m",
     IF($T$3=1, SuitBranded[[#This Row],[Mrp]]+$W$4, SuitBranded[[#This Row],[Mrp]]+$X$4),
  IF($S$3="nc",
     IF($T$3=1, SuitBranded[[#This Row],[Net Cash]]+$W$5, SuitBranded[[#This Row],[Net Cash]]+$X$5),
  IF($S$3="npc",
     IF($T$3=1, SuitBranded[[#This Row],[Net Price Credit]]+$W$6, SuitBranded[[#This Row],[Net Price Credit]]+$X$6),
  IF($S$3="w",
     IF($T$3=1, SuitBranded[[#This Row],[Wsp]]+$W$6, SuitBranded[[#This Row],[Wsp]]+$X$6),
  "")))),
10))</f>
        <v>880</v>
      </c>
    </row>
    <row r="814" spans="1:17" x14ac:dyDescent="0.25">
      <c r="A814" s="1"/>
      <c r="B814" s="18" t="s">
        <v>302</v>
      </c>
      <c r="C814" s="19" t="s">
        <v>162</v>
      </c>
      <c r="D814" s="19" t="s">
        <v>701</v>
      </c>
      <c r="E814" s="19" t="s">
        <v>297</v>
      </c>
      <c r="F814" s="19">
        <v>614</v>
      </c>
      <c r="G814" s="20">
        <v>540</v>
      </c>
      <c r="I814" s="20">
        <v>10</v>
      </c>
      <c r="J814" s="4">
        <f t="shared" si="146"/>
        <v>550</v>
      </c>
      <c r="K814" s="4">
        <f t="shared" si="147"/>
        <v>660</v>
      </c>
      <c r="L814" s="4">
        <f t="shared" si="148"/>
        <v>690</v>
      </c>
      <c r="M814" s="4">
        <f t="shared" si="149"/>
        <v>810</v>
      </c>
      <c r="N814" s="4">
        <f t="shared" si="150"/>
        <v>635</v>
      </c>
      <c r="O814" s="4">
        <f t="shared" si="151"/>
        <v>740</v>
      </c>
      <c r="P814" s="4">
        <f>IF(((SuitBranded[[#This Row],[Cost]]*1.5+50)/0.835)&lt;2500,
    MROUND(((SuitBranded[[#This Row],[Cost]]*1.5+50)/0.835*1.05)*2,10),
    MROUND(((SuitBranded[[#This Row],[Cost]]*1.5+50)/0.835*1.18)*2,10))</f>
        <v>2160</v>
      </c>
      <c r="Q814" s="4">
        <f>IF($S$3="","",
MROUND(
  IF($S$3="m",
     IF($T$3=1, SuitBranded[[#This Row],[Mrp]]+$W$4, SuitBranded[[#This Row],[Mrp]]+$X$4),
  IF($S$3="nc",
     IF($T$3=1, SuitBranded[[#This Row],[Net Cash]]+$W$5, SuitBranded[[#This Row],[Net Cash]]+$X$5),
  IF($S$3="npc",
     IF($T$3=1, SuitBranded[[#This Row],[Net Price Credit]]+$W$6, SuitBranded[[#This Row],[Net Price Credit]]+$X$6),
  IF($S$3="w",
     IF($T$3=1, SuitBranded[[#This Row],[Wsp]]+$W$6, SuitBranded[[#This Row],[Wsp]]+$X$6),
  "")))),
10))</f>
        <v>880</v>
      </c>
    </row>
    <row r="815" spans="1:17" x14ac:dyDescent="0.25">
      <c r="A815" s="1"/>
      <c r="B815" s="18" t="s">
        <v>303</v>
      </c>
      <c r="C815" s="19" t="s">
        <v>162</v>
      </c>
      <c r="D815" s="19" t="s">
        <v>701</v>
      </c>
      <c r="E815" s="19" t="s">
        <v>297</v>
      </c>
      <c r="F815" s="19">
        <v>839</v>
      </c>
      <c r="G815" s="20">
        <v>800</v>
      </c>
      <c r="I815" s="20">
        <v>10</v>
      </c>
      <c r="J815" s="4">
        <f t="shared" si="146"/>
        <v>810</v>
      </c>
      <c r="K815" s="4">
        <f t="shared" si="147"/>
        <v>965</v>
      </c>
      <c r="L815" s="4">
        <f t="shared" si="148"/>
        <v>1015</v>
      </c>
      <c r="M815" s="4">
        <f t="shared" si="149"/>
        <v>1195</v>
      </c>
      <c r="N815" s="4">
        <f t="shared" si="150"/>
        <v>935</v>
      </c>
      <c r="O815" s="4">
        <f t="shared" si="151"/>
        <v>1090</v>
      </c>
      <c r="P815" s="4">
        <f>IF(((SuitBranded[[#This Row],[Cost]]*1.5+50)/0.835)&lt;2500,
    MROUND(((SuitBranded[[#This Row],[Cost]]*1.5+50)/0.835*1.05)*2,10),
    MROUND(((SuitBranded[[#This Row],[Cost]]*1.5+50)/0.835*1.18)*2,10))</f>
        <v>3140</v>
      </c>
      <c r="Q815" s="4">
        <f>IF($S$3="","",
MROUND(
  IF($S$3="m",
     IF($T$3=1, SuitBranded[[#This Row],[Mrp]]+$W$4, SuitBranded[[#This Row],[Mrp]]+$X$4),
  IF($S$3="nc",
     IF($T$3=1, SuitBranded[[#This Row],[Net Cash]]+$W$5, SuitBranded[[#This Row],[Net Cash]]+$X$5),
  IF($S$3="npc",
     IF($T$3=1, SuitBranded[[#This Row],[Net Price Credit]]+$W$6, SuitBranded[[#This Row],[Net Price Credit]]+$X$6),
  IF($S$3="w",
     IF($T$3=1, SuitBranded[[#This Row],[Wsp]]+$W$6, SuitBranded[[#This Row],[Wsp]]+$X$6),
  "")))),
10))</f>
        <v>1270</v>
      </c>
    </row>
    <row r="816" spans="1:17" x14ac:dyDescent="0.25">
      <c r="A816" s="1"/>
      <c r="B816" s="18" t="s">
        <v>304</v>
      </c>
      <c r="C816" s="19" t="s">
        <v>162</v>
      </c>
      <c r="D816" s="19" t="s">
        <v>701</v>
      </c>
      <c r="E816" s="19" t="s">
        <v>297</v>
      </c>
      <c r="F816" s="19">
        <v>846</v>
      </c>
      <c r="G816" s="20">
        <v>800</v>
      </c>
      <c r="I816" s="20">
        <v>10</v>
      </c>
      <c r="J816" s="4">
        <f t="shared" si="146"/>
        <v>810</v>
      </c>
      <c r="K816" s="4">
        <f t="shared" si="147"/>
        <v>965</v>
      </c>
      <c r="L816" s="4">
        <f t="shared" si="148"/>
        <v>1015</v>
      </c>
      <c r="M816" s="4">
        <f t="shared" si="149"/>
        <v>1195</v>
      </c>
      <c r="N816" s="4">
        <f t="shared" si="150"/>
        <v>935</v>
      </c>
      <c r="O816" s="4">
        <f t="shared" si="151"/>
        <v>1090</v>
      </c>
      <c r="P816" s="4">
        <f>IF(((SuitBranded[[#This Row],[Cost]]*1.5+50)/0.835)&lt;2500,
    MROUND(((SuitBranded[[#This Row],[Cost]]*1.5+50)/0.835*1.05)*2,10),
    MROUND(((SuitBranded[[#This Row],[Cost]]*1.5+50)/0.835*1.18)*2,10))</f>
        <v>3140</v>
      </c>
      <c r="Q816" s="4">
        <f>IF($S$3="","",
MROUND(
  IF($S$3="m",
     IF($T$3=1, SuitBranded[[#This Row],[Mrp]]+$W$4, SuitBranded[[#This Row],[Mrp]]+$X$4),
  IF($S$3="nc",
     IF($T$3=1, SuitBranded[[#This Row],[Net Cash]]+$W$5, SuitBranded[[#This Row],[Net Cash]]+$X$5),
  IF($S$3="npc",
     IF($T$3=1, SuitBranded[[#This Row],[Net Price Credit]]+$W$6, SuitBranded[[#This Row],[Net Price Credit]]+$X$6),
  IF($S$3="w",
     IF($T$3=1, SuitBranded[[#This Row],[Wsp]]+$W$6, SuitBranded[[#This Row],[Wsp]]+$X$6),
  "")))),
10))</f>
        <v>1270</v>
      </c>
    </row>
    <row r="817" spans="1:17" x14ac:dyDescent="0.25">
      <c r="A817" s="1"/>
      <c r="B817" s="18" t="s">
        <v>305</v>
      </c>
      <c r="C817" s="19" t="s">
        <v>162</v>
      </c>
      <c r="D817" s="19" t="s">
        <v>701</v>
      </c>
      <c r="E817" s="19" t="s">
        <v>297</v>
      </c>
      <c r="F817" s="19">
        <v>849</v>
      </c>
      <c r="G817" s="20">
        <v>800</v>
      </c>
      <c r="I817" s="20">
        <v>10</v>
      </c>
      <c r="J817" s="4">
        <f t="shared" si="146"/>
        <v>810</v>
      </c>
      <c r="K817" s="4">
        <f t="shared" si="147"/>
        <v>965</v>
      </c>
      <c r="L817" s="4">
        <f t="shared" si="148"/>
        <v>1015</v>
      </c>
      <c r="M817" s="4">
        <f t="shared" si="149"/>
        <v>1195</v>
      </c>
      <c r="N817" s="4">
        <f t="shared" si="150"/>
        <v>935</v>
      </c>
      <c r="O817" s="4">
        <f t="shared" si="151"/>
        <v>1090</v>
      </c>
      <c r="P817" s="4">
        <f>IF(((SuitBranded[[#This Row],[Cost]]*1.5+50)/0.835)&lt;2500,
    MROUND(((SuitBranded[[#This Row],[Cost]]*1.5+50)/0.835*1.05)*2,10),
    MROUND(((SuitBranded[[#This Row],[Cost]]*1.5+50)/0.835*1.18)*2,10))</f>
        <v>3140</v>
      </c>
      <c r="Q817" s="4">
        <f>IF($S$3="","",
MROUND(
  IF($S$3="m",
     IF($T$3=1, SuitBranded[[#This Row],[Mrp]]+$W$4, SuitBranded[[#This Row],[Mrp]]+$X$4),
  IF($S$3="nc",
     IF($T$3=1, SuitBranded[[#This Row],[Net Cash]]+$W$5, SuitBranded[[#This Row],[Net Cash]]+$X$5),
  IF($S$3="npc",
     IF($T$3=1, SuitBranded[[#This Row],[Net Price Credit]]+$W$6, SuitBranded[[#This Row],[Net Price Credit]]+$X$6),
  IF($S$3="w",
     IF($T$3=1, SuitBranded[[#This Row],[Wsp]]+$W$6, SuitBranded[[#This Row],[Wsp]]+$X$6),
  "")))),
10))</f>
        <v>1270</v>
      </c>
    </row>
    <row r="818" spans="1:17" x14ac:dyDescent="0.25">
      <c r="A818" s="1"/>
      <c r="B818" s="18" t="s">
        <v>306</v>
      </c>
      <c r="C818" s="19" t="s">
        <v>162</v>
      </c>
      <c r="D818" s="19" t="s">
        <v>701</v>
      </c>
      <c r="E818" s="19" t="s">
        <v>297</v>
      </c>
      <c r="F818" s="19">
        <v>832</v>
      </c>
      <c r="G818" s="20">
        <v>800</v>
      </c>
      <c r="I818" s="20">
        <v>10</v>
      </c>
      <c r="J818" s="4">
        <f t="shared" si="146"/>
        <v>810</v>
      </c>
      <c r="K818" s="4">
        <f t="shared" si="147"/>
        <v>965</v>
      </c>
      <c r="L818" s="4">
        <f t="shared" si="148"/>
        <v>1015</v>
      </c>
      <c r="M818" s="4">
        <f t="shared" si="149"/>
        <v>1195</v>
      </c>
      <c r="N818" s="4">
        <f t="shared" si="150"/>
        <v>935</v>
      </c>
      <c r="O818" s="4">
        <f t="shared" si="151"/>
        <v>1090</v>
      </c>
      <c r="P818" s="4">
        <f>IF(((SuitBranded[[#This Row],[Cost]]*1.5+50)/0.835)&lt;2500,
    MROUND(((SuitBranded[[#This Row],[Cost]]*1.5+50)/0.835*1.05)*2,10),
    MROUND(((SuitBranded[[#This Row],[Cost]]*1.5+50)/0.835*1.18)*2,10))</f>
        <v>3140</v>
      </c>
      <c r="Q818" s="4">
        <f>IF($S$3="","",
MROUND(
  IF($S$3="m",
     IF($T$3=1, SuitBranded[[#This Row],[Mrp]]+$W$4, SuitBranded[[#This Row],[Mrp]]+$X$4),
  IF($S$3="nc",
     IF($T$3=1, SuitBranded[[#This Row],[Net Cash]]+$W$5, SuitBranded[[#This Row],[Net Cash]]+$X$5),
  IF($S$3="npc",
     IF($T$3=1, SuitBranded[[#This Row],[Net Price Credit]]+$W$6, SuitBranded[[#This Row],[Net Price Credit]]+$X$6),
  IF($S$3="w",
     IF($T$3=1, SuitBranded[[#This Row],[Wsp]]+$W$6, SuitBranded[[#This Row],[Wsp]]+$X$6),
  "")))),
10))</f>
        <v>1270</v>
      </c>
    </row>
    <row r="819" spans="1:17" x14ac:dyDescent="0.25">
      <c r="A819" s="1"/>
      <c r="B819" s="18" t="s">
        <v>307</v>
      </c>
      <c r="C819" s="19" t="s">
        <v>162</v>
      </c>
      <c r="D819" s="19" t="s">
        <v>701</v>
      </c>
      <c r="E819" s="19" t="s">
        <v>297</v>
      </c>
      <c r="F819" s="19">
        <v>833</v>
      </c>
      <c r="G819" s="20">
        <v>800</v>
      </c>
      <c r="I819" s="20">
        <v>10</v>
      </c>
      <c r="J819" s="4">
        <f t="shared" si="146"/>
        <v>810</v>
      </c>
      <c r="K819" s="4">
        <f t="shared" si="147"/>
        <v>965</v>
      </c>
      <c r="L819" s="4">
        <f t="shared" si="148"/>
        <v>1015</v>
      </c>
      <c r="M819" s="4">
        <f t="shared" si="149"/>
        <v>1195</v>
      </c>
      <c r="N819" s="4">
        <f t="shared" si="150"/>
        <v>935</v>
      </c>
      <c r="O819" s="4">
        <f t="shared" si="151"/>
        <v>1090</v>
      </c>
      <c r="P819" s="4">
        <f>IF(((SuitBranded[[#This Row],[Cost]]*1.5+50)/0.835)&lt;2500,
    MROUND(((SuitBranded[[#This Row],[Cost]]*1.5+50)/0.835*1.05)*2,10),
    MROUND(((SuitBranded[[#This Row],[Cost]]*1.5+50)/0.835*1.18)*2,10))</f>
        <v>3140</v>
      </c>
      <c r="Q819" s="4">
        <f>IF($S$3="","",
MROUND(
  IF($S$3="m",
     IF($T$3=1, SuitBranded[[#This Row],[Mrp]]+$W$4, SuitBranded[[#This Row],[Mrp]]+$X$4),
  IF($S$3="nc",
     IF($T$3=1, SuitBranded[[#This Row],[Net Cash]]+$W$5, SuitBranded[[#This Row],[Net Cash]]+$X$5),
  IF($S$3="npc",
     IF($T$3=1, SuitBranded[[#This Row],[Net Price Credit]]+$W$6, SuitBranded[[#This Row],[Net Price Credit]]+$X$6),
  IF($S$3="w",
     IF($T$3=1, SuitBranded[[#This Row],[Wsp]]+$W$6, SuitBranded[[#This Row],[Wsp]]+$X$6),
  "")))),
10))</f>
        <v>1270</v>
      </c>
    </row>
    <row r="820" spans="1:17" x14ac:dyDescent="0.25">
      <c r="A820" s="1"/>
      <c r="B820" s="18" t="s">
        <v>308</v>
      </c>
      <c r="C820" s="19" t="s">
        <v>162</v>
      </c>
      <c r="D820" s="19" t="s">
        <v>701</v>
      </c>
      <c r="E820" s="19" t="s">
        <v>297</v>
      </c>
      <c r="F820" s="19">
        <v>834</v>
      </c>
      <c r="G820" s="20">
        <v>800</v>
      </c>
      <c r="I820" s="20">
        <v>10</v>
      </c>
      <c r="J820" s="4">
        <f t="shared" si="146"/>
        <v>810</v>
      </c>
      <c r="K820" s="4">
        <f t="shared" si="147"/>
        <v>965</v>
      </c>
      <c r="L820" s="4">
        <f t="shared" si="148"/>
        <v>1015</v>
      </c>
      <c r="M820" s="4">
        <f t="shared" si="149"/>
        <v>1195</v>
      </c>
      <c r="N820" s="4">
        <f t="shared" si="150"/>
        <v>935</v>
      </c>
      <c r="O820" s="4">
        <f t="shared" si="151"/>
        <v>1090</v>
      </c>
      <c r="P820" s="4">
        <f>IF(((SuitBranded[[#This Row],[Cost]]*1.5+50)/0.835)&lt;2500,
    MROUND(((SuitBranded[[#This Row],[Cost]]*1.5+50)/0.835*1.05)*2,10),
    MROUND(((SuitBranded[[#This Row],[Cost]]*1.5+50)/0.835*1.18)*2,10))</f>
        <v>3140</v>
      </c>
      <c r="Q820" s="4">
        <f>IF($S$3="","",
MROUND(
  IF($S$3="m",
     IF($T$3=1, SuitBranded[[#This Row],[Mrp]]+$W$4, SuitBranded[[#This Row],[Mrp]]+$X$4),
  IF($S$3="nc",
     IF($T$3=1, SuitBranded[[#This Row],[Net Cash]]+$W$5, SuitBranded[[#This Row],[Net Cash]]+$X$5),
  IF($S$3="npc",
     IF($T$3=1, SuitBranded[[#This Row],[Net Price Credit]]+$W$6, SuitBranded[[#This Row],[Net Price Credit]]+$X$6),
  IF($S$3="w",
     IF($T$3=1, SuitBranded[[#This Row],[Wsp]]+$W$6, SuitBranded[[#This Row],[Wsp]]+$X$6),
  "")))),
10))</f>
        <v>1270</v>
      </c>
    </row>
    <row r="821" spans="1:17" x14ac:dyDescent="0.25">
      <c r="A821" s="1"/>
      <c r="B821" s="18" t="s">
        <v>309</v>
      </c>
      <c r="C821" s="19" t="s">
        <v>162</v>
      </c>
      <c r="D821" s="19" t="s">
        <v>701</v>
      </c>
      <c r="E821" s="19" t="s">
        <v>297</v>
      </c>
      <c r="F821" s="19">
        <v>836</v>
      </c>
      <c r="G821" s="20">
        <v>800</v>
      </c>
      <c r="I821" s="20">
        <v>10</v>
      </c>
      <c r="J821" s="4">
        <f t="shared" si="146"/>
        <v>810</v>
      </c>
      <c r="K821" s="4">
        <f t="shared" si="147"/>
        <v>965</v>
      </c>
      <c r="L821" s="4">
        <f t="shared" si="148"/>
        <v>1015</v>
      </c>
      <c r="M821" s="4">
        <f t="shared" si="149"/>
        <v>1195</v>
      </c>
      <c r="N821" s="4">
        <f t="shared" si="150"/>
        <v>935</v>
      </c>
      <c r="O821" s="4">
        <f t="shared" si="151"/>
        <v>1090</v>
      </c>
      <c r="P821" s="4">
        <f>IF(((SuitBranded[[#This Row],[Cost]]*1.5+50)/0.835)&lt;2500,
    MROUND(((SuitBranded[[#This Row],[Cost]]*1.5+50)/0.835*1.05)*2,10),
    MROUND(((SuitBranded[[#This Row],[Cost]]*1.5+50)/0.835*1.18)*2,10))</f>
        <v>3140</v>
      </c>
      <c r="Q821" s="4">
        <f>IF($S$3="","",
MROUND(
  IF($S$3="m",
     IF($T$3=1, SuitBranded[[#This Row],[Mrp]]+$W$4, SuitBranded[[#This Row],[Mrp]]+$X$4),
  IF($S$3="nc",
     IF($T$3=1, SuitBranded[[#This Row],[Net Cash]]+$W$5, SuitBranded[[#This Row],[Net Cash]]+$X$5),
  IF($S$3="npc",
     IF($T$3=1, SuitBranded[[#This Row],[Net Price Credit]]+$W$6, SuitBranded[[#This Row],[Net Price Credit]]+$X$6),
  IF($S$3="w",
     IF($T$3=1, SuitBranded[[#This Row],[Wsp]]+$W$6, SuitBranded[[#This Row],[Wsp]]+$X$6),
  "")))),
10))</f>
        <v>1270</v>
      </c>
    </row>
    <row r="822" spans="1:17" x14ac:dyDescent="0.25">
      <c r="A822" s="1"/>
      <c r="B822" s="18" t="s">
        <v>310</v>
      </c>
      <c r="C822" s="19" t="s">
        <v>162</v>
      </c>
      <c r="D822" s="19" t="s">
        <v>701</v>
      </c>
      <c r="E822" s="19" t="s">
        <v>297</v>
      </c>
      <c r="F822" s="19">
        <v>837</v>
      </c>
      <c r="G822" s="20">
        <v>800</v>
      </c>
      <c r="I822" s="20">
        <v>10</v>
      </c>
      <c r="J822" s="4">
        <f t="shared" si="146"/>
        <v>810</v>
      </c>
      <c r="K822" s="4">
        <f t="shared" si="147"/>
        <v>965</v>
      </c>
      <c r="L822" s="4">
        <f t="shared" si="148"/>
        <v>1015</v>
      </c>
      <c r="M822" s="4">
        <f t="shared" si="149"/>
        <v>1195</v>
      </c>
      <c r="N822" s="4">
        <f t="shared" si="150"/>
        <v>935</v>
      </c>
      <c r="O822" s="4">
        <f t="shared" si="151"/>
        <v>1090</v>
      </c>
      <c r="P822" s="4">
        <f>IF(((SuitBranded[[#This Row],[Cost]]*1.5+50)/0.835)&lt;2500,
    MROUND(((SuitBranded[[#This Row],[Cost]]*1.5+50)/0.835*1.05)*2,10),
    MROUND(((SuitBranded[[#This Row],[Cost]]*1.5+50)/0.835*1.18)*2,10))</f>
        <v>3140</v>
      </c>
      <c r="Q822" s="4">
        <f>IF($S$3="","",
MROUND(
  IF($S$3="m",
     IF($T$3=1, SuitBranded[[#This Row],[Mrp]]+$W$4, SuitBranded[[#This Row],[Mrp]]+$X$4),
  IF($S$3="nc",
     IF($T$3=1, SuitBranded[[#This Row],[Net Cash]]+$W$5, SuitBranded[[#This Row],[Net Cash]]+$X$5),
  IF($S$3="npc",
     IF($T$3=1, SuitBranded[[#This Row],[Net Price Credit]]+$W$6, SuitBranded[[#This Row],[Net Price Credit]]+$X$6),
  IF($S$3="w",
     IF($T$3=1, SuitBranded[[#This Row],[Wsp]]+$W$6, SuitBranded[[#This Row],[Wsp]]+$X$6),
  "")))),
10))</f>
        <v>1270</v>
      </c>
    </row>
    <row r="823" spans="1:17" x14ac:dyDescent="0.25">
      <c r="A823" s="1"/>
      <c r="B823" s="18" t="s">
        <v>311</v>
      </c>
      <c r="C823" s="19" t="s">
        <v>162</v>
      </c>
      <c r="D823" s="19" t="s">
        <v>701</v>
      </c>
      <c r="E823" s="19" t="s">
        <v>297</v>
      </c>
      <c r="F823" s="19">
        <v>845</v>
      </c>
      <c r="G823" s="20">
        <v>800</v>
      </c>
      <c r="I823" s="20">
        <v>10</v>
      </c>
      <c r="J823" s="4">
        <f t="shared" si="146"/>
        <v>810</v>
      </c>
      <c r="K823" s="4">
        <f t="shared" si="147"/>
        <v>965</v>
      </c>
      <c r="L823" s="4">
        <f t="shared" si="148"/>
        <v>1015</v>
      </c>
      <c r="M823" s="4">
        <f t="shared" si="149"/>
        <v>1195</v>
      </c>
      <c r="N823" s="4">
        <f t="shared" si="150"/>
        <v>935</v>
      </c>
      <c r="O823" s="4">
        <f t="shared" si="151"/>
        <v>1090</v>
      </c>
      <c r="P823" s="4">
        <f>IF(((SuitBranded[[#This Row],[Cost]]*1.5+50)/0.835)&lt;2500,
    MROUND(((SuitBranded[[#This Row],[Cost]]*1.5+50)/0.835*1.05)*2,10),
    MROUND(((SuitBranded[[#This Row],[Cost]]*1.5+50)/0.835*1.18)*2,10))</f>
        <v>3140</v>
      </c>
      <c r="Q823" s="4">
        <f>IF($S$3="","",
MROUND(
  IF($S$3="m",
     IF($T$3=1, SuitBranded[[#This Row],[Mrp]]+$W$4, SuitBranded[[#This Row],[Mrp]]+$X$4),
  IF($S$3="nc",
     IF($T$3=1, SuitBranded[[#This Row],[Net Cash]]+$W$5, SuitBranded[[#This Row],[Net Cash]]+$X$5),
  IF($S$3="npc",
     IF($T$3=1, SuitBranded[[#This Row],[Net Price Credit]]+$W$6, SuitBranded[[#This Row],[Net Price Credit]]+$X$6),
  IF($S$3="w",
     IF($T$3=1, SuitBranded[[#This Row],[Wsp]]+$W$6, SuitBranded[[#This Row],[Wsp]]+$X$6),
  "")))),
10))</f>
        <v>1270</v>
      </c>
    </row>
    <row r="824" spans="1:17" x14ac:dyDescent="0.25">
      <c r="A824" s="1"/>
      <c r="B824" s="18" t="s">
        <v>334</v>
      </c>
      <c r="C824" s="19" t="s">
        <v>162</v>
      </c>
      <c r="D824" s="19" t="s">
        <v>701</v>
      </c>
      <c r="E824" s="19" t="s">
        <v>331</v>
      </c>
      <c r="F824" s="19" t="s">
        <v>335</v>
      </c>
      <c r="G824" s="20">
        <v>440</v>
      </c>
      <c r="I824" s="20">
        <v>10</v>
      </c>
      <c r="J824" s="4">
        <f t="shared" si="146"/>
        <v>450</v>
      </c>
      <c r="K824" s="4">
        <f t="shared" si="147"/>
        <v>540</v>
      </c>
      <c r="L824" s="4">
        <f t="shared" si="148"/>
        <v>565</v>
      </c>
      <c r="M824" s="4">
        <f t="shared" si="149"/>
        <v>665</v>
      </c>
      <c r="N824" s="4">
        <f t="shared" si="150"/>
        <v>520</v>
      </c>
      <c r="O824" s="4">
        <f t="shared" si="151"/>
        <v>605</v>
      </c>
      <c r="P824" s="4">
        <f>IF(((SuitBranded[[#This Row],[Cost]]*1.5+50)/0.835)&lt;2500,
    MROUND(((SuitBranded[[#This Row],[Cost]]*1.5+50)/0.835*1.05)*2,10),
    MROUND(((SuitBranded[[#This Row],[Cost]]*1.5+50)/0.835*1.18)*2,10))</f>
        <v>1790</v>
      </c>
      <c r="Q824" s="4">
        <f>IF($S$3="","",
MROUND(
  IF($S$3="m",
     IF($T$3=1, SuitBranded[[#This Row],[Mrp]]+$W$4, SuitBranded[[#This Row],[Mrp]]+$X$4),
  IF($S$3="nc",
     IF($T$3=1, SuitBranded[[#This Row],[Net Cash]]+$W$5, SuitBranded[[#This Row],[Net Cash]]+$X$5),
  IF($S$3="npc",
     IF($T$3=1, SuitBranded[[#This Row],[Net Price Credit]]+$W$6, SuitBranded[[#This Row],[Net Price Credit]]+$X$6),
  IF($S$3="w",
     IF($T$3=1, SuitBranded[[#This Row],[Wsp]]+$W$6, SuitBranded[[#This Row],[Wsp]]+$X$6),
  "")))),
10))</f>
        <v>740</v>
      </c>
    </row>
    <row r="825" spans="1:17" x14ac:dyDescent="0.25">
      <c r="A825" s="1"/>
      <c r="B825" s="18" t="s">
        <v>336</v>
      </c>
      <c r="C825" s="19" t="s">
        <v>162</v>
      </c>
      <c r="D825" s="19" t="s">
        <v>701</v>
      </c>
      <c r="E825" s="19" t="s">
        <v>331</v>
      </c>
      <c r="F825" s="19" t="s">
        <v>337</v>
      </c>
      <c r="G825" s="20">
        <v>600</v>
      </c>
      <c r="I825" s="20">
        <v>10</v>
      </c>
      <c r="J825" s="4">
        <f t="shared" si="146"/>
        <v>610</v>
      </c>
      <c r="K825" s="4">
        <f t="shared" si="147"/>
        <v>730</v>
      </c>
      <c r="L825" s="4">
        <f t="shared" si="148"/>
        <v>765</v>
      </c>
      <c r="M825" s="4">
        <f t="shared" si="149"/>
        <v>900</v>
      </c>
      <c r="N825" s="4">
        <f t="shared" si="150"/>
        <v>705</v>
      </c>
      <c r="O825" s="4">
        <f t="shared" si="151"/>
        <v>820</v>
      </c>
      <c r="P825" s="4">
        <f>IF(((SuitBranded[[#This Row],[Cost]]*1.5+50)/0.835)&lt;2500,
    MROUND(((SuitBranded[[#This Row],[Cost]]*1.5+50)/0.835*1.05)*2,10),
    MROUND(((SuitBranded[[#This Row],[Cost]]*1.5+50)/0.835*1.18)*2,10))</f>
        <v>2390</v>
      </c>
      <c r="Q825" s="4">
        <f>IF($S$3="","",
MROUND(
  IF($S$3="m",
     IF($T$3=1, SuitBranded[[#This Row],[Mrp]]+$W$4, SuitBranded[[#This Row],[Mrp]]+$X$4),
  IF($S$3="nc",
     IF($T$3=1, SuitBranded[[#This Row],[Net Cash]]+$W$5, SuitBranded[[#This Row],[Net Cash]]+$X$5),
  IF($S$3="npc",
     IF($T$3=1, SuitBranded[[#This Row],[Net Price Credit]]+$W$6, SuitBranded[[#This Row],[Net Price Credit]]+$X$6),
  IF($S$3="w",
     IF($T$3=1, SuitBranded[[#This Row],[Wsp]]+$W$6, SuitBranded[[#This Row],[Wsp]]+$X$6),
  "")))),
10))</f>
        <v>970</v>
      </c>
    </row>
    <row r="826" spans="1:17" x14ac:dyDescent="0.25">
      <c r="A826" s="1"/>
      <c r="B826" s="18" t="s">
        <v>338</v>
      </c>
      <c r="C826" s="19" t="s">
        <v>162</v>
      </c>
      <c r="D826" s="19" t="s">
        <v>701</v>
      </c>
      <c r="E826" s="19" t="s">
        <v>331</v>
      </c>
      <c r="F826" s="19" t="s">
        <v>338</v>
      </c>
      <c r="G826" s="20">
        <v>650</v>
      </c>
      <c r="I826" s="20">
        <v>10</v>
      </c>
      <c r="J826" s="4">
        <f t="shared" si="146"/>
        <v>660</v>
      </c>
      <c r="K826" s="4">
        <f t="shared" si="147"/>
        <v>785</v>
      </c>
      <c r="L826" s="4">
        <f t="shared" si="148"/>
        <v>825</v>
      </c>
      <c r="M826" s="4">
        <f t="shared" si="149"/>
        <v>975</v>
      </c>
      <c r="N826" s="4">
        <f t="shared" si="150"/>
        <v>760</v>
      </c>
      <c r="O826" s="4">
        <f t="shared" si="151"/>
        <v>885</v>
      </c>
      <c r="P826" s="4">
        <f>IF(((SuitBranded[[#This Row],[Cost]]*1.5+50)/0.835)&lt;2500,
    MROUND(((SuitBranded[[#This Row],[Cost]]*1.5+50)/0.835*1.05)*2,10),
    MROUND(((SuitBranded[[#This Row],[Cost]]*1.5+50)/0.835*1.18)*2,10))</f>
        <v>2580</v>
      </c>
      <c r="Q826" s="4">
        <f>IF($S$3="","",
MROUND(
  IF($S$3="m",
     IF($T$3=1, SuitBranded[[#This Row],[Mrp]]+$W$4, SuitBranded[[#This Row],[Mrp]]+$X$4),
  IF($S$3="nc",
     IF($T$3=1, SuitBranded[[#This Row],[Net Cash]]+$W$5, SuitBranded[[#This Row],[Net Cash]]+$X$5),
  IF($S$3="npc",
     IF($T$3=1, SuitBranded[[#This Row],[Net Price Credit]]+$W$6, SuitBranded[[#This Row],[Net Price Credit]]+$X$6),
  IF($S$3="w",
     IF($T$3=1, SuitBranded[[#This Row],[Wsp]]+$W$6, SuitBranded[[#This Row],[Wsp]]+$X$6),
  "")))),
10))</f>
        <v>1050</v>
      </c>
    </row>
    <row r="827" spans="1:17" x14ac:dyDescent="0.25">
      <c r="A827" s="1"/>
      <c r="B827" s="18" t="s">
        <v>339</v>
      </c>
      <c r="C827" s="19" t="s">
        <v>162</v>
      </c>
      <c r="D827" s="19" t="s">
        <v>701</v>
      </c>
      <c r="E827" s="19" t="s">
        <v>331</v>
      </c>
      <c r="F827" s="19" t="s">
        <v>339</v>
      </c>
      <c r="G827" s="20">
        <v>535</v>
      </c>
      <c r="I827" s="20">
        <v>10</v>
      </c>
      <c r="J827" s="4">
        <f t="shared" si="146"/>
        <v>545</v>
      </c>
      <c r="K827" s="4">
        <f t="shared" si="147"/>
        <v>655</v>
      </c>
      <c r="L827" s="4">
        <f t="shared" si="148"/>
        <v>685</v>
      </c>
      <c r="M827" s="4">
        <f t="shared" si="149"/>
        <v>805</v>
      </c>
      <c r="N827" s="4">
        <f t="shared" si="150"/>
        <v>635</v>
      </c>
      <c r="O827" s="4">
        <f t="shared" si="151"/>
        <v>735</v>
      </c>
      <c r="P827" s="4">
        <f>IF(((SuitBranded[[#This Row],[Cost]]*1.5+50)/0.835)&lt;2500,
    MROUND(((SuitBranded[[#This Row],[Cost]]*1.5+50)/0.835*1.05)*2,10),
    MROUND(((SuitBranded[[#This Row],[Cost]]*1.5+50)/0.835*1.18)*2,10))</f>
        <v>2140</v>
      </c>
      <c r="Q827" s="4">
        <f>IF($S$3="","",
MROUND(
  IF($S$3="m",
     IF($T$3=1, SuitBranded[[#This Row],[Mrp]]+$W$4, SuitBranded[[#This Row],[Mrp]]+$X$4),
  IF($S$3="nc",
     IF($T$3=1, SuitBranded[[#This Row],[Net Cash]]+$W$5, SuitBranded[[#This Row],[Net Cash]]+$X$5),
  IF($S$3="npc",
     IF($T$3=1, SuitBranded[[#This Row],[Net Price Credit]]+$W$6, SuitBranded[[#This Row],[Net Price Credit]]+$X$6),
  IF($S$3="w",
     IF($T$3=1, SuitBranded[[#This Row],[Wsp]]+$W$6, SuitBranded[[#This Row],[Wsp]]+$X$6),
  "")))),
10))</f>
        <v>880</v>
      </c>
    </row>
    <row r="828" spans="1:17" x14ac:dyDescent="0.25">
      <c r="A828" s="1"/>
      <c r="B828" s="18" t="s">
        <v>340</v>
      </c>
      <c r="C828" s="19" t="s">
        <v>162</v>
      </c>
      <c r="D828" s="19" t="s">
        <v>701</v>
      </c>
      <c r="E828" s="19" t="s">
        <v>331</v>
      </c>
      <c r="F828" s="19" t="s">
        <v>340</v>
      </c>
      <c r="G828" s="20">
        <v>820</v>
      </c>
      <c r="I828" s="20">
        <v>10</v>
      </c>
      <c r="J828" s="4">
        <f t="shared" si="146"/>
        <v>830</v>
      </c>
      <c r="K828" s="4">
        <f t="shared" si="147"/>
        <v>990</v>
      </c>
      <c r="L828" s="4">
        <f t="shared" si="148"/>
        <v>1040</v>
      </c>
      <c r="M828" s="4">
        <f t="shared" si="149"/>
        <v>1225</v>
      </c>
      <c r="N828" s="4">
        <f t="shared" si="150"/>
        <v>960</v>
      </c>
      <c r="O828" s="4">
        <f t="shared" si="151"/>
        <v>1115</v>
      </c>
      <c r="P828" s="4">
        <f>IF(((SuitBranded[[#This Row],[Cost]]*1.5+50)/0.835)&lt;2500,
    MROUND(((SuitBranded[[#This Row],[Cost]]*1.5+50)/0.835*1.05)*2,10),
    MROUND(((SuitBranded[[#This Row],[Cost]]*1.5+50)/0.835*1.18)*2,10))</f>
        <v>3220</v>
      </c>
      <c r="Q828" s="4">
        <f>IF($S$3="","",
MROUND(
  IF($S$3="m",
     IF($T$3=1, SuitBranded[[#This Row],[Mrp]]+$W$4, SuitBranded[[#This Row],[Mrp]]+$X$4),
  IF($S$3="nc",
     IF($T$3=1, SuitBranded[[#This Row],[Net Cash]]+$W$5, SuitBranded[[#This Row],[Net Cash]]+$X$5),
  IF($S$3="npc",
     IF($T$3=1, SuitBranded[[#This Row],[Net Price Credit]]+$W$6, SuitBranded[[#This Row],[Net Price Credit]]+$X$6),
  IF($S$3="w",
     IF($T$3=1, SuitBranded[[#This Row],[Wsp]]+$W$6, SuitBranded[[#This Row],[Wsp]]+$X$6),
  "")))),
10))</f>
        <v>1300</v>
      </c>
    </row>
    <row r="829" spans="1:17" x14ac:dyDescent="0.25">
      <c r="A829" s="1">
        <v>2025</v>
      </c>
      <c r="B829" s="18" t="s">
        <v>646</v>
      </c>
      <c r="C829" s="19" t="s">
        <v>162</v>
      </c>
      <c r="D829" s="19" t="s">
        <v>701</v>
      </c>
      <c r="E829" s="19" t="s">
        <v>647</v>
      </c>
      <c r="F829" s="19" t="s">
        <v>648</v>
      </c>
      <c r="G829" s="20">
        <v>820</v>
      </c>
      <c r="I829" s="20">
        <v>10</v>
      </c>
      <c r="J829" s="4">
        <f t="shared" si="146"/>
        <v>830</v>
      </c>
      <c r="K829" s="4">
        <f t="shared" si="147"/>
        <v>990</v>
      </c>
      <c r="L829" s="4">
        <f t="shared" si="148"/>
        <v>1040</v>
      </c>
      <c r="M829" s="4">
        <f t="shared" si="149"/>
        <v>1225</v>
      </c>
      <c r="N829" s="4">
        <f t="shared" si="150"/>
        <v>960</v>
      </c>
      <c r="O829" s="4">
        <f t="shared" si="151"/>
        <v>1115</v>
      </c>
      <c r="P829" s="4">
        <f>IF(((SuitBranded[[#This Row],[Cost]]*1.5+50)/0.835)&lt;2500,
    MROUND(((SuitBranded[[#This Row],[Cost]]*1.5+50)/0.835*1.05)*2,10),
    MROUND(((SuitBranded[[#This Row],[Cost]]*1.5+50)/0.835*1.18)*2,10))</f>
        <v>3220</v>
      </c>
      <c r="Q829" s="4">
        <f>IF($S$3="","",
MROUND(
  IF($S$3="m",
     IF($T$3=1, SuitBranded[[#This Row],[Mrp]]+$W$4, SuitBranded[[#This Row],[Mrp]]+$X$4),
  IF($S$3="nc",
     IF($T$3=1, SuitBranded[[#This Row],[Net Cash]]+$W$5, SuitBranded[[#This Row],[Net Cash]]+$X$5),
  IF($S$3="npc",
     IF($T$3=1, SuitBranded[[#This Row],[Net Price Credit]]+$W$6, SuitBranded[[#This Row],[Net Price Credit]]+$X$6),
  IF($S$3="w",
     IF($T$3=1, SuitBranded[[#This Row],[Wsp]]+$W$6, SuitBranded[[#This Row],[Wsp]]+$X$6),
  "")))),
10))</f>
        <v>1300</v>
      </c>
    </row>
    <row r="830" spans="1:17" x14ac:dyDescent="0.25">
      <c r="A830" s="1">
        <v>2025</v>
      </c>
      <c r="B830" s="18" t="s">
        <v>649</v>
      </c>
      <c r="C830" s="19" t="s">
        <v>162</v>
      </c>
      <c r="D830" s="19" t="s">
        <v>701</v>
      </c>
      <c r="E830" s="19" t="s">
        <v>647</v>
      </c>
      <c r="F830" s="19" t="s">
        <v>650</v>
      </c>
      <c r="G830" s="20">
        <v>840</v>
      </c>
      <c r="I830" s="20">
        <v>10</v>
      </c>
      <c r="J830" s="4">
        <f t="shared" si="146"/>
        <v>850</v>
      </c>
      <c r="K830" s="4">
        <f t="shared" si="147"/>
        <v>1015</v>
      </c>
      <c r="L830" s="4">
        <f t="shared" si="148"/>
        <v>1065</v>
      </c>
      <c r="M830" s="4">
        <f t="shared" si="149"/>
        <v>1250</v>
      </c>
      <c r="N830" s="4">
        <f t="shared" si="150"/>
        <v>980</v>
      </c>
      <c r="O830" s="4">
        <f t="shared" si="151"/>
        <v>1140</v>
      </c>
      <c r="P830" s="4">
        <f>IF(((SuitBranded[[#This Row],[Cost]]*1.5+50)/0.835)&lt;2500,
    MROUND(((SuitBranded[[#This Row],[Cost]]*1.5+50)/0.835*1.05)*2,10),
    MROUND(((SuitBranded[[#This Row],[Cost]]*1.5+50)/0.835*1.18)*2,10))</f>
        <v>3290</v>
      </c>
      <c r="Q830" s="4">
        <f>IF($S$3="","",
MROUND(
  IF($S$3="m",
     IF($T$3=1, SuitBranded[[#This Row],[Mrp]]+$W$4, SuitBranded[[#This Row],[Mrp]]+$X$4),
  IF($S$3="nc",
     IF($T$3=1, SuitBranded[[#This Row],[Net Cash]]+$W$5, SuitBranded[[#This Row],[Net Cash]]+$X$5),
  IF($S$3="npc",
     IF($T$3=1, SuitBranded[[#This Row],[Net Price Credit]]+$W$6, SuitBranded[[#This Row],[Net Price Credit]]+$X$6),
  IF($S$3="w",
     IF($T$3=1, SuitBranded[[#This Row],[Wsp]]+$W$6, SuitBranded[[#This Row],[Wsp]]+$X$6),
  "")))),
10))</f>
        <v>1320</v>
      </c>
    </row>
    <row r="831" spans="1:17" x14ac:dyDescent="0.25">
      <c r="A831" s="1">
        <v>2025</v>
      </c>
      <c r="B831" s="18" t="s">
        <v>652</v>
      </c>
      <c r="C831" s="19" t="s">
        <v>162</v>
      </c>
      <c r="D831" s="19" t="s">
        <v>701</v>
      </c>
      <c r="E831" s="19" t="s">
        <v>647</v>
      </c>
      <c r="F831" s="19" t="s">
        <v>651</v>
      </c>
      <c r="G831" s="20">
        <v>810</v>
      </c>
      <c r="I831" s="20">
        <v>10</v>
      </c>
      <c r="J831" s="4">
        <f t="shared" si="146"/>
        <v>820</v>
      </c>
      <c r="K831" s="4">
        <f t="shared" si="147"/>
        <v>975</v>
      </c>
      <c r="L831" s="4">
        <f t="shared" si="148"/>
        <v>1025</v>
      </c>
      <c r="M831" s="4">
        <f t="shared" si="149"/>
        <v>1210</v>
      </c>
      <c r="N831" s="4">
        <f t="shared" si="150"/>
        <v>945</v>
      </c>
      <c r="O831" s="4">
        <f t="shared" si="151"/>
        <v>1100</v>
      </c>
      <c r="P831" s="4">
        <f>IF(((SuitBranded[[#This Row],[Cost]]*1.5+50)/0.835)&lt;2500,
    MROUND(((SuitBranded[[#This Row],[Cost]]*1.5+50)/0.835*1.05)*2,10),
    MROUND(((SuitBranded[[#This Row],[Cost]]*1.5+50)/0.835*1.18)*2,10))</f>
        <v>3180</v>
      </c>
      <c r="Q831" s="4">
        <f>IF($S$3="","",
MROUND(
  IF($S$3="m",
     IF($T$3=1, SuitBranded[[#This Row],[Mrp]]+$W$4, SuitBranded[[#This Row],[Mrp]]+$X$4),
  IF($S$3="nc",
     IF($T$3=1, SuitBranded[[#This Row],[Net Cash]]+$W$5, SuitBranded[[#This Row],[Net Cash]]+$X$5),
  IF($S$3="npc",
     IF($T$3=1, SuitBranded[[#This Row],[Net Price Credit]]+$W$6, SuitBranded[[#This Row],[Net Price Credit]]+$X$6),
  IF($S$3="w",
     IF($T$3=1, SuitBranded[[#This Row],[Wsp]]+$W$6, SuitBranded[[#This Row],[Wsp]]+$X$6),
  "")))),
10))</f>
        <v>1280</v>
      </c>
    </row>
    <row r="832" spans="1:17" x14ac:dyDescent="0.25">
      <c r="A832" s="1">
        <v>2025</v>
      </c>
      <c r="B832" s="18" t="s">
        <v>653</v>
      </c>
      <c r="C832" s="19" t="s">
        <v>162</v>
      </c>
      <c r="D832" s="19" t="s">
        <v>701</v>
      </c>
      <c r="E832" s="19" t="s">
        <v>647</v>
      </c>
      <c r="F832" s="19" t="s">
        <v>653</v>
      </c>
      <c r="G832" s="20">
        <v>840</v>
      </c>
      <c r="I832" s="20">
        <v>10</v>
      </c>
      <c r="J832" s="4">
        <f t="shared" si="146"/>
        <v>850</v>
      </c>
      <c r="K832" s="4">
        <f t="shared" si="147"/>
        <v>1015</v>
      </c>
      <c r="L832" s="4">
        <f t="shared" si="148"/>
        <v>1065</v>
      </c>
      <c r="M832" s="4">
        <f t="shared" si="149"/>
        <v>1250</v>
      </c>
      <c r="N832" s="4">
        <f t="shared" si="150"/>
        <v>980</v>
      </c>
      <c r="O832" s="4">
        <f t="shared" si="151"/>
        <v>1140</v>
      </c>
      <c r="P832" s="4">
        <f>IF(((SuitBranded[[#This Row],[Cost]]*1.5+50)/0.835)&lt;2500,
    MROUND(((SuitBranded[[#This Row],[Cost]]*1.5+50)/0.835*1.05)*2,10),
    MROUND(((SuitBranded[[#This Row],[Cost]]*1.5+50)/0.835*1.18)*2,10))</f>
        <v>3290</v>
      </c>
      <c r="Q832" s="4">
        <f>IF($S$3="","",
MROUND(
  IF($S$3="m",
     IF($T$3=1, SuitBranded[[#This Row],[Mrp]]+$W$4, SuitBranded[[#This Row],[Mrp]]+$X$4),
  IF($S$3="nc",
     IF($T$3=1, SuitBranded[[#This Row],[Net Cash]]+$W$5, SuitBranded[[#This Row],[Net Cash]]+$X$5),
  IF($S$3="npc",
     IF($T$3=1, SuitBranded[[#This Row],[Net Price Credit]]+$W$6, SuitBranded[[#This Row],[Net Price Credit]]+$X$6),
  IF($S$3="w",
     IF($T$3=1, SuitBranded[[#This Row],[Wsp]]+$W$6, SuitBranded[[#This Row],[Wsp]]+$X$6),
  "")))),
10))</f>
        <v>1320</v>
      </c>
    </row>
    <row r="833" spans="1:17" x14ac:dyDescent="0.25">
      <c r="A833" s="1">
        <v>2025</v>
      </c>
      <c r="B833" s="18" t="s">
        <v>654</v>
      </c>
      <c r="C833" s="19" t="s">
        <v>162</v>
      </c>
      <c r="D833" s="19" t="s">
        <v>701</v>
      </c>
      <c r="E833" s="19" t="s">
        <v>647</v>
      </c>
      <c r="F833" s="19" t="s">
        <v>654</v>
      </c>
      <c r="G833" s="20">
        <v>760</v>
      </c>
      <c r="I833" s="20">
        <v>10</v>
      </c>
      <c r="J833" s="4">
        <f t="shared" si="146"/>
        <v>770</v>
      </c>
      <c r="K833" s="4">
        <f t="shared" si="147"/>
        <v>920</v>
      </c>
      <c r="L833" s="4">
        <f t="shared" si="148"/>
        <v>965</v>
      </c>
      <c r="M833" s="4">
        <f t="shared" si="149"/>
        <v>1135</v>
      </c>
      <c r="N833" s="4">
        <f t="shared" si="150"/>
        <v>890</v>
      </c>
      <c r="O833" s="4">
        <f t="shared" si="151"/>
        <v>1035</v>
      </c>
      <c r="P833" s="4">
        <f>IF(((SuitBranded[[#This Row],[Cost]]*1.5+50)/0.835)&lt;2500,
    MROUND(((SuitBranded[[#This Row],[Cost]]*1.5+50)/0.835*1.05)*2,10),
    MROUND(((SuitBranded[[#This Row],[Cost]]*1.5+50)/0.835*1.18)*2,10))</f>
        <v>2990</v>
      </c>
      <c r="Q833" s="4">
        <f>IF($S$3="","",
MROUND(
  IF($S$3="m",
     IF($T$3=1, SuitBranded[[#This Row],[Mrp]]+$W$4, SuitBranded[[#This Row],[Mrp]]+$X$4),
  IF($S$3="nc",
     IF($T$3=1, SuitBranded[[#This Row],[Net Cash]]+$W$5, SuitBranded[[#This Row],[Net Cash]]+$X$5),
  IF($S$3="npc",
     IF($T$3=1, SuitBranded[[#This Row],[Net Price Credit]]+$W$6, SuitBranded[[#This Row],[Net Price Credit]]+$X$6),
  IF($S$3="w",
     IF($T$3=1, SuitBranded[[#This Row],[Wsp]]+$W$6, SuitBranded[[#This Row],[Wsp]]+$X$6),
  "")))),
10))</f>
        <v>1210</v>
      </c>
    </row>
    <row r="834" spans="1:17" x14ac:dyDescent="0.25">
      <c r="A834" s="1">
        <v>2025</v>
      </c>
      <c r="B834" s="18" t="s">
        <v>665</v>
      </c>
      <c r="C834" s="19" t="s">
        <v>162</v>
      </c>
      <c r="D834" s="19" t="s">
        <v>701</v>
      </c>
      <c r="E834" s="19" t="s">
        <v>647</v>
      </c>
      <c r="F834" s="19" t="s">
        <v>665</v>
      </c>
      <c r="G834" s="20">
        <v>750</v>
      </c>
      <c r="I834" s="20">
        <v>10</v>
      </c>
      <c r="J834" s="4">
        <f t="shared" si="146"/>
        <v>760</v>
      </c>
      <c r="K834" s="4">
        <f t="shared" si="147"/>
        <v>905</v>
      </c>
      <c r="L834" s="4">
        <f t="shared" si="148"/>
        <v>950</v>
      </c>
      <c r="M834" s="4">
        <f t="shared" si="149"/>
        <v>1120</v>
      </c>
      <c r="N834" s="4">
        <f t="shared" si="150"/>
        <v>875</v>
      </c>
      <c r="O834" s="4">
        <f t="shared" si="151"/>
        <v>1020</v>
      </c>
      <c r="P834" s="4">
        <f>IF(((SuitBranded[[#This Row],[Cost]]*1.5+50)/0.835)&lt;2500,
    MROUND(((SuitBranded[[#This Row],[Cost]]*1.5+50)/0.835*1.05)*2,10),
    MROUND(((SuitBranded[[#This Row],[Cost]]*1.5+50)/0.835*1.18)*2,10))</f>
        <v>2960</v>
      </c>
      <c r="Q834" s="4">
        <f>IF($S$3="","",
MROUND(
  IF($S$3="m",
     IF($T$3=1, SuitBranded[[#This Row],[Mrp]]+$W$4, SuitBranded[[#This Row],[Mrp]]+$X$4),
  IF($S$3="nc",
     IF($T$3=1, SuitBranded[[#This Row],[Net Cash]]+$W$5, SuitBranded[[#This Row],[Net Cash]]+$X$5),
  IF($S$3="npc",
     IF($T$3=1, SuitBranded[[#This Row],[Net Price Credit]]+$W$6, SuitBranded[[#This Row],[Net Price Credit]]+$X$6),
  IF($S$3="w",
     IF($T$3=1, SuitBranded[[#This Row],[Wsp]]+$W$6, SuitBranded[[#This Row],[Wsp]]+$X$6),
  "")))),
10))</f>
        <v>1190</v>
      </c>
    </row>
    <row r="835" spans="1:17" x14ac:dyDescent="0.25">
      <c r="A835" s="1">
        <v>2025</v>
      </c>
      <c r="B835" s="18" t="s">
        <v>666</v>
      </c>
      <c r="C835" s="19" t="s">
        <v>162</v>
      </c>
      <c r="D835" s="19" t="s">
        <v>701</v>
      </c>
      <c r="E835" s="19" t="s">
        <v>647</v>
      </c>
      <c r="F835" s="19" t="s">
        <v>666</v>
      </c>
      <c r="G835" s="20">
        <v>750</v>
      </c>
      <c r="I835" s="20">
        <v>10</v>
      </c>
      <c r="J835" s="4">
        <f t="shared" si="146"/>
        <v>760</v>
      </c>
      <c r="K835" s="4">
        <f t="shared" si="147"/>
        <v>905</v>
      </c>
      <c r="L835" s="4">
        <f t="shared" si="148"/>
        <v>950</v>
      </c>
      <c r="M835" s="4">
        <f t="shared" si="149"/>
        <v>1120</v>
      </c>
      <c r="N835" s="4">
        <f t="shared" si="150"/>
        <v>875</v>
      </c>
      <c r="O835" s="4">
        <f t="shared" si="151"/>
        <v>1020</v>
      </c>
      <c r="P835" s="4">
        <f>IF(((SuitBranded[[#This Row],[Cost]]*1.5+50)/0.835)&lt;2500,
    MROUND(((SuitBranded[[#This Row],[Cost]]*1.5+50)/0.835*1.05)*2,10),
    MROUND(((SuitBranded[[#This Row],[Cost]]*1.5+50)/0.835*1.18)*2,10))</f>
        <v>2960</v>
      </c>
      <c r="Q835" s="4">
        <f>IF($S$3="","",
MROUND(
  IF($S$3="m",
     IF($T$3=1, SuitBranded[[#This Row],[Mrp]]+$W$4, SuitBranded[[#This Row],[Mrp]]+$X$4),
  IF($S$3="nc",
     IF($T$3=1, SuitBranded[[#This Row],[Net Cash]]+$W$5, SuitBranded[[#This Row],[Net Cash]]+$X$5),
  IF($S$3="npc",
     IF($T$3=1, SuitBranded[[#This Row],[Net Price Credit]]+$W$6, SuitBranded[[#This Row],[Net Price Credit]]+$X$6),
  IF($S$3="w",
     IF($T$3=1, SuitBranded[[#This Row],[Wsp]]+$W$6, SuitBranded[[#This Row],[Wsp]]+$X$6),
  "")))),
10))</f>
        <v>1190</v>
      </c>
    </row>
    <row r="836" spans="1:17" x14ac:dyDescent="0.25">
      <c r="A836" s="1">
        <v>2025</v>
      </c>
      <c r="B836" s="18" t="s">
        <v>667</v>
      </c>
      <c r="C836" s="19" t="s">
        <v>162</v>
      </c>
      <c r="D836" s="19" t="s">
        <v>701</v>
      </c>
      <c r="E836" s="19" t="s">
        <v>647</v>
      </c>
      <c r="F836" s="19" t="s">
        <v>667</v>
      </c>
      <c r="G836" s="20">
        <v>750</v>
      </c>
      <c r="I836" s="20">
        <v>10</v>
      </c>
      <c r="J836" s="4">
        <f t="shared" si="146"/>
        <v>760</v>
      </c>
      <c r="K836" s="4">
        <f t="shared" si="147"/>
        <v>905</v>
      </c>
      <c r="L836" s="4">
        <f t="shared" si="148"/>
        <v>950</v>
      </c>
      <c r="M836" s="4">
        <f t="shared" si="149"/>
        <v>1120</v>
      </c>
      <c r="N836" s="4">
        <f t="shared" si="150"/>
        <v>875</v>
      </c>
      <c r="O836" s="4">
        <f t="shared" si="151"/>
        <v>1020</v>
      </c>
      <c r="P836" s="4">
        <f>IF(((SuitBranded[[#This Row],[Cost]]*1.5+50)/0.835)&lt;2500,
    MROUND(((SuitBranded[[#This Row],[Cost]]*1.5+50)/0.835*1.05)*2,10),
    MROUND(((SuitBranded[[#This Row],[Cost]]*1.5+50)/0.835*1.18)*2,10))</f>
        <v>2960</v>
      </c>
      <c r="Q836" s="4">
        <f>IF($S$3="","",
MROUND(
  IF($S$3="m",
     IF($T$3=1, SuitBranded[[#This Row],[Mrp]]+$W$4, SuitBranded[[#This Row],[Mrp]]+$X$4),
  IF($S$3="nc",
     IF($T$3=1, SuitBranded[[#This Row],[Net Cash]]+$W$5, SuitBranded[[#This Row],[Net Cash]]+$X$5),
  IF($S$3="npc",
     IF($T$3=1, SuitBranded[[#This Row],[Net Price Credit]]+$W$6, SuitBranded[[#This Row],[Net Price Credit]]+$X$6),
  IF($S$3="w",
     IF($T$3=1, SuitBranded[[#This Row],[Wsp]]+$W$6, SuitBranded[[#This Row],[Wsp]]+$X$6),
  "")))),
10))</f>
        <v>1190</v>
      </c>
    </row>
    <row r="837" spans="1:17" x14ac:dyDescent="0.25">
      <c r="A837" s="1">
        <v>2025</v>
      </c>
      <c r="B837" s="18" t="s">
        <v>669</v>
      </c>
      <c r="C837" s="19" t="s">
        <v>162</v>
      </c>
      <c r="D837" s="19" t="s">
        <v>701</v>
      </c>
      <c r="E837" s="19" t="s">
        <v>647</v>
      </c>
      <c r="F837" s="19" t="s">
        <v>670</v>
      </c>
      <c r="G837" s="20">
        <v>850</v>
      </c>
      <c r="I837" s="20">
        <v>10</v>
      </c>
      <c r="J837" s="4">
        <f t="shared" si="146"/>
        <v>860</v>
      </c>
      <c r="K837" s="4">
        <f t="shared" si="147"/>
        <v>1025</v>
      </c>
      <c r="L837" s="4">
        <f t="shared" si="148"/>
        <v>1075</v>
      </c>
      <c r="M837" s="4">
        <f t="shared" si="149"/>
        <v>1265</v>
      </c>
      <c r="N837" s="4">
        <f t="shared" si="150"/>
        <v>990</v>
      </c>
      <c r="O837" s="4">
        <f t="shared" si="151"/>
        <v>1155</v>
      </c>
      <c r="P837" s="4">
        <f>IF(((SuitBranded[[#This Row],[Cost]]*1.5+50)/0.835)&lt;2500,
    MROUND(((SuitBranded[[#This Row],[Cost]]*1.5+50)/0.835*1.05)*2,10),
    MROUND(((SuitBranded[[#This Row],[Cost]]*1.5+50)/0.835*1.18)*2,10))</f>
        <v>3330</v>
      </c>
      <c r="Q837" s="4">
        <f>IF($S$3="","",
MROUND(
  IF($S$3="m",
     IF($T$3=1, SuitBranded[[#This Row],[Mrp]]+$W$4, SuitBranded[[#This Row],[Mrp]]+$X$4),
  IF($S$3="nc",
     IF($T$3=1, SuitBranded[[#This Row],[Net Cash]]+$W$5, SuitBranded[[#This Row],[Net Cash]]+$X$5),
  IF($S$3="npc",
     IF($T$3=1, SuitBranded[[#This Row],[Net Price Credit]]+$W$6, SuitBranded[[#This Row],[Net Price Credit]]+$X$6),
  IF($S$3="w",
     IF($T$3=1, SuitBranded[[#This Row],[Wsp]]+$W$6, SuitBranded[[#This Row],[Wsp]]+$X$6),
  "")))),
10))</f>
        <v>1340</v>
      </c>
    </row>
    <row r="838" spans="1:17" x14ac:dyDescent="0.25">
      <c r="A838" s="1">
        <v>2025</v>
      </c>
      <c r="B838" s="18" t="s">
        <v>671</v>
      </c>
      <c r="C838" s="19" t="s">
        <v>162</v>
      </c>
      <c r="D838" s="19" t="s">
        <v>701</v>
      </c>
      <c r="E838" s="19" t="s">
        <v>647</v>
      </c>
      <c r="F838" s="19" t="s">
        <v>672</v>
      </c>
      <c r="G838" s="20">
        <v>675</v>
      </c>
      <c r="I838" s="20">
        <v>10</v>
      </c>
      <c r="J838" s="4">
        <f t="shared" si="146"/>
        <v>685</v>
      </c>
      <c r="K838" s="4">
        <f t="shared" si="147"/>
        <v>820</v>
      </c>
      <c r="L838" s="4">
        <f t="shared" si="148"/>
        <v>860</v>
      </c>
      <c r="M838" s="4">
        <f t="shared" si="149"/>
        <v>1010</v>
      </c>
      <c r="N838" s="4">
        <f t="shared" si="150"/>
        <v>795</v>
      </c>
      <c r="O838" s="4">
        <f t="shared" si="151"/>
        <v>925</v>
      </c>
      <c r="P838" s="4">
        <f>IF(((SuitBranded[[#This Row],[Cost]]*1.5+50)/0.835)&lt;2500,
    MROUND(((SuitBranded[[#This Row],[Cost]]*1.5+50)/0.835*1.05)*2,10),
    MROUND(((SuitBranded[[#This Row],[Cost]]*1.5+50)/0.835*1.18)*2,10))</f>
        <v>2670</v>
      </c>
      <c r="Q838" s="4">
        <f>IF($S$3="","",
MROUND(
  IF($S$3="m",
     IF($T$3=1, SuitBranded[[#This Row],[Mrp]]+$W$4, SuitBranded[[#This Row],[Mrp]]+$X$4),
  IF($S$3="nc",
     IF($T$3=1, SuitBranded[[#This Row],[Net Cash]]+$W$5, SuitBranded[[#This Row],[Net Cash]]+$X$5),
  IF($S$3="npc",
     IF($T$3=1, SuitBranded[[#This Row],[Net Price Credit]]+$W$6, SuitBranded[[#This Row],[Net Price Credit]]+$X$6),
  IF($S$3="w",
     IF($T$3=1, SuitBranded[[#This Row],[Wsp]]+$W$6, SuitBranded[[#This Row],[Wsp]]+$X$6),
  "")))),
10))</f>
        <v>1080</v>
      </c>
    </row>
    <row r="839" spans="1:17" x14ac:dyDescent="0.25">
      <c r="A839" s="1"/>
      <c r="B839" s="18"/>
      <c r="C839" s="19"/>
      <c r="D839" s="19"/>
      <c r="E839" s="19"/>
      <c r="F839" s="19"/>
    </row>
    <row r="840" spans="1:17" x14ac:dyDescent="0.25">
      <c r="A840" s="1"/>
      <c r="B840" s="18"/>
      <c r="C840" s="19" t="s">
        <v>704</v>
      </c>
      <c r="D840" s="19"/>
      <c r="E840" s="19"/>
      <c r="F840" s="19"/>
    </row>
    <row r="841" spans="1:17" x14ac:dyDescent="0.25">
      <c r="A841" s="21" t="s">
        <v>697</v>
      </c>
      <c r="B841" s="22" t="s">
        <v>696</v>
      </c>
      <c r="C841" s="23" t="s">
        <v>427</v>
      </c>
      <c r="D841" s="23" t="s">
        <v>503</v>
      </c>
      <c r="E841" s="23" t="s">
        <v>123</v>
      </c>
      <c r="F841" s="23" t="s">
        <v>747</v>
      </c>
      <c r="G841" s="24" t="s">
        <v>748</v>
      </c>
      <c r="H841" s="24" t="s">
        <v>749</v>
      </c>
      <c r="I841" s="24" t="s">
        <v>750</v>
      </c>
      <c r="J841" s="4" t="s">
        <v>703</v>
      </c>
      <c r="K841" s="41" t="s">
        <v>751</v>
      </c>
      <c r="L841" s="41" t="s">
        <v>752</v>
      </c>
      <c r="M841" s="41" t="s">
        <v>432</v>
      </c>
      <c r="N841" s="41" t="s">
        <v>753</v>
      </c>
      <c r="O841" s="42" t="s">
        <v>754</v>
      </c>
      <c r="P841" s="41" t="s">
        <v>918</v>
      </c>
      <c r="Q841" s="72" t="s">
        <v>951</v>
      </c>
    </row>
    <row r="842" spans="1:17" x14ac:dyDescent="0.25">
      <c r="A842" s="1"/>
      <c r="B842" s="18">
        <v>1401</v>
      </c>
      <c r="C842" s="19" t="s">
        <v>284</v>
      </c>
      <c r="D842" s="19" t="s">
        <v>705</v>
      </c>
      <c r="E842" s="19" t="s">
        <v>758</v>
      </c>
      <c r="F842" s="19" t="s">
        <v>757</v>
      </c>
      <c r="G842" s="20">
        <v>3000</v>
      </c>
      <c r="I842" s="20">
        <v>50</v>
      </c>
      <c r="J842" s="4">
        <f t="shared" ref="J842:J845" si="152">IF(SUMIF(G842:I842,"&lt;&gt;")=0,"",SUM(G842:I842))</f>
        <v>3050</v>
      </c>
      <c r="K842" s="4">
        <f t="shared" ref="K842" si="153">IF(ISNUMBER(L842), CEILING(ROUND(L842*0.95,2),5), "")</f>
        <v>3625</v>
      </c>
      <c r="L842" s="4">
        <f t="shared" ref="L842" si="154">IF(AND(ISNUMBER(J842),ISNUMBER(G842)), CEILING(ROUND(J842*1.25,2),5), "")</f>
        <v>3815</v>
      </c>
      <c r="M842" s="4">
        <f t="shared" ref="M842:M843" si="155">IF(AND(ISNUMBER(J842),ISNUMBER(G842)),
   CEILING(
      ROUND((J842*1.8) * IF(J842*1.8 &lt;= 2500, 1.05, 1.18), 2),
      IF(ROUND((J842*1.8) * IF(J842*1.8 &lt;= 2500, 1.05, 1.18), 2) &lt; 2500, 5, 50)
   ),
"")</f>
        <v>6500</v>
      </c>
      <c r="N842" s="4">
        <f t="shared" ref="N842" si="156">IF(ISNUMBER(G842), CEILING(ROUND(L842*0.92,2),5), "")</f>
        <v>3510</v>
      </c>
      <c r="O842" s="4">
        <f t="shared" ref="O842:O845" si="157">IF(ISNUMBER(L842), CEILING(ROUND(L842*1.07,2),5), "")</f>
        <v>4085</v>
      </c>
      <c r="P842" s="4">
        <f>IF(((Pashmina[[#This Row],[Cost]]*1.5+50)/0.835)&lt;2500,
    MROUND(((Pashmina[[#This Row],[Cost]]*1.5+50)/0.835*1.05)*2,10),
    MROUND(((Pashmina[[#This Row],[Cost]]*1.5+50)/0.835*1.18)*2,10))</f>
        <v>12860</v>
      </c>
      <c r="Q842" s="4">
        <f>IF($S$3="","",
MROUND(
  IF($S$3="m",
     IF($T$3=1, Pashmina[[#This Row],[Mrp]]+$W$4, Pashmina[[#This Row],[Mrp]]+$X$4),
  IF($S$3="nc",
     IF($T$3=1, Pashmina[[#This Row],[Net Cash]]+$W$5, Pashmina[[#This Row],[Net Cash]]+$X$5),
  IF($S$3="npc",
     IF($T$3=1, Pashmina[[#This Row],[Net Price Credit]]+$W$6, Pashmina[[#This Row],[Net Price Credit]]+$X$6),
  IF($S$3="w",
     IF($T$3=1, Pashmina[[#This Row],[Wsp]]+$W$6, Pashmina[[#This Row],[Wsp]]+$X$6),
  "")))),
10))</f>
        <v>6570</v>
      </c>
    </row>
    <row r="843" spans="1:17" x14ac:dyDescent="0.25">
      <c r="A843" s="1"/>
      <c r="B843" s="18">
        <v>1402</v>
      </c>
      <c r="C843" s="19" t="s">
        <v>284</v>
      </c>
      <c r="D843" s="19" t="s">
        <v>705</v>
      </c>
      <c r="E843" s="19" t="s">
        <v>758</v>
      </c>
      <c r="F843" s="19" t="s">
        <v>759</v>
      </c>
      <c r="G843" s="20">
        <v>4500</v>
      </c>
      <c r="I843" s="20">
        <v>50</v>
      </c>
      <c r="J843" s="4">
        <f t="shared" si="152"/>
        <v>4550</v>
      </c>
      <c r="K843" s="4">
        <f>IF(ISNUMBER(L843), CEILING(ROUND(L843*0.95,2),5), "")</f>
        <v>5410</v>
      </c>
      <c r="L843" s="4">
        <f>IF(AND(ISNUMBER(J843),ISNUMBER(G843)), CEILING(ROUND(J843*1.25,2),5), "")</f>
        <v>5690</v>
      </c>
      <c r="M843" s="4">
        <f t="shared" si="155"/>
        <v>9700</v>
      </c>
      <c r="N843" s="4">
        <f>IF(ISNUMBER(G843), CEILING(ROUND(L843*0.92,2),5), "")</f>
        <v>5235</v>
      </c>
      <c r="O843" s="4">
        <f t="shared" si="157"/>
        <v>6090</v>
      </c>
      <c r="P843" s="4">
        <f>IF(((Pashmina[[#This Row],[Cost]]*1.5+50)/0.835)&lt;2500,
    MROUND(((Pashmina[[#This Row],[Cost]]*1.5+50)/0.835*1.05)*2,10),
    MROUND(((Pashmina[[#This Row],[Cost]]*1.5+50)/0.835*1.18)*2,10))</f>
        <v>19220</v>
      </c>
      <c r="Q843" s="4">
        <f>IF($S$3="","",
MROUND(
  IF($S$3="m",
     IF($T$3=1, Pashmina[[#This Row],[Mrp]]+$W$4, Pashmina[[#This Row],[Mrp]]+$X$4),
  IF($S$3="nc",
     IF($T$3=1, Pashmina[[#This Row],[Net Cash]]+$W$5, Pashmina[[#This Row],[Net Cash]]+$X$5),
  IF($S$3="npc",
     IF($T$3=1, Pashmina[[#This Row],[Net Price Credit]]+$W$6, Pashmina[[#This Row],[Net Price Credit]]+$X$6),
  IF($S$3="w",
     IF($T$3=1, Pashmina[[#This Row],[Wsp]]+$W$6, Pashmina[[#This Row],[Wsp]]+$X$6),
  "")))),
10))</f>
        <v>9770</v>
      </c>
    </row>
    <row r="844" spans="1:17" x14ac:dyDescent="0.25">
      <c r="A844" s="1"/>
      <c r="B844" s="18">
        <v>1403</v>
      </c>
      <c r="C844" s="19" t="s">
        <v>680</v>
      </c>
      <c r="D844" s="19" t="s">
        <v>705</v>
      </c>
      <c r="E844" s="19" t="s">
        <v>758</v>
      </c>
      <c r="F844" s="19" t="s">
        <v>761</v>
      </c>
      <c r="G844" s="20">
        <v>5500</v>
      </c>
      <c r="I844" s="20">
        <v>50</v>
      </c>
      <c r="J844" s="4">
        <f t="shared" si="152"/>
        <v>5550</v>
      </c>
      <c r="K844" s="4">
        <f>IF(ISNUMBER(L844), CEILING(ROUND(L844*0.95,2),5), "")</f>
        <v>6595</v>
      </c>
      <c r="L844" s="4">
        <f>IF(AND(ISNUMBER(J844),ISNUMBER(G844)), CEILING(ROUND(J844*1.25,2),5), "")</f>
        <v>6940</v>
      </c>
      <c r="M844" s="4">
        <f>IF(AND(ISNUMBER(J844),ISNUMBER(G844)),
   CEILING(
      ROUND((J844*1.8) * IF(J844*1.8 &lt;= 2500, 1.05, 1.18), 2),
      IF(ROUND((J844*1.8) * IF(J844*1.8 &lt;= 2500, 1.05, 1.18), 2) &lt; 2500, 5, 50)
   ),
"")</f>
        <v>11800</v>
      </c>
      <c r="N844" s="4">
        <f>IF(ISNUMBER(G844), CEILING(ROUND(L844*0.92,2),5), "")</f>
        <v>6385</v>
      </c>
      <c r="O844" s="4">
        <f t="shared" si="157"/>
        <v>7430</v>
      </c>
      <c r="P844" s="4">
        <f>IF(((Pashmina[[#This Row],[Cost]]*1.5+50)/0.835)&lt;2500,
    MROUND(((Pashmina[[#This Row],[Cost]]*1.5+50)/0.835*1.05)*2,10),
    MROUND(((Pashmina[[#This Row],[Cost]]*1.5+50)/0.835*1.18)*2,10))</f>
        <v>23460</v>
      </c>
      <c r="Q844" s="4">
        <f>IF($S$3="","",
MROUND(
  IF($S$3="m",
     IF($T$3=1, Pashmina[[#This Row],[Mrp]]+$W$4, Pashmina[[#This Row],[Mrp]]+$X$4),
  IF($S$3="nc",
     IF($T$3=1, Pashmina[[#This Row],[Net Cash]]+$W$5, Pashmina[[#This Row],[Net Cash]]+$X$5),
  IF($S$3="npc",
     IF($T$3=1, Pashmina[[#This Row],[Net Price Credit]]+$W$6, Pashmina[[#This Row],[Net Price Credit]]+$X$6),
  IF($S$3="w",
     IF($T$3=1, Pashmina[[#This Row],[Wsp]]+$W$6, Pashmina[[#This Row],[Wsp]]+$X$6),
  "")))),
10))</f>
        <v>11870</v>
      </c>
    </row>
    <row r="845" spans="1:17" x14ac:dyDescent="0.25">
      <c r="A845" s="1"/>
      <c r="B845" s="18">
        <v>1404</v>
      </c>
      <c r="C845" s="19" t="s">
        <v>680</v>
      </c>
      <c r="D845" s="19" t="s">
        <v>705</v>
      </c>
      <c r="E845" s="19" t="s">
        <v>758</v>
      </c>
      <c r="F845" s="19" t="s">
        <v>762</v>
      </c>
      <c r="G845" s="20">
        <v>6000</v>
      </c>
      <c r="I845" s="20">
        <v>50</v>
      </c>
      <c r="J845" s="4">
        <f t="shared" si="152"/>
        <v>6050</v>
      </c>
      <c r="K845" s="4">
        <f>IF(ISNUMBER(L845), CEILING(ROUND(L845*0.95,2),5), "")</f>
        <v>7190</v>
      </c>
      <c r="L845" s="4">
        <f>IF(AND(ISNUMBER(J845),ISNUMBER(G845)), CEILING(ROUND(J845*1.25,2),5), "")</f>
        <v>7565</v>
      </c>
      <c r="M845" s="4">
        <f>IF(AND(ISNUMBER(J845),ISNUMBER(G845)),
   CEILING(
      ROUND((J845*1.8) * IF(J845*1.8 &lt;= 2500, 1.05, 1.18), 2),
      IF(ROUND((J845*1.8) * IF(J845*1.8 &lt;= 2500, 1.05, 1.18), 2) &lt; 2500, 5, 50)
   ),
"")</f>
        <v>12900</v>
      </c>
      <c r="N845" s="4">
        <f>IF(ISNUMBER(G845), CEILING(ROUND(L845*0.92,2),5), "")</f>
        <v>6960</v>
      </c>
      <c r="O845" s="4">
        <f t="shared" si="157"/>
        <v>8095</v>
      </c>
      <c r="P845" s="4">
        <f>IF(((Pashmina[[#This Row],[Cost]]*1.5+50)/0.835)&lt;2500,
    MROUND(((Pashmina[[#This Row],[Cost]]*1.5+50)/0.835*1.05)*2,10),
    MROUND(((Pashmina[[#This Row],[Cost]]*1.5+50)/0.835*1.18)*2,10))</f>
        <v>25580</v>
      </c>
      <c r="Q845" s="4">
        <f>IF($S$3="","",
MROUND(
  IF($S$3="m",
     IF($T$3=1, Pashmina[[#This Row],[Mrp]]+$W$4, Pashmina[[#This Row],[Mrp]]+$X$4),
  IF($S$3="nc",
     IF($T$3=1, Pashmina[[#This Row],[Net Cash]]+$W$5, Pashmina[[#This Row],[Net Cash]]+$X$5),
  IF($S$3="npc",
     IF($T$3=1, Pashmina[[#This Row],[Net Price Credit]]+$W$6, Pashmina[[#This Row],[Net Price Credit]]+$X$6),
  IF($S$3="w",
     IF($T$3=1, Pashmina[[#This Row],[Wsp]]+$W$6, Pashmina[[#This Row],[Wsp]]+$X$6),
  "")))),
10))</f>
        <v>12970</v>
      </c>
    </row>
    <row r="846" spans="1:17" x14ac:dyDescent="0.25">
      <c r="A846" s="25" t="s">
        <v>697</v>
      </c>
      <c r="B846" s="26" t="s">
        <v>696</v>
      </c>
      <c r="C846" s="27" t="s">
        <v>427</v>
      </c>
      <c r="D846" s="27" t="s">
        <v>503</v>
      </c>
      <c r="E846" s="27" t="s">
        <v>123</v>
      </c>
      <c r="F846" s="27" t="s">
        <v>747</v>
      </c>
      <c r="G846" s="28" t="s">
        <v>748</v>
      </c>
      <c r="H846" s="28" t="s">
        <v>749</v>
      </c>
      <c r="I846" s="28" t="s">
        <v>750</v>
      </c>
      <c r="J846" s="4" t="s">
        <v>703</v>
      </c>
      <c r="K846" s="43" t="s">
        <v>751</v>
      </c>
      <c r="L846" s="43" t="s">
        <v>752</v>
      </c>
      <c r="M846" s="43" t="s">
        <v>432</v>
      </c>
      <c r="N846" s="43" t="s">
        <v>753</v>
      </c>
      <c r="O846" s="43" t="s">
        <v>754</v>
      </c>
      <c r="P846" s="43" t="s">
        <v>918</v>
      </c>
      <c r="Q846" s="72" t="s">
        <v>951</v>
      </c>
    </row>
    <row r="847" spans="1:17" x14ac:dyDescent="0.25">
      <c r="A847" s="29"/>
      <c r="B847" s="30" t="s">
        <v>322</v>
      </c>
      <c r="C847" s="31" t="s">
        <v>162</v>
      </c>
      <c r="D847" s="31" t="s">
        <v>702</v>
      </c>
      <c r="E847" s="31" t="s">
        <v>79</v>
      </c>
      <c r="F847" s="31" t="s">
        <v>78</v>
      </c>
      <c r="G847" s="32">
        <v>820</v>
      </c>
      <c r="H847" s="32"/>
      <c r="I847" s="32">
        <v>10</v>
      </c>
      <c r="J847" s="44">
        <f t="shared" ref="J847:J862" si="158">IF(SUMIF(G847:I847,"&lt;&gt;")=0,"",SUM(G847:I847))</f>
        <v>830</v>
      </c>
      <c r="K847" s="44">
        <f t="shared" ref="K847:K855" si="159">IF(ISNUMBER(L847), CEILING(ROUND(L847*0.95,2),5), "")</f>
        <v>990</v>
      </c>
      <c r="L847" s="44">
        <f t="shared" ref="L847:L855" si="160">IF(AND(ISNUMBER(J847),ISNUMBER(G847)), CEILING(ROUND(J847*1.25,2),5), "")</f>
        <v>1040</v>
      </c>
      <c r="M847" s="44">
        <f t="shared" ref="M847:M862" si="161">IF(AND(ISNUMBER(J847),ISNUMBER(G847)),
   CEILING(
      ROUND((J847*1.5) * 1.05, 2),
      IF(ROUND((J847*1.5) * 1.05, 2) &lt; 2500, 25, 50)
   ),
"")</f>
        <v>1325</v>
      </c>
      <c r="N847" s="44">
        <f t="shared" ref="N847:N855" si="162">IF(ISNUMBER(G847), CEILING(ROUND(L847*0.92,2),5), "")</f>
        <v>960</v>
      </c>
      <c r="O847" s="44">
        <f t="shared" ref="O847:O862" si="163">IF(ISNUMBER(L847), CEILING(ROUND(L847*1.07,2),5), "")</f>
        <v>1115</v>
      </c>
      <c r="P847" s="76">
        <f>IF(((SuitNonBranded[[#This Row],[Cost]]*1.5+50)/0.835)&lt;2500,
    MROUND(((SuitNonBranded[[#This Row],[Cost]]*1.5+50)/0.835*1.05)*2,10),
    MROUND(((SuitNonBranded[[#This Row],[Cost]]*1.5+50)/0.835*1.18)*2,10))</f>
        <v>3220</v>
      </c>
      <c r="Q847" s="76">
        <f>IF($S$3="","",
MROUND(
  IF($S$3="m",
     IF($T$3=1, SuitNonBranded[[#This Row],[Mrp]]+$W$4, SuitNonBranded[[#This Row],[Mrp]]+$X$4),
  IF($S$3="nc",
     IF($T$3=1, SuitNonBranded[[#This Row],[Net Cash]]+$W$5, SuitNonBranded[[#This Row],[Net Cash]]+$X$5),
  IF($S$3="npc",
     IF($T$3=1, SuitNonBranded[[#This Row],[Net Price Credit]]+$W$6, SuitNonBranded[[#This Row],[Net Price Credit]]+$X$6),
  IF($S$3="w",
     IF($T$3=1, SuitNonBranded[[#This Row],[Wsp]]+$W$6, SuitNonBranded[[#This Row],[Wsp]]+$X$6),
  "")))),
10))</f>
        <v>1400</v>
      </c>
    </row>
    <row r="848" spans="1:17" x14ac:dyDescent="0.25">
      <c r="A848" s="33"/>
      <c r="B848" s="34" t="s">
        <v>165</v>
      </c>
      <c r="C848" s="35" t="s">
        <v>162</v>
      </c>
      <c r="D848" s="35" t="s">
        <v>702</v>
      </c>
      <c r="E848" s="35" t="s">
        <v>79</v>
      </c>
      <c r="F848" s="35" t="s">
        <v>321</v>
      </c>
      <c r="G848" s="36">
        <v>750</v>
      </c>
      <c r="H848" s="36"/>
      <c r="I848" s="36">
        <v>25</v>
      </c>
      <c r="J848" s="45">
        <f t="shared" si="158"/>
        <v>775</v>
      </c>
      <c r="K848" s="45">
        <f t="shared" si="159"/>
        <v>925</v>
      </c>
      <c r="L848" s="45">
        <f t="shared" si="160"/>
        <v>970</v>
      </c>
      <c r="M848" s="45">
        <f t="shared" si="161"/>
        <v>1225</v>
      </c>
      <c r="N848" s="45">
        <f t="shared" si="162"/>
        <v>895</v>
      </c>
      <c r="O848" s="45">
        <f t="shared" si="163"/>
        <v>1040</v>
      </c>
      <c r="P848" s="45">
        <f>IF(((SuitNonBranded[[#This Row],[Cost]]*1.5+50)/0.835)&lt;2500,
    MROUND(((SuitNonBranded[[#This Row],[Cost]]*1.5+50)/0.835*1.05)*2,10),
    MROUND(((SuitNonBranded[[#This Row],[Cost]]*1.5+50)/0.835*1.18)*2,10))</f>
        <v>2960</v>
      </c>
      <c r="Q848" s="45">
        <f>IF($S$3="","",
MROUND(
  IF($S$3="m",
     IF($T$3=1, SuitNonBranded[[#This Row],[Mrp]]+$W$4, SuitNonBranded[[#This Row],[Mrp]]+$X$4),
  IF($S$3="nc",
     IF($T$3=1, SuitNonBranded[[#This Row],[Net Cash]]+$W$5, SuitNonBranded[[#This Row],[Net Cash]]+$X$5),
  IF($S$3="npc",
     IF($T$3=1, SuitNonBranded[[#This Row],[Net Price Credit]]+$W$6, SuitNonBranded[[#This Row],[Net Price Credit]]+$X$6),
  IF($S$3="w",
     IF($T$3=1, SuitNonBranded[[#This Row],[Wsp]]+$W$6, SuitNonBranded[[#This Row],[Wsp]]+$X$6),
  "")))),
10))</f>
        <v>1300</v>
      </c>
    </row>
    <row r="849" spans="1:17" x14ac:dyDescent="0.25">
      <c r="A849" s="29"/>
      <c r="B849" s="30" t="s">
        <v>341</v>
      </c>
      <c r="C849" s="31" t="s">
        <v>162</v>
      </c>
      <c r="D849" s="31" t="s">
        <v>702</v>
      </c>
      <c r="E849" s="31" t="s">
        <v>79</v>
      </c>
      <c r="F849" s="31" t="s">
        <v>163</v>
      </c>
      <c r="G849" s="32">
        <v>750</v>
      </c>
      <c r="H849" s="32"/>
      <c r="I849" s="32">
        <v>10</v>
      </c>
      <c r="J849" s="44">
        <f t="shared" si="158"/>
        <v>760</v>
      </c>
      <c r="K849" s="44">
        <f t="shared" si="159"/>
        <v>905</v>
      </c>
      <c r="L849" s="44">
        <f t="shared" si="160"/>
        <v>950</v>
      </c>
      <c r="M849" s="44">
        <f t="shared" si="161"/>
        <v>1200</v>
      </c>
      <c r="N849" s="44">
        <f t="shared" si="162"/>
        <v>875</v>
      </c>
      <c r="O849" s="44">
        <f t="shared" si="163"/>
        <v>1020</v>
      </c>
      <c r="P849" s="44">
        <f>IF(((SuitNonBranded[[#This Row],[Cost]]*1.5+50)/0.835)&lt;2500,
    MROUND(((SuitNonBranded[[#This Row],[Cost]]*1.5+50)/0.835*1.05)*2,10),
    MROUND(((SuitNonBranded[[#This Row],[Cost]]*1.5+50)/0.835*1.18)*2,10))</f>
        <v>2960</v>
      </c>
      <c r="Q849" s="44">
        <f>IF($S$3="","",
MROUND(
  IF($S$3="m",
     IF($T$3=1, SuitNonBranded[[#This Row],[Mrp]]+$W$4, SuitNonBranded[[#This Row],[Mrp]]+$X$4),
  IF($S$3="nc",
     IF($T$3=1, SuitNonBranded[[#This Row],[Net Cash]]+$W$5, SuitNonBranded[[#This Row],[Net Cash]]+$X$5),
  IF($S$3="npc",
     IF($T$3=1, SuitNonBranded[[#This Row],[Net Price Credit]]+$W$6, SuitNonBranded[[#This Row],[Net Price Credit]]+$X$6),
  IF($S$3="w",
     IF($T$3=1, SuitNonBranded[[#This Row],[Wsp]]+$W$6, SuitNonBranded[[#This Row],[Wsp]]+$X$6),
  "")))),
10))</f>
        <v>1270</v>
      </c>
    </row>
    <row r="850" spans="1:17" x14ac:dyDescent="0.25">
      <c r="A850" s="33"/>
      <c r="B850" s="34" t="s">
        <v>164</v>
      </c>
      <c r="C850" s="35" t="s">
        <v>162</v>
      </c>
      <c r="D850" s="35" t="s">
        <v>702</v>
      </c>
      <c r="E850" s="35" t="s">
        <v>79</v>
      </c>
      <c r="F850" s="35" t="s">
        <v>163</v>
      </c>
      <c r="G850" s="36">
        <v>800</v>
      </c>
      <c r="H850" s="36"/>
      <c r="I850" s="36">
        <v>10</v>
      </c>
      <c r="J850" s="45">
        <f t="shared" si="158"/>
        <v>810</v>
      </c>
      <c r="K850" s="45">
        <f t="shared" si="159"/>
        <v>965</v>
      </c>
      <c r="L850" s="45">
        <f t="shared" si="160"/>
        <v>1015</v>
      </c>
      <c r="M850" s="45">
        <f t="shared" si="161"/>
        <v>1300</v>
      </c>
      <c r="N850" s="45">
        <f t="shared" si="162"/>
        <v>935</v>
      </c>
      <c r="O850" s="45">
        <f t="shared" si="163"/>
        <v>1090</v>
      </c>
      <c r="P850" s="45">
        <f>IF(((SuitNonBranded[[#This Row],[Cost]]*1.5+50)/0.835)&lt;2500,
    MROUND(((SuitNonBranded[[#This Row],[Cost]]*1.5+50)/0.835*1.05)*2,10),
    MROUND(((SuitNonBranded[[#This Row],[Cost]]*1.5+50)/0.835*1.18)*2,10))</f>
        <v>3140</v>
      </c>
      <c r="Q850" s="45">
        <f>IF($S$3="","",
MROUND(
  IF($S$3="m",
     IF($T$3=1, SuitNonBranded[[#This Row],[Mrp]]+$W$4, SuitNonBranded[[#This Row],[Mrp]]+$X$4),
  IF($S$3="nc",
     IF($T$3=1, SuitNonBranded[[#This Row],[Net Cash]]+$W$5, SuitNonBranded[[#This Row],[Net Cash]]+$X$5),
  IF($S$3="npc",
     IF($T$3=1, SuitNonBranded[[#This Row],[Net Price Credit]]+$W$6, SuitNonBranded[[#This Row],[Net Price Credit]]+$X$6),
  IF($S$3="w",
     IF($T$3=1, SuitNonBranded[[#This Row],[Wsp]]+$W$6, SuitNonBranded[[#This Row],[Wsp]]+$X$6),
  "")))),
10))</f>
        <v>1370</v>
      </c>
    </row>
    <row r="851" spans="1:17" x14ac:dyDescent="0.25">
      <c r="A851" s="29"/>
      <c r="B851" s="30" t="s">
        <v>166</v>
      </c>
      <c r="C851" s="31" t="s">
        <v>162</v>
      </c>
      <c r="D851" s="31" t="s">
        <v>702</v>
      </c>
      <c r="E851" s="31" t="s">
        <v>79</v>
      </c>
      <c r="F851" s="31" t="s">
        <v>163</v>
      </c>
      <c r="G851" s="32">
        <v>700</v>
      </c>
      <c r="H851" s="32"/>
      <c r="I851" s="32">
        <v>10</v>
      </c>
      <c r="J851" s="44">
        <f t="shared" si="158"/>
        <v>710</v>
      </c>
      <c r="K851" s="44">
        <f t="shared" si="159"/>
        <v>850</v>
      </c>
      <c r="L851" s="44">
        <f t="shared" si="160"/>
        <v>890</v>
      </c>
      <c r="M851" s="44">
        <f t="shared" si="161"/>
        <v>1125</v>
      </c>
      <c r="N851" s="44">
        <f t="shared" si="162"/>
        <v>820</v>
      </c>
      <c r="O851" s="44">
        <f t="shared" si="163"/>
        <v>955</v>
      </c>
      <c r="P851" s="44">
        <f>IF(((SuitNonBranded[[#This Row],[Cost]]*1.5+50)/0.835)&lt;2500,
    MROUND(((SuitNonBranded[[#This Row],[Cost]]*1.5+50)/0.835*1.05)*2,10),
    MROUND(((SuitNonBranded[[#This Row],[Cost]]*1.5+50)/0.835*1.18)*2,10))</f>
        <v>2770</v>
      </c>
      <c r="Q851" s="44">
        <f>IF($S$3="","",
MROUND(
  IF($S$3="m",
     IF($T$3=1, SuitNonBranded[[#This Row],[Mrp]]+$W$4, SuitNonBranded[[#This Row],[Mrp]]+$X$4),
  IF($S$3="nc",
     IF($T$3=1, SuitNonBranded[[#This Row],[Net Cash]]+$W$5, SuitNonBranded[[#This Row],[Net Cash]]+$X$5),
  IF($S$3="npc",
     IF($T$3=1, SuitNonBranded[[#This Row],[Net Price Credit]]+$W$6, SuitNonBranded[[#This Row],[Net Price Credit]]+$X$6),
  IF($S$3="w",
     IF($T$3=1, SuitNonBranded[[#This Row],[Wsp]]+$W$6, SuitNonBranded[[#This Row],[Wsp]]+$X$6),
  "")))),
10))</f>
        <v>1200</v>
      </c>
    </row>
    <row r="852" spans="1:17" x14ac:dyDescent="0.25">
      <c r="A852" s="33"/>
      <c r="B852" s="34" t="s">
        <v>320</v>
      </c>
      <c r="C852" s="35" t="s">
        <v>162</v>
      </c>
      <c r="D852" s="35" t="s">
        <v>702</v>
      </c>
      <c r="E852" s="35" t="s">
        <v>79</v>
      </c>
      <c r="F852" s="35" t="s">
        <v>320</v>
      </c>
      <c r="G852" s="36">
        <v>950</v>
      </c>
      <c r="H852" s="36"/>
      <c r="I852" s="36">
        <v>10</v>
      </c>
      <c r="J852" s="45">
        <f t="shared" si="158"/>
        <v>960</v>
      </c>
      <c r="K852" s="45">
        <f t="shared" si="159"/>
        <v>1140</v>
      </c>
      <c r="L852" s="45">
        <f t="shared" si="160"/>
        <v>1200</v>
      </c>
      <c r="M852" s="45">
        <f t="shared" si="161"/>
        <v>1525</v>
      </c>
      <c r="N852" s="45">
        <f t="shared" si="162"/>
        <v>1105</v>
      </c>
      <c r="O852" s="45">
        <f t="shared" si="163"/>
        <v>1285</v>
      </c>
      <c r="P852" s="45">
        <f>IF(((SuitNonBranded[[#This Row],[Cost]]*1.5+50)/0.835)&lt;2500,
    MROUND(((SuitNonBranded[[#This Row],[Cost]]*1.5+50)/0.835*1.05)*2,10),
    MROUND(((SuitNonBranded[[#This Row],[Cost]]*1.5+50)/0.835*1.18)*2,10))</f>
        <v>3710</v>
      </c>
      <c r="Q852" s="45">
        <f>IF($S$3="","",
MROUND(
  IF($S$3="m",
     IF($T$3=1, SuitNonBranded[[#This Row],[Mrp]]+$W$4, SuitNonBranded[[#This Row],[Mrp]]+$X$4),
  IF($S$3="nc",
     IF($T$3=1, SuitNonBranded[[#This Row],[Net Cash]]+$W$5, SuitNonBranded[[#This Row],[Net Cash]]+$X$5),
  IF($S$3="npc",
     IF($T$3=1, SuitNonBranded[[#This Row],[Net Price Credit]]+$W$6, SuitNonBranded[[#This Row],[Net Price Credit]]+$X$6),
  IF($S$3="w",
     IF($T$3=1, SuitNonBranded[[#This Row],[Wsp]]+$W$6, SuitNonBranded[[#This Row],[Wsp]]+$X$6),
  "")))),
10))</f>
        <v>1600</v>
      </c>
    </row>
    <row r="853" spans="1:17" x14ac:dyDescent="0.25">
      <c r="A853" s="29"/>
      <c r="B853" s="30" t="s">
        <v>324</v>
      </c>
      <c r="C853" s="31" t="s">
        <v>162</v>
      </c>
      <c r="D853" s="31" t="s">
        <v>702</v>
      </c>
      <c r="E853" s="31" t="s">
        <v>328</v>
      </c>
      <c r="F853" s="31" t="s">
        <v>325</v>
      </c>
      <c r="G853" s="32">
        <v>4650</v>
      </c>
      <c r="H853" s="32"/>
      <c r="I853" s="32">
        <v>50</v>
      </c>
      <c r="J853" s="44">
        <f t="shared" si="158"/>
        <v>4700</v>
      </c>
      <c r="K853" s="44">
        <f t="shared" si="159"/>
        <v>5585</v>
      </c>
      <c r="L853" s="44">
        <f t="shared" si="160"/>
        <v>5875</v>
      </c>
      <c r="M853" s="44">
        <f t="shared" si="161"/>
        <v>7450</v>
      </c>
      <c r="N853" s="44">
        <f t="shared" si="162"/>
        <v>5405</v>
      </c>
      <c r="O853" s="44">
        <f t="shared" si="163"/>
        <v>6290</v>
      </c>
      <c r="P853" s="44">
        <f>IF(((SuitNonBranded[[#This Row],[Cost]]*1.5+50)/0.835)&lt;2500,
    MROUND(((SuitNonBranded[[#This Row],[Cost]]*1.5+50)/0.835*1.05)*2,10),
    MROUND(((SuitNonBranded[[#This Row],[Cost]]*1.5+50)/0.835*1.18)*2,10))</f>
        <v>19860</v>
      </c>
      <c r="Q853" s="44">
        <f>IF($S$3="","",
MROUND(
  IF($S$3="m",
     IF($T$3=1, SuitNonBranded[[#This Row],[Mrp]]+$W$4, SuitNonBranded[[#This Row],[Mrp]]+$X$4),
  IF($S$3="nc",
     IF($T$3=1, SuitNonBranded[[#This Row],[Net Cash]]+$W$5, SuitNonBranded[[#This Row],[Net Cash]]+$X$5),
  IF($S$3="npc",
     IF($T$3=1, SuitNonBranded[[#This Row],[Net Price Credit]]+$W$6, SuitNonBranded[[#This Row],[Net Price Credit]]+$X$6),
  IF($S$3="w",
     IF($T$3=1, SuitNonBranded[[#This Row],[Wsp]]+$W$6, SuitNonBranded[[#This Row],[Wsp]]+$X$6),
  "")))),
10))</f>
        <v>7520</v>
      </c>
    </row>
    <row r="854" spans="1:17" x14ac:dyDescent="0.25">
      <c r="A854" s="33"/>
      <c r="B854" s="34" t="s">
        <v>333</v>
      </c>
      <c r="C854" s="35" t="s">
        <v>162</v>
      </c>
      <c r="D854" s="35" t="s">
        <v>702</v>
      </c>
      <c r="E854" s="35" t="s">
        <v>331</v>
      </c>
      <c r="F854" s="35" t="s">
        <v>332</v>
      </c>
      <c r="G854" s="36">
        <v>3250</v>
      </c>
      <c r="H854" s="36"/>
      <c r="I854" s="36">
        <v>50</v>
      </c>
      <c r="J854" s="45">
        <f t="shared" si="158"/>
        <v>3300</v>
      </c>
      <c r="K854" s="45">
        <f t="shared" si="159"/>
        <v>3920</v>
      </c>
      <c r="L854" s="45">
        <f t="shared" si="160"/>
        <v>4125</v>
      </c>
      <c r="M854" s="45">
        <f t="shared" si="161"/>
        <v>5200</v>
      </c>
      <c r="N854" s="45">
        <f t="shared" si="162"/>
        <v>3795</v>
      </c>
      <c r="O854" s="45">
        <f t="shared" si="163"/>
        <v>4415</v>
      </c>
      <c r="P854" s="45">
        <f>IF(((SuitNonBranded[[#This Row],[Cost]]*1.5+50)/0.835)&lt;2500,
    MROUND(((SuitNonBranded[[#This Row],[Cost]]*1.5+50)/0.835*1.05)*2,10),
    MROUND(((SuitNonBranded[[#This Row],[Cost]]*1.5+50)/0.835*1.18)*2,10))</f>
        <v>13920</v>
      </c>
      <c r="Q854" s="45">
        <f>IF($S$3="","",
MROUND(
  IF($S$3="m",
     IF($T$3=1, SuitNonBranded[[#This Row],[Mrp]]+$W$4, SuitNonBranded[[#This Row],[Mrp]]+$X$4),
  IF($S$3="nc",
     IF($T$3=1, SuitNonBranded[[#This Row],[Net Cash]]+$W$5, SuitNonBranded[[#This Row],[Net Cash]]+$X$5),
  IF($S$3="npc",
     IF($T$3=1, SuitNonBranded[[#This Row],[Net Price Credit]]+$W$6, SuitNonBranded[[#This Row],[Net Price Credit]]+$X$6),
  IF($S$3="w",
     IF($T$3=1, SuitNonBranded[[#This Row],[Wsp]]+$W$6, SuitNonBranded[[#This Row],[Wsp]]+$X$6),
  "")))),
10))</f>
        <v>5270</v>
      </c>
    </row>
    <row r="855" spans="1:17" x14ac:dyDescent="0.25">
      <c r="A855" s="29">
        <v>2025</v>
      </c>
      <c r="B855" s="30" t="s">
        <v>617</v>
      </c>
      <c r="C855" s="31" t="s">
        <v>162</v>
      </c>
      <c r="D855" s="31" t="s">
        <v>702</v>
      </c>
      <c r="E855" s="31" t="s">
        <v>328</v>
      </c>
      <c r="F855" s="31" t="s">
        <v>618</v>
      </c>
      <c r="G855" s="32">
        <v>4850</v>
      </c>
      <c r="H855" s="32"/>
      <c r="I855" s="32">
        <v>10</v>
      </c>
      <c r="J855" s="44">
        <f t="shared" si="158"/>
        <v>4860</v>
      </c>
      <c r="K855" s="44">
        <f t="shared" si="159"/>
        <v>5775</v>
      </c>
      <c r="L855" s="44">
        <f t="shared" si="160"/>
        <v>6075</v>
      </c>
      <c r="M855" s="44">
        <f t="shared" si="161"/>
        <v>7700</v>
      </c>
      <c r="N855" s="44">
        <f t="shared" si="162"/>
        <v>5590</v>
      </c>
      <c r="O855" s="44">
        <f t="shared" si="163"/>
        <v>6505</v>
      </c>
      <c r="P855" s="44">
        <f>IF(((SuitNonBranded[[#This Row],[Cost]]*1.5+50)/0.835)&lt;2500,
    MROUND(((SuitNonBranded[[#This Row],[Cost]]*1.5+50)/0.835*1.05)*2,10),
    MROUND(((SuitNonBranded[[#This Row],[Cost]]*1.5+50)/0.835*1.18)*2,10))</f>
        <v>20700</v>
      </c>
      <c r="Q855" s="44">
        <f>IF($S$3="","",
MROUND(
  IF($S$3="m",
     IF($T$3=1, SuitNonBranded[[#This Row],[Mrp]]+$W$4, SuitNonBranded[[#This Row],[Mrp]]+$X$4),
  IF($S$3="nc",
     IF($T$3=1, SuitNonBranded[[#This Row],[Net Cash]]+$W$5, SuitNonBranded[[#This Row],[Net Cash]]+$X$5),
  IF($S$3="npc",
     IF($T$3=1, SuitNonBranded[[#This Row],[Net Price Credit]]+$W$6, SuitNonBranded[[#This Row],[Net Price Credit]]+$X$6),
  IF($S$3="w",
     IF($T$3=1, SuitNonBranded[[#This Row],[Wsp]]+$W$6, SuitNonBranded[[#This Row],[Wsp]]+$X$6),
  "")))),
10))</f>
        <v>7770</v>
      </c>
    </row>
    <row r="856" spans="1:17" x14ac:dyDescent="0.25">
      <c r="A856" s="33">
        <v>2025</v>
      </c>
      <c r="B856" s="34" t="s">
        <v>619</v>
      </c>
      <c r="C856" s="35" t="s">
        <v>162</v>
      </c>
      <c r="D856" s="35" t="s">
        <v>702</v>
      </c>
      <c r="E856" s="35" t="s">
        <v>328</v>
      </c>
      <c r="F856" s="35" t="s">
        <v>620</v>
      </c>
      <c r="G856" s="36">
        <v>4200</v>
      </c>
      <c r="H856" s="36"/>
      <c r="I856" s="36">
        <v>10</v>
      </c>
      <c r="J856" s="45">
        <f t="shared" si="158"/>
        <v>4210</v>
      </c>
      <c r="K856" s="45">
        <f t="shared" ref="K856:K862" si="164">IF(ISNUMBER(L856), CEILING(ROUND(L856*0.95,2),5), "")</f>
        <v>5005</v>
      </c>
      <c r="L856" s="45">
        <f t="shared" ref="L856:L862" si="165">IF(AND(ISNUMBER(J856),ISNUMBER(G856)), CEILING(ROUND(J856*1.25,2),5), "")</f>
        <v>5265</v>
      </c>
      <c r="M856" s="45">
        <f t="shared" si="161"/>
        <v>6650</v>
      </c>
      <c r="N856" s="45">
        <f t="shared" ref="N856:N862" si="166">IF(ISNUMBER(G856), CEILING(ROUND(L856*0.92,2),5), "")</f>
        <v>4845</v>
      </c>
      <c r="O856" s="45">
        <f t="shared" si="163"/>
        <v>5635</v>
      </c>
      <c r="P856" s="45">
        <f>IF(((SuitNonBranded[[#This Row],[Cost]]*1.5+50)/0.835)&lt;2500,
    MROUND(((SuitNonBranded[[#This Row],[Cost]]*1.5+50)/0.835*1.05)*2,10),
    MROUND(((SuitNonBranded[[#This Row],[Cost]]*1.5+50)/0.835*1.18)*2,10))</f>
        <v>17950</v>
      </c>
      <c r="Q856" s="45">
        <f>IF($S$3="","",
MROUND(
  IF($S$3="m",
     IF($T$3=1, SuitNonBranded[[#This Row],[Mrp]]+$W$4, SuitNonBranded[[#This Row],[Mrp]]+$X$4),
  IF($S$3="nc",
     IF($T$3=1, SuitNonBranded[[#This Row],[Net Cash]]+$W$5, SuitNonBranded[[#This Row],[Net Cash]]+$X$5),
  IF($S$3="npc",
     IF($T$3=1, SuitNonBranded[[#This Row],[Net Price Credit]]+$W$6, SuitNonBranded[[#This Row],[Net Price Credit]]+$X$6),
  IF($S$3="w",
     IF($T$3=1, SuitNonBranded[[#This Row],[Wsp]]+$W$6, SuitNonBranded[[#This Row],[Wsp]]+$X$6),
  "")))),
10))</f>
        <v>6720</v>
      </c>
    </row>
    <row r="857" spans="1:17" x14ac:dyDescent="0.25">
      <c r="A857" s="29">
        <v>2025</v>
      </c>
      <c r="B857" s="30" t="s">
        <v>621</v>
      </c>
      <c r="C857" s="31" t="s">
        <v>162</v>
      </c>
      <c r="D857" s="31" t="s">
        <v>702</v>
      </c>
      <c r="E857" s="31" t="s">
        <v>328</v>
      </c>
      <c r="F857" s="31" t="s">
        <v>622</v>
      </c>
      <c r="G857" s="32">
        <v>3650</v>
      </c>
      <c r="H857" s="32"/>
      <c r="I857" s="32">
        <v>10</v>
      </c>
      <c r="J857" s="44">
        <f t="shared" si="158"/>
        <v>3660</v>
      </c>
      <c r="K857" s="44">
        <f t="shared" si="164"/>
        <v>4350</v>
      </c>
      <c r="L857" s="44">
        <f t="shared" si="165"/>
        <v>4575</v>
      </c>
      <c r="M857" s="44">
        <f t="shared" si="161"/>
        <v>5800</v>
      </c>
      <c r="N857" s="44">
        <f t="shared" si="166"/>
        <v>4210</v>
      </c>
      <c r="O857" s="44">
        <f t="shared" si="163"/>
        <v>4900</v>
      </c>
      <c r="P857" s="44">
        <f>IF(((SuitNonBranded[[#This Row],[Cost]]*1.5+50)/0.835)&lt;2500,
    MROUND(((SuitNonBranded[[#This Row],[Cost]]*1.5+50)/0.835*1.05)*2,10),
    MROUND(((SuitNonBranded[[#This Row],[Cost]]*1.5+50)/0.835*1.18)*2,10))</f>
        <v>15620</v>
      </c>
      <c r="Q857" s="44">
        <f>IF($S$3="","",
MROUND(
  IF($S$3="m",
     IF($T$3=1, SuitNonBranded[[#This Row],[Mrp]]+$W$4, SuitNonBranded[[#This Row],[Mrp]]+$X$4),
  IF($S$3="nc",
     IF($T$3=1, SuitNonBranded[[#This Row],[Net Cash]]+$W$5, SuitNonBranded[[#This Row],[Net Cash]]+$X$5),
  IF($S$3="npc",
     IF($T$3=1, SuitNonBranded[[#This Row],[Net Price Credit]]+$W$6, SuitNonBranded[[#This Row],[Net Price Credit]]+$X$6),
  IF($S$3="w",
     IF($T$3=1, SuitNonBranded[[#This Row],[Wsp]]+$W$6, SuitNonBranded[[#This Row],[Wsp]]+$X$6),
  "")))),
10))</f>
        <v>5870</v>
      </c>
    </row>
    <row r="858" spans="1:17" x14ac:dyDescent="0.25">
      <c r="A858" s="33">
        <v>2025</v>
      </c>
      <c r="B858" s="34" t="s">
        <v>630</v>
      </c>
      <c r="C858" s="35" t="s">
        <v>162</v>
      </c>
      <c r="D858" s="35" t="s">
        <v>702</v>
      </c>
      <c r="E858" s="35" t="s">
        <v>290</v>
      </c>
      <c r="F858" s="35" t="s">
        <v>631</v>
      </c>
      <c r="G858" s="36">
        <v>2395</v>
      </c>
      <c r="H858" s="36"/>
      <c r="I858" s="36">
        <v>10</v>
      </c>
      <c r="J858" s="45">
        <f t="shared" si="158"/>
        <v>2405</v>
      </c>
      <c r="K858" s="45">
        <f t="shared" si="164"/>
        <v>2860</v>
      </c>
      <c r="L858" s="45">
        <f t="shared" si="165"/>
        <v>3010</v>
      </c>
      <c r="M858" s="45">
        <f t="shared" si="161"/>
        <v>3800</v>
      </c>
      <c r="N858" s="45">
        <f t="shared" si="166"/>
        <v>2770</v>
      </c>
      <c r="O858" s="45">
        <f t="shared" si="163"/>
        <v>3225</v>
      </c>
      <c r="P858" s="45">
        <f>IF(((SuitNonBranded[[#This Row],[Cost]]*1.5+50)/0.835)&lt;2500,
    MROUND(((SuitNonBranded[[#This Row],[Cost]]*1.5+50)/0.835*1.05)*2,10),
    MROUND(((SuitNonBranded[[#This Row],[Cost]]*1.5+50)/0.835*1.18)*2,10))</f>
        <v>10290</v>
      </c>
      <c r="Q858" s="45">
        <f>IF($S$3="","",
MROUND(
  IF($S$3="m",
     IF($T$3=1, SuitNonBranded[[#This Row],[Mrp]]+$W$4, SuitNonBranded[[#This Row],[Mrp]]+$X$4),
  IF($S$3="nc",
     IF($T$3=1, SuitNonBranded[[#This Row],[Net Cash]]+$W$5, SuitNonBranded[[#This Row],[Net Cash]]+$X$5),
  IF($S$3="npc",
     IF($T$3=1, SuitNonBranded[[#This Row],[Net Price Credit]]+$W$6, SuitNonBranded[[#This Row],[Net Price Credit]]+$X$6),
  IF($S$3="w",
     IF($T$3=1, SuitNonBranded[[#This Row],[Wsp]]+$W$6, SuitNonBranded[[#This Row],[Wsp]]+$X$6),
  "")))),
10))</f>
        <v>3870</v>
      </c>
    </row>
    <row r="859" spans="1:17" x14ac:dyDescent="0.25">
      <c r="A859" s="29">
        <v>2025</v>
      </c>
      <c r="B859" s="30" t="s">
        <v>674</v>
      </c>
      <c r="C859" s="31" t="s">
        <v>162</v>
      </c>
      <c r="D859" s="31" t="s">
        <v>702</v>
      </c>
      <c r="E859" s="31" t="s">
        <v>673</v>
      </c>
      <c r="F859" s="31" t="s">
        <v>675</v>
      </c>
      <c r="G859" s="32">
        <v>645</v>
      </c>
      <c r="H859" s="32"/>
      <c r="I859" s="32">
        <v>10</v>
      </c>
      <c r="J859" s="44">
        <f t="shared" si="158"/>
        <v>655</v>
      </c>
      <c r="K859" s="44">
        <f t="shared" si="164"/>
        <v>780</v>
      </c>
      <c r="L859" s="44">
        <f t="shared" si="165"/>
        <v>820</v>
      </c>
      <c r="M859" s="44">
        <f t="shared" si="161"/>
        <v>1050</v>
      </c>
      <c r="N859" s="44">
        <f t="shared" si="166"/>
        <v>755</v>
      </c>
      <c r="O859" s="44">
        <f t="shared" si="163"/>
        <v>880</v>
      </c>
      <c r="P859" s="44">
        <f>IF(((SuitNonBranded[[#This Row],[Cost]]*1.5+50)/0.835)&lt;2500,
    MROUND(((SuitNonBranded[[#This Row],[Cost]]*1.5+50)/0.835*1.05)*2,10),
    MROUND(((SuitNonBranded[[#This Row],[Cost]]*1.5+50)/0.835*1.18)*2,10))</f>
        <v>2560</v>
      </c>
      <c r="Q859" s="44">
        <f>IF($S$3="","",
MROUND(
  IF($S$3="m",
     IF($T$3=1, SuitNonBranded[[#This Row],[Mrp]]+$W$4, SuitNonBranded[[#This Row],[Mrp]]+$X$4),
  IF($S$3="nc",
     IF($T$3=1, SuitNonBranded[[#This Row],[Net Cash]]+$W$5, SuitNonBranded[[#This Row],[Net Cash]]+$X$5),
  IF($S$3="npc",
     IF($T$3=1, SuitNonBranded[[#This Row],[Net Price Credit]]+$W$6, SuitNonBranded[[#This Row],[Net Price Credit]]+$X$6),
  IF($S$3="w",
     IF($T$3=1, SuitNonBranded[[#This Row],[Wsp]]+$W$6, SuitNonBranded[[#This Row],[Wsp]]+$X$6),
  "")))),
10))</f>
        <v>1120</v>
      </c>
    </row>
    <row r="860" spans="1:17" x14ac:dyDescent="0.25">
      <c r="A860" s="33">
        <v>2025</v>
      </c>
      <c r="B860" s="34" t="s">
        <v>676</v>
      </c>
      <c r="C860" s="35" t="s">
        <v>162</v>
      </c>
      <c r="D860" s="35" t="s">
        <v>702</v>
      </c>
      <c r="E860" s="35" t="s">
        <v>673</v>
      </c>
      <c r="F860" s="35" t="s">
        <v>677</v>
      </c>
      <c r="G860" s="36">
        <v>765</v>
      </c>
      <c r="H860" s="36"/>
      <c r="I860" s="36">
        <v>10</v>
      </c>
      <c r="J860" s="45">
        <f t="shared" si="158"/>
        <v>775</v>
      </c>
      <c r="K860" s="45">
        <f t="shared" si="164"/>
        <v>925</v>
      </c>
      <c r="L860" s="45">
        <f t="shared" si="165"/>
        <v>970</v>
      </c>
      <c r="M860" s="45">
        <f t="shared" si="161"/>
        <v>1225</v>
      </c>
      <c r="N860" s="45">
        <f t="shared" si="166"/>
        <v>895</v>
      </c>
      <c r="O860" s="45">
        <f t="shared" si="163"/>
        <v>1040</v>
      </c>
      <c r="P860" s="45">
        <f>IF(((SuitNonBranded[[#This Row],[Cost]]*1.5+50)/0.835)&lt;2500,
    MROUND(((SuitNonBranded[[#This Row],[Cost]]*1.5+50)/0.835*1.05)*2,10),
    MROUND(((SuitNonBranded[[#This Row],[Cost]]*1.5+50)/0.835*1.18)*2,10))</f>
        <v>3010</v>
      </c>
      <c r="Q860" s="45">
        <f>IF($S$3="","",
MROUND(
  IF($S$3="m",
     IF($T$3=1, SuitNonBranded[[#This Row],[Mrp]]+$W$4, SuitNonBranded[[#This Row],[Mrp]]+$X$4),
  IF($S$3="nc",
     IF($T$3=1, SuitNonBranded[[#This Row],[Net Cash]]+$W$5, SuitNonBranded[[#This Row],[Net Cash]]+$X$5),
  IF($S$3="npc",
     IF($T$3=1, SuitNonBranded[[#This Row],[Net Price Credit]]+$W$6, SuitNonBranded[[#This Row],[Net Price Credit]]+$X$6),
  IF($S$3="w",
     IF($T$3=1, SuitNonBranded[[#This Row],[Wsp]]+$W$6, SuitNonBranded[[#This Row],[Wsp]]+$X$6),
  "")))),
10))</f>
        <v>1300</v>
      </c>
    </row>
    <row r="861" spans="1:17" x14ac:dyDescent="0.25">
      <c r="A861" s="29">
        <v>2025</v>
      </c>
      <c r="B861" s="30" t="s">
        <v>678</v>
      </c>
      <c r="C861" s="31" t="s">
        <v>162</v>
      </c>
      <c r="D861" s="31" t="s">
        <v>702</v>
      </c>
      <c r="E861" s="31" t="s">
        <v>673</v>
      </c>
      <c r="F861" s="31" t="s">
        <v>679</v>
      </c>
      <c r="G861" s="32">
        <v>895</v>
      </c>
      <c r="H861" s="32"/>
      <c r="I861" s="32">
        <v>10</v>
      </c>
      <c r="J861" s="44">
        <f t="shared" si="158"/>
        <v>905</v>
      </c>
      <c r="K861" s="44">
        <f t="shared" si="164"/>
        <v>1080</v>
      </c>
      <c r="L861" s="44">
        <f t="shared" si="165"/>
        <v>1135</v>
      </c>
      <c r="M861" s="44">
        <f t="shared" si="161"/>
        <v>1450</v>
      </c>
      <c r="N861" s="44">
        <f t="shared" si="166"/>
        <v>1045</v>
      </c>
      <c r="O861" s="44">
        <f t="shared" si="163"/>
        <v>1215</v>
      </c>
      <c r="P861" s="44">
        <f>IF(((SuitNonBranded[[#This Row],[Cost]]*1.5+50)/0.835)&lt;2500,
    MROUND(((SuitNonBranded[[#This Row],[Cost]]*1.5+50)/0.835*1.05)*2,10),
    MROUND(((SuitNonBranded[[#This Row],[Cost]]*1.5+50)/0.835*1.18)*2,10))</f>
        <v>3500</v>
      </c>
      <c r="Q861" s="44">
        <f>IF($S$3="","",
MROUND(
  IF($S$3="m",
     IF($T$3=1, SuitNonBranded[[#This Row],[Mrp]]+$W$4, SuitNonBranded[[#This Row],[Mrp]]+$X$4),
  IF($S$3="nc",
     IF($T$3=1, SuitNonBranded[[#This Row],[Net Cash]]+$W$5, SuitNonBranded[[#This Row],[Net Cash]]+$X$5),
  IF($S$3="npc",
     IF($T$3=1, SuitNonBranded[[#This Row],[Net Price Credit]]+$W$6, SuitNonBranded[[#This Row],[Net Price Credit]]+$X$6),
  IF($S$3="w",
     IF($T$3=1, SuitNonBranded[[#This Row],[Wsp]]+$W$6, SuitNonBranded[[#This Row],[Wsp]]+$X$6),
  "")))),
10))</f>
        <v>1520</v>
      </c>
    </row>
    <row r="862" spans="1:17" x14ac:dyDescent="0.25">
      <c r="A862" s="37">
        <v>2025</v>
      </c>
      <c r="B862" s="38" t="s">
        <v>688</v>
      </c>
      <c r="C862" s="39" t="s">
        <v>162</v>
      </c>
      <c r="D862" s="39" t="s">
        <v>702</v>
      </c>
      <c r="E862" s="39" t="s">
        <v>689</v>
      </c>
      <c r="F862" s="39" t="s">
        <v>690</v>
      </c>
      <c r="G862" s="40">
        <v>860</v>
      </c>
      <c r="H862" s="40"/>
      <c r="I862" s="40">
        <v>100</v>
      </c>
      <c r="J862" s="46">
        <f t="shared" si="158"/>
        <v>960</v>
      </c>
      <c r="K862" s="46">
        <f t="shared" si="164"/>
        <v>1140</v>
      </c>
      <c r="L862" s="46">
        <f t="shared" si="165"/>
        <v>1200</v>
      </c>
      <c r="M862" s="46">
        <f t="shared" si="161"/>
        <v>1525</v>
      </c>
      <c r="N862" s="46">
        <f t="shared" si="166"/>
        <v>1105</v>
      </c>
      <c r="O862" s="46">
        <f t="shared" si="163"/>
        <v>1285</v>
      </c>
      <c r="P862" s="45">
        <f>IF(((SuitNonBranded[[#This Row],[Cost]]*1.5+50)/0.835)&lt;2500,
    MROUND(((SuitNonBranded[[#This Row],[Cost]]*1.5+50)/0.835*1.05)*2,10),
    MROUND(((SuitNonBranded[[#This Row],[Cost]]*1.5+50)/0.835*1.18)*2,10))</f>
        <v>3370</v>
      </c>
      <c r="Q862" s="45">
        <f>IF($S$3="","",
MROUND(
  IF($S$3="m",
     IF($T$3=1, SuitNonBranded[[#This Row],[Mrp]]+$W$4, SuitNonBranded[[#This Row],[Mrp]]+$X$4),
  IF($S$3="nc",
     IF($T$3=1, SuitNonBranded[[#This Row],[Net Cash]]+$W$5, SuitNonBranded[[#This Row],[Net Cash]]+$X$5),
  IF($S$3="npc",
     IF($T$3=1, SuitNonBranded[[#This Row],[Net Price Credit]]+$W$6, SuitNonBranded[[#This Row],[Net Price Credit]]+$X$6),
  IF($S$3="w",
     IF($T$3=1, SuitNonBranded[[#This Row],[Wsp]]+$W$6, SuitNonBranded[[#This Row],[Wsp]]+$X$6),
  "")))),
10))</f>
        <v>1600</v>
      </c>
    </row>
    <row r="863" spans="1:17" x14ac:dyDescent="0.25">
      <c r="A863" s="37">
        <v>2026</v>
      </c>
      <c r="B863" s="38" t="s">
        <v>943</v>
      </c>
      <c r="C863" s="39" t="s">
        <v>162</v>
      </c>
      <c r="D863" s="39" t="s">
        <v>702</v>
      </c>
      <c r="E863" s="39" t="s">
        <v>136</v>
      </c>
      <c r="F863" s="39" t="s">
        <v>941</v>
      </c>
      <c r="G863" s="40">
        <v>1550</v>
      </c>
      <c r="H863" s="40"/>
      <c r="I863" s="40">
        <v>25</v>
      </c>
      <c r="J863" s="46">
        <f>IF(SUMIF(G863:I863,"&lt;&gt;")=0,"",SUM(G863:I863))</f>
        <v>1575</v>
      </c>
      <c r="K863" s="46">
        <f>IF(ISNUMBER(L863), CEILING(ROUND(L863*0.95,2),5), "")</f>
        <v>1875</v>
      </c>
      <c r="L863" s="46">
        <f>IF(AND(ISNUMBER(J863),ISNUMBER(G863)), CEILING(ROUND(J863*1.25,2),5), "")</f>
        <v>1970</v>
      </c>
      <c r="M863" s="46">
        <f>IF(AND(ISNUMBER(J863),ISNUMBER(G863)),
   CEILING(
      ROUND((J863*1.5) * 1.05, 2),
      IF(ROUND((J863*1.5) * 1.05, 2) &lt; 2500, 25, 50)
   ),
"")</f>
        <v>2500</v>
      </c>
      <c r="N863" s="46">
        <f>IF(ISNUMBER(G863), CEILING(ROUND(L863*0.92,2),5), "")</f>
        <v>1815</v>
      </c>
      <c r="O863" s="46">
        <f>IF(ISNUMBER(L863), CEILING(ROUND(L863*1.07,2),5), "")</f>
        <v>2110</v>
      </c>
      <c r="P863" s="45">
        <f>IF(((SuitNonBranded[[#This Row],[Cost]]*1.5+50)/0.835)&lt;2500,
    MROUND(((SuitNonBranded[[#This Row],[Cost]]*1.5+50)/0.835*1.05)*2,10),
    MROUND(((SuitNonBranded[[#This Row],[Cost]]*1.5+50)/0.835*1.18)*2,10))</f>
        <v>6710</v>
      </c>
      <c r="Q863" s="45">
        <f>IF($S$3="","",
MROUND(
  IF($S$3="m",
     IF($T$3=1, SuitNonBranded[[#This Row],[Mrp]]+$W$4, SuitNonBranded[[#This Row],[Mrp]]+$X$4),
  IF($S$3="nc",
     IF($T$3=1, SuitNonBranded[[#This Row],[Net Cash]]+$W$5, SuitNonBranded[[#This Row],[Net Cash]]+$X$5),
  IF($S$3="npc",
     IF($T$3=1, SuitNonBranded[[#This Row],[Net Price Credit]]+$W$6, SuitNonBranded[[#This Row],[Net Price Credit]]+$X$6),
  IF($S$3="w",
     IF($T$3=1, SuitNonBranded[[#This Row],[Wsp]]+$W$6, SuitNonBranded[[#This Row],[Wsp]]+$X$6),
  "")))),
10))</f>
        <v>2570</v>
      </c>
    </row>
    <row r="864" spans="1:17" x14ac:dyDescent="0.25">
      <c r="A864" s="37">
        <v>2026</v>
      </c>
      <c r="B864" s="38" t="s">
        <v>942</v>
      </c>
      <c r="C864" s="39" t="s">
        <v>162</v>
      </c>
      <c r="D864" s="39" t="s">
        <v>702</v>
      </c>
      <c r="E864" s="39" t="s">
        <v>136</v>
      </c>
      <c r="F864" s="39" t="s">
        <v>944</v>
      </c>
      <c r="G864" s="40">
        <v>1250</v>
      </c>
      <c r="H864" s="40"/>
      <c r="I864" s="40">
        <v>25</v>
      </c>
      <c r="J864" s="46">
        <f>IF(SUMIF(G864:I864,"&lt;&gt;")=0,"",SUM(G864:I864))</f>
        <v>1275</v>
      </c>
      <c r="K864" s="46">
        <f>IF(ISNUMBER(L864), CEILING(ROUND(L864*0.95,2),5), "")</f>
        <v>1520</v>
      </c>
      <c r="L864" s="46">
        <f>IF(AND(ISNUMBER(J864),ISNUMBER(G864)), CEILING(ROUND(J864*1.25,2),5), "")</f>
        <v>1595</v>
      </c>
      <c r="M864" s="46">
        <f>IF(AND(ISNUMBER(J864),ISNUMBER(G864)),
   CEILING(
      ROUND((J864*1.5) * 1.05, 2),
      IF(ROUND((J864*1.5) * 1.05, 2) &lt; 2500, 25, 50)
   ),
"")</f>
        <v>2025</v>
      </c>
      <c r="N864" s="46">
        <f>IF(ISNUMBER(G864), CEILING(ROUND(L864*0.92,2),5), "")</f>
        <v>1470</v>
      </c>
      <c r="O864" s="46">
        <f>IF(ISNUMBER(L864), CEILING(ROUND(L864*1.07,2),5), "")</f>
        <v>1710</v>
      </c>
      <c r="P864" s="46">
        <f>IF(((SuitNonBranded[[#This Row],[Cost]]*1.5+50)/0.835)&lt;2500,
    MROUND(((SuitNonBranded[[#This Row],[Cost]]*1.5+50)/0.835*1.05)*2,10),
    MROUND(((SuitNonBranded[[#This Row],[Cost]]*1.5+50)/0.835*1.18)*2,10))</f>
        <v>4840</v>
      </c>
      <c r="Q864" s="46">
        <f>IF($S$3="","",
MROUND(
  IF($S$3="m",
     IF($T$3=1, SuitNonBranded[[#This Row],[Mrp]]+$W$4, SuitNonBranded[[#This Row],[Mrp]]+$X$4),
  IF($S$3="nc",
     IF($T$3=1, SuitNonBranded[[#This Row],[Net Cash]]+$W$5, SuitNonBranded[[#This Row],[Net Cash]]+$X$5),
  IF($S$3="npc",
     IF($T$3=1, SuitNonBranded[[#This Row],[Net Price Credit]]+$W$6, SuitNonBranded[[#This Row],[Net Price Credit]]+$X$6),
  IF($S$3="w",
     IF($T$3=1, SuitNonBranded[[#This Row],[Wsp]]+$W$6, SuitNonBranded[[#This Row],[Wsp]]+$X$6),
  "")))),
10))</f>
        <v>2100</v>
      </c>
    </row>
  </sheetData>
  <sheetProtection sheet="1" formatCells="0" formatColumns="0" formatRows="0" insertColumns="0" insertRows="0" insertHyperlinks="0" deleteColumns="0" deleteRows="0" sort="0" autoFilter="0" pivotTables="0"/>
  <phoneticPr fontId="3" type="noConversion"/>
  <conditionalFormatting sqref="B1:B1048576">
    <cfRule type="duplicateValues" dxfId="31" priority="2"/>
  </conditionalFormatting>
  <pageMargins left="0.7" right="0.7" top="0.75" bottom="0.75" header="0.3" footer="0.3"/>
  <pageSetup paperSize="9" orientation="portrait" horizontalDpi="240" verticalDpi="144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627FC-4EF4-49DA-BAC1-FB7ED84B61EF}">
  <dimension ref="A1:P852"/>
  <sheetViews>
    <sheetView topLeftCell="A51" zoomScale="115" zoomScaleNormal="115" workbookViewId="0">
      <selection activeCell="L67" sqref="L67"/>
    </sheetView>
  </sheetViews>
  <sheetFormatPr defaultRowHeight="15" x14ac:dyDescent="0.25"/>
  <cols>
    <col min="1" max="1" width="7.28515625" bestFit="1" customWidth="1"/>
    <col min="2" max="2" width="39.5703125" bestFit="1" customWidth="1"/>
    <col min="3" max="3" width="7.7109375" bestFit="1" customWidth="1"/>
    <col min="4" max="4" width="12.5703125" bestFit="1" customWidth="1"/>
    <col min="5" max="5" width="15.28515625" bestFit="1" customWidth="1"/>
    <col min="6" max="6" width="64.42578125" bestFit="1" customWidth="1"/>
    <col min="7" max="7" width="7.140625" bestFit="1" customWidth="1"/>
    <col min="8" max="8" width="10.7109375" bestFit="1" customWidth="1"/>
    <col min="9" max="9" width="11.5703125" bestFit="1" customWidth="1"/>
    <col min="10" max="10" width="12" bestFit="1" customWidth="1"/>
    <col min="11" max="11" width="17.42578125" bestFit="1" customWidth="1"/>
    <col min="12" max="12" width="7.28515625" bestFit="1" customWidth="1"/>
    <col min="13" max="13" width="7" bestFit="1" customWidth="1"/>
    <col min="14" max="14" width="11.140625" bestFit="1" customWidth="1"/>
    <col min="15" max="15" width="8.42578125" bestFit="1" customWidth="1"/>
    <col min="16" max="16" width="10.42578125" bestFit="1" customWidth="1"/>
  </cols>
  <sheetData>
    <row r="1" spans="1:16" x14ac:dyDescent="0.25">
      <c r="A1" t="s">
        <v>697</v>
      </c>
      <c r="B1" t="s">
        <v>696</v>
      </c>
      <c r="C1" t="s">
        <v>427</v>
      </c>
      <c r="D1" t="s">
        <v>503</v>
      </c>
      <c r="E1" t="s">
        <v>123</v>
      </c>
      <c r="F1" t="s">
        <v>747</v>
      </c>
      <c r="G1" t="s">
        <v>748</v>
      </c>
      <c r="H1" t="s">
        <v>749</v>
      </c>
      <c r="I1" t="s">
        <v>750</v>
      </c>
      <c r="J1" t="s">
        <v>703</v>
      </c>
      <c r="K1" t="s">
        <v>751</v>
      </c>
      <c r="L1" t="s">
        <v>752</v>
      </c>
      <c r="M1" t="s">
        <v>432</v>
      </c>
      <c r="N1" t="s">
        <v>753</v>
      </c>
      <c r="O1" t="s">
        <v>754</v>
      </c>
      <c r="P1" t="s">
        <v>918</v>
      </c>
    </row>
    <row r="2" spans="1:16" x14ac:dyDescent="0.25">
      <c r="A2">
        <v>2025</v>
      </c>
      <c r="B2">
        <v>120</v>
      </c>
      <c r="C2" t="s">
        <v>287</v>
      </c>
      <c r="D2" t="s">
        <v>167</v>
      </c>
      <c r="E2" t="s">
        <v>233</v>
      </c>
      <c r="F2" t="s">
        <v>323</v>
      </c>
      <c r="G2">
        <v>540</v>
      </c>
      <c r="I2">
        <v>25</v>
      </c>
      <c r="J2">
        <v>565</v>
      </c>
      <c r="K2">
        <v>675</v>
      </c>
      <c r="L2">
        <v>710</v>
      </c>
      <c r="M2">
        <v>900</v>
      </c>
      <c r="N2">
        <v>655</v>
      </c>
      <c r="O2">
        <v>760</v>
      </c>
      <c r="P2">
        <v>2160</v>
      </c>
    </row>
    <row r="3" spans="1:16" x14ac:dyDescent="0.25">
      <c r="B3">
        <v>121</v>
      </c>
      <c r="C3" t="s">
        <v>287</v>
      </c>
      <c r="D3" t="s">
        <v>497</v>
      </c>
      <c r="E3" t="s">
        <v>128</v>
      </c>
      <c r="F3" t="s">
        <v>632</v>
      </c>
      <c r="G3">
        <v>3350</v>
      </c>
      <c r="I3">
        <v>15</v>
      </c>
      <c r="J3">
        <v>3365</v>
      </c>
      <c r="K3">
        <v>4160</v>
      </c>
      <c r="L3">
        <v>4375</v>
      </c>
      <c r="M3">
        <v>6000</v>
      </c>
      <c r="N3">
        <v>4025</v>
      </c>
      <c r="O3">
        <v>4685</v>
      </c>
      <c r="P3">
        <v>14340</v>
      </c>
    </row>
    <row r="4" spans="1:16" x14ac:dyDescent="0.25">
      <c r="B4">
        <v>122</v>
      </c>
      <c r="C4" t="s">
        <v>287</v>
      </c>
      <c r="D4" t="s">
        <v>497</v>
      </c>
      <c r="E4" t="s">
        <v>127</v>
      </c>
      <c r="F4" t="s">
        <v>39</v>
      </c>
      <c r="G4">
        <v>1150</v>
      </c>
      <c r="I4">
        <v>15</v>
      </c>
      <c r="J4">
        <v>1165</v>
      </c>
      <c r="K4">
        <v>1440</v>
      </c>
      <c r="L4">
        <v>1515</v>
      </c>
      <c r="M4">
        <v>1850</v>
      </c>
      <c r="N4">
        <v>1395</v>
      </c>
      <c r="O4">
        <v>1625</v>
      </c>
      <c r="P4">
        <v>4460</v>
      </c>
    </row>
    <row r="5" spans="1:16" x14ac:dyDescent="0.25">
      <c r="A5">
        <v>2026</v>
      </c>
      <c r="B5">
        <v>123</v>
      </c>
      <c r="C5" t="s">
        <v>287</v>
      </c>
      <c r="D5" t="s">
        <v>497</v>
      </c>
      <c r="E5" t="s">
        <v>134</v>
      </c>
      <c r="F5" t="s">
        <v>41</v>
      </c>
      <c r="G5">
        <v>1525</v>
      </c>
      <c r="H5">
        <v>5</v>
      </c>
      <c r="I5">
        <v>15</v>
      </c>
      <c r="J5">
        <v>1545</v>
      </c>
      <c r="K5">
        <v>1910</v>
      </c>
      <c r="L5">
        <v>2010</v>
      </c>
      <c r="M5">
        <v>2450</v>
      </c>
      <c r="N5">
        <v>1850</v>
      </c>
      <c r="O5">
        <v>2155</v>
      </c>
      <c r="P5">
        <v>6610</v>
      </c>
    </row>
    <row r="6" spans="1:16" x14ac:dyDescent="0.25">
      <c r="A6">
        <v>2025</v>
      </c>
      <c r="B6">
        <v>127</v>
      </c>
      <c r="C6" t="s">
        <v>287</v>
      </c>
      <c r="D6" t="s">
        <v>497</v>
      </c>
      <c r="E6" t="s">
        <v>233</v>
      </c>
      <c r="F6" t="s">
        <v>615</v>
      </c>
      <c r="G6">
        <v>1100</v>
      </c>
      <c r="I6">
        <v>15</v>
      </c>
      <c r="J6">
        <v>1115</v>
      </c>
      <c r="K6">
        <v>1380</v>
      </c>
      <c r="L6">
        <v>1450</v>
      </c>
      <c r="M6">
        <v>1775</v>
      </c>
      <c r="N6">
        <v>1335</v>
      </c>
      <c r="O6">
        <v>1555</v>
      </c>
      <c r="P6">
        <v>4280</v>
      </c>
    </row>
    <row r="7" spans="1:16" x14ac:dyDescent="0.25">
      <c r="A7">
        <v>2026</v>
      </c>
      <c r="B7">
        <v>150</v>
      </c>
      <c r="C7" t="s">
        <v>287</v>
      </c>
      <c r="D7" t="s">
        <v>497</v>
      </c>
      <c r="E7" t="s">
        <v>169</v>
      </c>
      <c r="F7" t="s">
        <v>814</v>
      </c>
      <c r="G7">
        <v>970</v>
      </c>
      <c r="H7">
        <v>300</v>
      </c>
      <c r="I7">
        <v>60</v>
      </c>
      <c r="J7">
        <v>1330</v>
      </c>
      <c r="K7">
        <v>1710</v>
      </c>
      <c r="L7">
        <v>1800</v>
      </c>
      <c r="M7">
        <v>2100</v>
      </c>
      <c r="N7">
        <v>1660</v>
      </c>
      <c r="O7">
        <v>1930</v>
      </c>
      <c r="P7">
        <v>3790</v>
      </c>
    </row>
    <row r="8" spans="1:16" x14ac:dyDescent="0.25">
      <c r="A8">
        <v>2026</v>
      </c>
      <c r="B8">
        <v>170</v>
      </c>
      <c r="C8" t="s">
        <v>287</v>
      </c>
      <c r="D8" t="s">
        <v>497</v>
      </c>
      <c r="F8" t="s">
        <v>815</v>
      </c>
      <c r="G8">
        <v>980</v>
      </c>
      <c r="H8">
        <v>170</v>
      </c>
      <c r="I8">
        <v>60</v>
      </c>
      <c r="J8">
        <v>1210</v>
      </c>
      <c r="K8">
        <v>1555</v>
      </c>
      <c r="L8">
        <v>1635</v>
      </c>
      <c r="M8">
        <v>1925</v>
      </c>
      <c r="N8">
        <v>1505</v>
      </c>
      <c r="O8">
        <v>1750</v>
      </c>
      <c r="P8">
        <v>3820</v>
      </c>
    </row>
    <row r="9" spans="1:16" x14ac:dyDescent="0.25">
      <c r="A9">
        <v>2026</v>
      </c>
      <c r="B9">
        <v>190</v>
      </c>
      <c r="C9" t="s">
        <v>287</v>
      </c>
      <c r="D9" t="s">
        <v>167</v>
      </c>
      <c r="E9" t="s">
        <v>169</v>
      </c>
      <c r="F9" t="s">
        <v>831</v>
      </c>
      <c r="G9">
        <v>450</v>
      </c>
      <c r="I9">
        <v>50</v>
      </c>
      <c r="J9">
        <v>500</v>
      </c>
      <c r="K9">
        <v>620</v>
      </c>
      <c r="L9">
        <v>650</v>
      </c>
      <c r="M9">
        <v>800</v>
      </c>
      <c r="N9">
        <v>600</v>
      </c>
      <c r="O9">
        <v>700</v>
      </c>
      <c r="P9">
        <v>1820</v>
      </c>
    </row>
    <row r="10" spans="1:16" x14ac:dyDescent="0.25">
      <c r="A10">
        <v>2026</v>
      </c>
      <c r="B10">
        <v>191</v>
      </c>
      <c r="C10" t="s">
        <v>287</v>
      </c>
      <c r="D10" t="s">
        <v>700</v>
      </c>
      <c r="E10" t="s">
        <v>779</v>
      </c>
      <c r="F10" t="s">
        <v>119</v>
      </c>
      <c r="G10">
        <v>725</v>
      </c>
      <c r="I10">
        <v>25</v>
      </c>
      <c r="J10">
        <v>750</v>
      </c>
      <c r="K10">
        <v>930</v>
      </c>
      <c r="L10">
        <v>975</v>
      </c>
      <c r="M10">
        <v>1200</v>
      </c>
      <c r="N10">
        <v>900</v>
      </c>
      <c r="O10">
        <v>1045</v>
      </c>
      <c r="P10">
        <v>2860</v>
      </c>
    </row>
    <row r="11" spans="1:16" x14ac:dyDescent="0.25">
      <c r="A11">
        <v>2026</v>
      </c>
      <c r="B11">
        <v>192</v>
      </c>
      <c r="C11" t="s">
        <v>287</v>
      </c>
      <c r="D11" t="s">
        <v>167</v>
      </c>
      <c r="E11" t="s">
        <v>233</v>
      </c>
      <c r="F11" t="s">
        <v>662</v>
      </c>
      <c r="G11">
        <v>545</v>
      </c>
      <c r="H11">
        <v>-55</v>
      </c>
      <c r="I11">
        <v>25</v>
      </c>
      <c r="J11">
        <v>515</v>
      </c>
      <c r="K11">
        <v>615</v>
      </c>
      <c r="L11">
        <v>645</v>
      </c>
      <c r="M11">
        <v>825</v>
      </c>
      <c r="N11">
        <v>595</v>
      </c>
      <c r="O11">
        <v>695</v>
      </c>
      <c r="P11">
        <v>2180</v>
      </c>
    </row>
    <row r="12" spans="1:16" x14ac:dyDescent="0.25">
      <c r="B12">
        <v>193</v>
      </c>
      <c r="C12" t="s">
        <v>287</v>
      </c>
      <c r="D12" t="s">
        <v>497</v>
      </c>
      <c r="E12" t="s">
        <v>290</v>
      </c>
      <c r="F12" t="s">
        <v>426</v>
      </c>
      <c r="G12">
        <v>2500</v>
      </c>
      <c r="I12">
        <v>25</v>
      </c>
      <c r="J12">
        <v>2525</v>
      </c>
      <c r="K12">
        <v>3240</v>
      </c>
      <c r="L12">
        <v>3410</v>
      </c>
      <c r="M12">
        <v>4500</v>
      </c>
      <c r="N12">
        <v>3140</v>
      </c>
      <c r="O12">
        <v>3650</v>
      </c>
      <c r="P12">
        <v>10740</v>
      </c>
    </row>
    <row r="13" spans="1:16" x14ac:dyDescent="0.25">
      <c r="A13">
        <v>2026</v>
      </c>
      <c r="B13">
        <v>194</v>
      </c>
      <c r="C13" t="s">
        <v>287</v>
      </c>
      <c r="D13" t="s">
        <v>497</v>
      </c>
      <c r="E13" t="s">
        <v>233</v>
      </c>
      <c r="F13" t="s">
        <v>999</v>
      </c>
      <c r="G13">
        <v>1250</v>
      </c>
      <c r="I13">
        <v>25</v>
      </c>
      <c r="J13">
        <v>1275</v>
      </c>
      <c r="K13">
        <v>1520</v>
      </c>
      <c r="L13">
        <v>1595</v>
      </c>
      <c r="M13">
        <v>2025</v>
      </c>
      <c r="N13">
        <v>1470</v>
      </c>
      <c r="O13">
        <v>1710</v>
      </c>
      <c r="P13">
        <v>4840</v>
      </c>
    </row>
    <row r="14" spans="1:16" x14ac:dyDescent="0.25">
      <c r="A14">
        <v>2026</v>
      </c>
      <c r="B14">
        <v>275</v>
      </c>
      <c r="C14" t="s">
        <v>287</v>
      </c>
      <c r="D14" t="s">
        <v>494</v>
      </c>
      <c r="E14" t="s">
        <v>504</v>
      </c>
      <c r="F14" t="s">
        <v>505</v>
      </c>
      <c r="G14">
        <v>203</v>
      </c>
      <c r="I14">
        <v>10</v>
      </c>
      <c r="J14">
        <v>213</v>
      </c>
      <c r="K14">
        <v>260</v>
      </c>
      <c r="L14">
        <v>270</v>
      </c>
      <c r="M14">
        <v>350</v>
      </c>
      <c r="N14">
        <v>250</v>
      </c>
      <c r="O14">
        <v>290</v>
      </c>
      <c r="P14">
        <v>890</v>
      </c>
    </row>
    <row r="15" spans="1:16" x14ac:dyDescent="0.25">
      <c r="A15">
        <v>2025</v>
      </c>
      <c r="B15">
        <v>276</v>
      </c>
      <c r="C15" t="s">
        <v>287</v>
      </c>
      <c r="D15" t="s">
        <v>494</v>
      </c>
      <c r="E15" t="s">
        <v>504</v>
      </c>
      <c r="F15" t="s">
        <v>516</v>
      </c>
      <c r="G15">
        <v>130</v>
      </c>
      <c r="I15">
        <v>10</v>
      </c>
      <c r="J15">
        <v>140</v>
      </c>
      <c r="K15">
        <v>170</v>
      </c>
      <c r="L15">
        <v>175</v>
      </c>
      <c r="M15">
        <v>225</v>
      </c>
      <c r="N15">
        <v>165</v>
      </c>
      <c r="O15">
        <v>190</v>
      </c>
      <c r="P15">
        <v>620</v>
      </c>
    </row>
    <row r="16" spans="1:16" x14ac:dyDescent="0.25">
      <c r="A16">
        <v>2026</v>
      </c>
      <c r="B16">
        <v>402</v>
      </c>
      <c r="C16" t="s">
        <v>287</v>
      </c>
      <c r="D16" t="s">
        <v>500</v>
      </c>
      <c r="F16" t="s">
        <v>105</v>
      </c>
      <c r="G16">
        <v>205</v>
      </c>
      <c r="I16">
        <v>15</v>
      </c>
      <c r="J16">
        <v>220</v>
      </c>
      <c r="K16">
        <v>265</v>
      </c>
      <c r="L16">
        <v>275</v>
      </c>
      <c r="M16">
        <v>350</v>
      </c>
      <c r="N16">
        <v>255</v>
      </c>
      <c r="O16">
        <v>295</v>
      </c>
      <c r="P16">
        <v>900</v>
      </c>
    </row>
    <row r="17" spans="1:16" x14ac:dyDescent="0.25">
      <c r="B17">
        <v>406</v>
      </c>
      <c r="C17" t="s">
        <v>287</v>
      </c>
      <c r="D17" t="s">
        <v>494</v>
      </c>
      <c r="E17" t="s">
        <v>138</v>
      </c>
      <c r="F17" t="s">
        <v>706</v>
      </c>
      <c r="G17">
        <v>120</v>
      </c>
      <c r="I17">
        <v>15</v>
      </c>
      <c r="J17">
        <v>135</v>
      </c>
      <c r="K17">
        <v>165</v>
      </c>
      <c r="L17">
        <v>170</v>
      </c>
      <c r="M17">
        <v>225</v>
      </c>
      <c r="N17">
        <v>160</v>
      </c>
      <c r="O17">
        <v>185</v>
      </c>
      <c r="P17">
        <v>580</v>
      </c>
    </row>
    <row r="18" spans="1:16" x14ac:dyDescent="0.25">
      <c r="A18">
        <v>2026</v>
      </c>
      <c r="B18">
        <v>444</v>
      </c>
      <c r="C18" t="s">
        <v>287</v>
      </c>
      <c r="D18" t="s">
        <v>494</v>
      </c>
      <c r="E18" t="s">
        <v>772</v>
      </c>
      <c r="F18" t="s">
        <v>26</v>
      </c>
      <c r="G18">
        <v>100</v>
      </c>
      <c r="I18">
        <v>25</v>
      </c>
      <c r="J18">
        <v>125</v>
      </c>
      <c r="K18">
        <v>155</v>
      </c>
      <c r="L18">
        <v>160</v>
      </c>
      <c r="M18">
        <v>200</v>
      </c>
      <c r="N18">
        <v>150</v>
      </c>
      <c r="O18">
        <v>175</v>
      </c>
      <c r="P18">
        <v>500</v>
      </c>
    </row>
    <row r="19" spans="1:16" x14ac:dyDescent="0.25">
      <c r="B19">
        <v>472</v>
      </c>
      <c r="C19" t="s">
        <v>287</v>
      </c>
      <c r="D19" t="s">
        <v>494</v>
      </c>
      <c r="E19" t="s">
        <v>138</v>
      </c>
      <c r="F19" t="s">
        <v>707</v>
      </c>
      <c r="G19">
        <v>185</v>
      </c>
      <c r="I19">
        <v>10</v>
      </c>
      <c r="J19">
        <v>195</v>
      </c>
      <c r="K19">
        <v>235</v>
      </c>
      <c r="L19">
        <v>245</v>
      </c>
      <c r="M19">
        <v>325</v>
      </c>
      <c r="N19">
        <v>230</v>
      </c>
      <c r="O19">
        <v>265</v>
      </c>
      <c r="P19">
        <v>820</v>
      </c>
    </row>
    <row r="20" spans="1:16" x14ac:dyDescent="0.25">
      <c r="A20">
        <v>2026</v>
      </c>
      <c r="B20">
        <v>550</v>
      </c>
      <c r="C20" t="s">
        <v>287</v>
      </c>
      <c r="D20" t="s">
        <v>494</v>
      </c>
      <c r="E20" t="s">
        <v>246</v>
      </c>
      <c r="F20" t="s">
        <v>247</v>
      </c>
      <c r="G20">
        <v>280</v>
      </c>
      <c r="I20">
        <v>20</v>
      </c>
      <c r="J20">
        <v>300</v>
      </c>
      <c r="K20">
        <v>360</v>
      </c>
      <c r="L20">
        <v>375</v>
      </c>
      <c r="M20">
        <v>475</v>
      </c>
      <c r="N20">
        <v>345</v>
      </c>
      <c r="O20">
        <v>405</v>
      </c>
      <c r="P20">
        <v>1180</v>
      </c>
    </row>
    <row r="21" spans="1:16" x14ac:dyDescent="0.25">
      <c r="A21">
        <v>2026</v>
      </c>
      <c r="B21">
        <v>555</v>
      </c>
      <c r="C21" t="s">
        <v>287</v>
      </c>
      <c r="D21" t="s">
        <v>494</v>
      </c>
      <c r="E21" t="s">
        <v>246</v>
      </c>
      <c r="F21" t="s">
        <v>1013</v>
      </c>
      <c r="G21">
        <v>125</v>
      </c>
      <c r="I21">
        <v>35</v>
      </c>
      <c r="J21">
        <v>160</v>
      </c>
      <c r="K21">
        <v>190</v>
      </c>
      <c r="L21">
        <v>200</v>
      </c>
      <c r="M21">
        <v>275</v>
      </c>
      <c r="N21">
        <v>185</v>
      </c>
      <c r="O21">
        <v>215</v>
      </c>
      <c r="P21">
        <v>600</v>
      </c>
    </row>
    <row r="22" spans="1:16" x14ac:dyDescent="0.25">
      <c r="A22">
        <v>2026</v>
      </c>
      <c r="B22">
        <v>666</v>
      </c>
      <c r="C22" t="s">
        <v>287</v>
      </c>
      <c r="D22" t="s">
        <v>494</v>
      </c>
      <c r="F22" t="s">
        <v>1007</v>
      </c>
      <c r="G22">
        <v>150</v>
      </c>
      <c r="I22">
        <v>35</v>
      </c>
      <c r="J22">
        <v>185</v>
      </c>
      <c r="K22">
        <v>225</v>
      </c>
      <c r="L22">
        <v>235</v>
      </c>
      <c r="M22">
        <v>300</v>
      </c>
      <c r="N22">
        <v>220</v>
      </c>
      <c r="O22">
        <v>255</v>
      </c>
      <c r="P22">
        <v>690</v>
      </c>
    </row>
    <row r="23" spans="1:16" x14ac:dyDescent="0.25">
      <c r="B23">
        <v>710</v>
      </c>
      <c r="C23" t="s">
        <v>287</v>
      </c>
      <c r="D23" t="s">
        <v>699</v>
      </c>
      <c r="F23" t="s">
        <v>29</v>
      </c>
      <c r="G23">
        <v>340</v>
      </c>
      <c r="I23">
        <v>50</v>
      </c>
      <c r="J23">
        <v>390</v>
      </c>
      <c r="K23">
        <v>505</v>
      </c>
      <c r="L23">
        <v>530</v>
      </c>
      <c r="M23">
        <v>625</v>
      </c>
      <c r="N23">
        <v>490</v>
      </c>
      <c r="O23">
        <v>570</v>
      </c>
      <c r="P23">
        <v>1410</v>
      </c>
    </row>
    <row r="24" spans="1:16" x14ac:dyDescent="0.25">
      <c r="A24">
        <v>2026</v>
      </c>
      <c r="B24">
        <v>747</v>
      </c>
      <c r="C24" t="s">
        <v>287</v>
      </c>
      <c r="D24" t="s">
        <v>167</v>
      </c>
      <c r="E24" t="s">
        <v>343</v>
      </c>
      <c r="F24" t="s">
        <v>344</v>
      </c>
      <c r="G24">
        <v>400</v>
      </c>
      <c r="I24">
        <v>15</v>
      </c>
      <c r="J24">
        <v>415</v>
      </c>
      <c r="K24">
        <v>495</v>
      </c>
      <c r="L24">
        <v>520</v>
      </c>
      <c r="M24">
        <v>675</v>
      </c>
      <c r="N24">
        <v>480</v>
      </c>
      <c r="O24">
        <v>560</v>
      </c>
      <c r="P24">
        <v>1630</v>
      </c>
    </row>
    <row r="25" spans="1:16" x14ac:dyDescent="0.25">
      <c r="A25">
        <v>2026</v>
      </c>
      <c r="B25">
        <v>749</v>
      </c>
      <c r="C25" t="s">
        <v>287</v>
      </c>
      <c r="D25" t="s">
        <v>494</v>
      </c>
      <c r="F25" t="s">
        <v>48</v>
      </c>
      <c r="G25">
        <v>295</v>
      </c>
      <c r="I25">
        <v>25</v>
      </c>
      <c r="J25">
        <v>320</v>
      </c>
      <c r="K25">
        <v>380</v>
      </c>
      <c r="L25">
        <v>400</v>
      </c>
      <c r="M25">
        <v>525</v>
      </c>
      <c r="N25">
        <v>370</v>
      </c>
      <c r="O25">
        <v>430</v>
      </c>
      <c r="P25">
        <v>1240</v>
      </c>
    </row>
    <row r="26" spans="1:16" x14ac:dyDescent="0.25">
      <c r="A26">
        <v>2026</v>
      </c>
      <c r="B26">
        <v>751</v>
      </c>
      <c r="C26" t="s">
        <v>287</v>
      </c>
      <c r="D26" t="s">
        <v>494</v>
      </c>
      <c r="F26" t="s">
        <v>47</v>
      </c>
      <c r="G26">
        <v>235</v>
      </c>
      <c r="I26">
        <v>25</v>
      </c>
      <c r="J26">
        <v>260</v>
      </c>
      <c r="K26">
        <v>310</v>
      </c>
      <c r="L26">
        <v>325</v>
      </c>
      <c r="M26">
        <v>425</v>
      </c>
      <c r="N26">
        <v>300</v>
      </c>
      <c r="O26">
        <v>350</v>
      </c>
      <c r="P26">
        <v>1010</v>
      </c>
    </row>
    <row r="27" spans="1:16" x14ac:dyDescent="0.25">
      <c r="A27">
        <v>2025</v>
      </c>
      <c r="B27">
        <v>761</v>
      </c>
      <c r="C27" t="s">
        <v>287</v>
      </c>
      <c r="D27" t="s">
        <v>499</v>
      </c>
      <c r="E27" t="s">
        <v>483</v>
      </c>
      <c r="F27" t="s">
        <v>484</v>
      </c>
      <c r="G27">
        <v>192</v>
      </c>
      <c r="I27">
        <v>15</v>
      </c>
      <c r="J27">
        <v>207</v>
      </c>
      <c r="K27">
        <v>260</v>
      </c>
      <c r="L27">
        <v>270</v>
      </c>
      <c r="M27">
        <v>350</v>
      </c>
      <c r="N27">
        <v>250</v>
      </c>
      <c r="O27">
        <v>290</v>
      </c>
      <c r="P27">
        <v>850</v>
      </c>
    </row>
    <row r="28" spans="1:16" x14ac:dyDescent="0.25">
      <c r="A28">
        <v>2025</v>
      </c>
      <c r="B28">
        <v>762</v>
      </c>
      <c r="C28" t="s">
        <v>287</v>
      </c>
      <c r="D28" t="s">
        <v>499</v>
      </c>
      <c r="E28" t="s">
        <v>483</v>
      </c>
      <c r="F28" t="s">
        <v>485</v>
      </c>
      <c r="G28">
        <v>190</v>
      </c>
      <c r="I28">
        <v>15</v>
      </c>
      <c r="J28">
        <v>205</v>
      </c>
      <c r="K28">
        <v>260</v>
      </c>
      <c r="L28">
        <v>270</v>
      </c>
      <c r="M28">
        <v>325</v>
      </c>
      <c r="N28">
        <v>250</v>
      </c>
      <c r="O28">
        <v>290</v>
      </c>
      <c r="P28">
        <v>840</v>
      </c>
    </row>
    <row r="29" spans="1:16" x14ac:dyDescent="0.25">
      <c r="A29">
        <v>2026</v>
      </c>
      <c r="B29">
        <v>888</v>
      </c>
      <c r="C29" t="s">
        <v>287</v>
      </c>
      <c r="D29" t="s">
        <v>494</v>
      </c>
      <c r="F29" t="s">
        <v>245</v>
      </c>
      <c r="G29">
        <v>210</v>
      </c>
      <c r="I29">
        <v>50</v>
      </c>
      <c r="J29">
        <v>260</v>
      </c>
      <c r="K29">
        <v>310</v>
      </c>
      <c r="L29">
        <v>325</v>
      </c>
      <c r="M29">
        <v>425</v>
      </c>
      <c r="N29">
        <v>300</v>
      </c>
      <c r="O29">
        <v>350</v>
      </c>
      <c r="P29">
        <v>920</v>
      </c>
    </row>
    <row r="30" spans="1:16" x14ac:dyDescent="0.25">
      <c r="A30">
        <v>2026</v>
      </c>
      <c r="B30">
        <v>910</v>
      </c>
      <c r="C30" t="s">
        <v>287</v>
      </c>
      <c r="D30" t="s">
        <v>699</v>
      </c>
      <c r="F30" t="s">
        <v>0</v>
      </c>
      <c r="G30">
        <v>500</v>
      </c>
      <c r="I30">
        <v>100</v>
      </c>
      <c r="J30">
        <v>600</v>
      </c>
      <c r="K30">
        <v>770</v>
      </c>
      <c r="L30">
        <v>810</v>
      </c>
      <c r="M30">
        <v>950</v>
      </c>
      <c r="N30">
        <v>750</v>
      </c>
      <c r="O30">
        <v>870</v>
      </c>
      <c r="P30">
        <v>2010</v>
      </c>
    </row>
    <row r="31" spans="1:16" x14ac:dyDescent="0.25">
      <c r="A31">
        <v>2026</v>
      </c>
      <c r="B31">
        <v>1000</v>
      </c>
      <c r="C31" t="s">
        <v>287</v>
      </c>
      <c r="D31" t="s">
        <v>699</v>
      </c>
      <c r="F31" t="s">
        <v>112</v>
      </c>
      <c r="G31">
        <v>693</v>
      </c>
      <c r="I31">
        <v>15</v>
      </c>
      <c r="J31">
        <v>708</v>
      </c>
      <c r="K31">
        <v>915</v>
      </c>
      <c r="L31">
        <v>960</v>
      </c>
      <c r="M31">
        <v>1125</v>
      </c>
      <c r="N31">
        <v>885</v>
      </c>
      <c r="O31">
        <v>1030</v>
      </c>
      <c r="P31">
        <v>2740</v>
      </c>
    </row>
    <row r="32" spans="1:16" x14ac:dyDescent="0.25">
      <c r="B32">
        <v>1010</v>
      </c>
      <c r="C32" t="s">
        <v>287</v>
      </c>
      <c r="D32" t="s">
        <v>699</v>
      </c>
      <c r="F32" t="s">
        <v>16</v>
      </c>
      <c r="G32">
        <v>480</v>
      </c>
      <c r="I32">
        <v>80</v>
      </c>
      <c r="J32">
        <v>560</v>
      </c>
      <c r="K32">
        <v>725</v>
      </c>
      <c r="L32">
        <v>760</v>
      </c>
      <c r="M32">
        <v>900</v>
      </c>
      <c r="N32">
        <v>700</v>
      </c>
      <c r="O32">
        <v>815</v>
      </c>
      <c r="P32">
        <v>1940</v>
      </c>
    </row>
    <row r="33" spans="1:16" x14ac:dyDescent="0.25">
      <c r="A33">
        <v>2026</v>
      </c>
      <c r="B33">
        <v>1111</v>
      </c>
      <c r="C33" t="s">
        <v>287</v>
      </c>
      <c r="D33" t="s">
        <v>494</v>
      </c>
      <c r="F33" t="s">
        <v>478</v>
      </c>
      <c r="G33">
        <v>270</v>
      </c>
      <c r="I33">
        <v>50</v>
      </c>
      <c r="J33">
        <v>320</v>
      </c>
      <c r="K33">
        <v>380</v>
      </c>
      <c r="L33">
        <v>400</v>
      </c>
      <c r="M33">
        <v>525</v>
      </c>
      <c r="N33">
        <v>370</v>
      </c>
      <c r="O33">
        <v>430</v>
      </c>
      <c r="P33">
        <v>1140</v>
      </c>
    </row>
    <row r="34" spans="1:16" x14ac:dyDescent="0.25">
      <c r="B34">
        <v>1200</v>
      </c>
      <c r="C34" t="s">
        <v>287</v>
      </c>
      <c r="D34" t="s">
        <v>167</v>
      </c>
      <c r="F34" t="s">
        <v>117</v>
      </c>
      <c r="G34">
        <v>630</v>
      </c>
      <c r="I34">
        <v>15</v>
      </c>
      <c r="J34">
        <v>645</v>
      </c>
      <c r="K34">
        <v>770</v>
      </c>
      <c r="L34">
        <v>810</v>
      </c>
      <c r="M34">
        <v>1025</v>
      </c>
      <c r="N34">
        <v>750</v>
      </c>
      <c r="O34">
        <v>870</v>
      </c>
      <c r="P34">
        <v>2500</v>
      </c>
    </row>
    <row r="35" spans="1:16" x14ac:dyDescent="0.25">
      <c r="A35">
        <v>2025</v>
      </c>
      <c r="B35">
        <v>1211</v>
      </c>
      <c r="C35" t="s">
        <v>287</v>
      </c>
      <c r="D35" t="s">
        <v>497</v>
      </c>
      <c r="E35" t="s">
        <v>128</v>
      </c>
      <c r="F35" t="s">
        <v>633</v>
      </c>
      <c r="G35">
        <v>1960</v>
      </c>
      <c r="I35">
        <v>15</v>
      </c>
      <c r="J35">
        <v>1975</v>
      </c>
      <c r="K35">
        <v>2445</v>
      </c>
      <c r="L35">
        <v>2570</v>
      </c>
      <c r="M35">
        <v>3500</v>
      </c>
      <c r="N35">
        <v>2365</v>
      </c>
      <c r="O35">
        <v>2750</v>
      </c>
      <c r="P35">
        <v>8450</v>
      </c>
    </row>
    <row r="36" spans="1:16" x14ac:dyDescent="0.25">
      <c r="A36">
        <v>2025</v>
      </c>
      <c r="B36">
        <v>1212</v>
      </c>
      <c r="C36" t="s">
        <v>287</v>
      </c>
      <c r="D36" t="s">
        <v>497</v>
      </c>
      <c r="E36" t="s">
        <v>128</v>
      </c>
      <c r="F36" t="s">
        <v>634</v>
      </c>
      <c r="G36">
        <v>1405</v>
      </c>
      <c r="I36">
        <v>15</v>
      </c>
      <c r="J36">
        <v>1420</v>
      </c>
      <c r="K36">
        <v>1760</v>
      </c>
      <c r="L36">
        <v>1850</v>
      </c>
      <c r="M36">
        <v>2250</v>
      </c>
      <c r="N36">
        <v>1705</v>
      </c>
      <c r="O36">
        <v>1980</v>
      </c>
      <c r="P36">
        <v>6100</v>
      </c>
    </row>
    <row r="37" spans="1:16" x14ac:dyDescent="0.25">
      <c r="A37">
        <v>2025</v>
      </c>
      <c r="B37">
        <v>1213</v>
      </c>
      <c r="C37" t="s">
        <v>287</v>
      </c>
      <c r="D37" t="s">
        <v>497</v>
      </c>
      <c r="E37" t="s">
        <v>128</v>
      </c>
      <c r="F37" t="s">
        <v>635</v>
      </c>
      <c r="G37">
        <v>1860</v>
      </c>
      <c r="I37">
        <v>15</v>
      </c>
      <c r="J37">
        <v>1875</v>
      </c>
      <c r="K37">
        <v>2320</v>
      </c>
      <c r="L37">
        <v>2440</v>
      </c>
      <c r="M37">
        <v>3350</v>
      </c>
      <c r="N37">
        <v>2245</v>
      </c>
      <c r="O37">
        <v>2615</v>
      </c>
      <c r="P37">
        <v>8030</v>
      </c>
    </row>
    <row r="38" spans="1:16" x14ac:dyDescent="0.25">
      <c r="A38">
        <v>2025</v>
      </c>
      <c r="B38">
        <v>1214</v>
      </c>
      <c r="C38" t="s">
        <v>680</v>
      </c>
      <c r="D38" t="s">
        <v>497</v>
      </c>
      <c r="E38" t="s">
        <v>326</v>
      </c>
      <c r="F38" t="s">
        <v>681</v>
      </c>
      <c r="G38">
        <v>2700</v>
      </c>
      <c r="I38">
        <v>25</v>
      </c>
      <c r="J38">
        <v>2725</v>
      </c>
      <c r="K38">
        <v>3370</v>
      </c>
      <c r="L38">
        <v>3545</v>
      </c>
      <c r="M38">
        <v>4850</v>
      </c>
      <c r="N38">
        <v>3265</v>
      </c>
      <c r="O38">
        <v>3795</v>
      </c>
      <c r="P38">
        <v>11590</v>
      </c>
    </row>
    <row r="39" spans="1:16" x14ac:dyDescent="0.25">
      <c r="A39">
        <v>2026</v>
      </c>
      <c r="B39">
        <v>1400</v>
      </c>
      <c r="C39" t="s">
        <v>287</v>
      </c>
      <c r="D39" t="s">
        <v>167</v>
      </c>
      <c r="E39" t="s">
        <v>772</v>
      </c>
      <c r="F39" t="s">
        <v>1005</v>
      </c>
      <c r="G39">
        <v>175</v>
      </c>
      <c r="I39">
        <v>35</v>
      </c>
      <c r="J39">
        <v>210</v>
      </c>
      <c r="K39">
        <v>255</v>
      </c>
      <c r="L39">
        <v>265</v>
      </c>
      <c r="M39">
        <v>350</v>
      </c>
      <c r="N39">
        <v>245</v>
      </c>
      <c r="O39">
        <v>285</v>
      </c>
      <c r="P39">
        <v>790</v>
      </c>
    </row>
    <row r="40" spans="1:16" x14ac:dyDescent="0.25">
      <c r="A40">
        <v>2025</v>
      </c>
      <c r="B40">
        <v>1600</v>
      </c>
      <c r="C40" t="s">
        <v>287</v>
      </c>
      <c r="D40" t="s">
        <v>167</v>
      </c>
      <c r="F40" t="s">
        <v>694</v>
      </c>
      <c r="G40">
        <v>285</v>
      </c>
      <c r="I40">
        <v>15</v>
      </c>
      <c r="J40">
        <v>300</v>
      </c>
      <c r="K40">
        <v>360</v>
      </c>
      <c r="L40">
        <v>375</v>
      </c>
      <c r="M40">
        <v>475</v>
      </c>
      <c r="N40">
        <v>345</v>
      </c>
      <c r="O40">
        <v>405</v>
      </c>
      <c r="P40">
        <v>1200</v>
      </c>
    </row>
    <row r="41" spans="1:16" x14ac:dyDescent="0.25">
      <c r="A41">
        <v>2026</v>
      </c>
      <c r="B41">
        <v>1651</v>
      </c>
      <c r="C41" t="s">
        <v>287</v>
      </c>
      <c r="D41" t="s">
        <v>699</v>
      </c>
      <c r="E41" t="s">
        <v>655</v>
      </c>
      <c r="F41" t="s">
        <v>782</v>
      </c>
      <c r="G41">
        <v>881</v>
      </c>
      <c r="I41">
        <v>25</v>
      </c>
      <c r="J41">
        <v>906</v>
      </c>
      <c r="K41">
        <v>1165</v>
      </c>
      <c r="L41">
        <v>1225</v>
      </c>
      <c r="M41">
        <v>1450</v>
      </c>
      <c r="N41">
        <v>1130</v>
      </c>
      <c r="O41">
        <v>1315</v>
      </c>
      <c r="P41">
        <v>3450</v>
      </c>
    </row>
    <row r="42" spans="1:16" x14ac:dyDescent="0.25">
      <c r="A42">
        <v>2025</v>
      </c>
      <c r="B42">
        <v>1800</v>
      </c>
      <c r="C42" t="s">
        <v>287</v>
      </c>
      <c r="D42" t="s">
        <v>167</v>
      </c>
      <c r="F42" t="s">
        <v>695</v>
      </c>
      <c r="G42">
        <v>435</v>
      </c>
      <c r="I42">
        <v>15</v>
      </c>
      <c r="J42">
        <v>450</v>
      </c>
      <c r="K42">
        <v>540</v>
      </c>
      <c r="L42">
        <v>565</v>
      </c>
      <c r="M42">
        <v>725</v>
      </c>
      <c r="N42">
        <v>520</v>
      </c>
      <c r="O42">
        <v>605</v>
      </c>
      <c r="P42">
        <v>1770</v>
      </c>
    </row>
    <row r="43" spans="1:16" x14ac:dyDescent="0.25">
      <c r="A43">
        <v>2026</v>
      </c>
      <c r="B43">
        <v>2010</v>
      </c>
      <c r="C43" t="s">
        <v>287</v>
      </c>
      <c r="D43" t="s">
        <v>167</v>
      </c>
      <c r="E43" t="s">
        <v>655</v>
      </c>
      <c r="F43" t="s">
        <v>693</v>
      </c>
      <c r="G43">
        <v>554</v>
      </c>
      <c r="I43">
        <v>15</v>
      </c>
      <c r="J43">
        <v>569</v>
      </c>
      <c r="K43">
        <v>680</v>
      </c>
      <c r="L43">
        <v>715</v>
      </c>
      <c r="M43">
        <v>900</v>
      </c>
      <c r="N43">
        <v>660</v>
      </c>
      <c r="O43">
        <v>770</v>
      </c>
      <c r="P43">
        <v>2220</v>
      </c>
    </row>
    <row r="44" spans="1:16" x14ac:dyDescent="0.25">
      <c r="A44">
        <v>2025</v>
      </c>
      <c r="B44">
        <v>2011</v>
      </c>
      <c r="C44" t="s">
        <v>287</v>
      </c>
      <c r="D44" t="s">
        <v>167</v>
      </c>
      <c r="E44" t="s">
        <v>246</v>
      </c>
      <c r="F44" t="s">
        <v>638</v>
      </c>
      <c r="G44">
        <v>550</v>
      </c>
      <c r="I44">
        <v>15</v>
      </c>
      <c r="J44">
        <v>565</v>
      </c>
      <c r="K44">
        <v>675</v>
      </c>
      <c r="L44">
        <v>710</v>
      </c>
      <c r="M44">
        <v>900</v>
      </c>
      <c r="N44">
        <v>655</v>
      </c>
      <c r="O44">
        <v>760</v>
      </c>
      <c r="P44">
        <v>2200</v>
      </c>
    </row>
    <row r="45" spans="1:16" x14ac:dyDescent="0.25">
      <c r="A45">
        <v>2026</v>
      </c>
      <c r="B45">
        <v>2400</v>
      </c>
      <c r="C45" t="s">
        <v>287</v>
      </c>
      <c r="D45" t="s">
        <v>699</v>
      </c>
      <c r="F45" t="s">
        <v>113</v>
      </c>
      <c r="G45">
        <v>936</v>
      </c>
      <c r="I45">
        <v>15</v>
      </c>
      <c r="J45">
        <v>951</v>
      </c>
      <c r="K45">
        <v>1225</v>
      </c>
      <c r="L45">
        <v>1285</v>
      </c>
      <c r="M45">
        <v>1500</v>
      </c>
      <c r="N45">
        <v>1185</v>
      </c>
      <c r="O45">
        <v>1375</v>
      </c>
      <c r="P45">
        <v>3660</v>
      </c>
    </row>
    <row r="46" spans="1:16" x14ac:dyDescent="0.25">
      <c r="A46">
        <v>2026</v>
      </c>
      <c r="B46">
        <v>2451</v>
      </c>
      <c r="C46" t="s">
        <v>287</v>
      </c>
      <c r="D46" t="s">
        <v>699</v>
      </c>
      <c r="E46" t="s">
        <v>655</v>
      </c>
      <c r="F46" t="s">
        <v>783</v>
      </c>
      <c r="G46">
        <v>1303</v>
      </c>
      <c r="I46">
        <v>25</v>
      </c>
      <c r="J46">
        <v>1328</v>
      </c>
      <c r="K46">
        <v>1710</v>
      </c>
      <c r="L46">
        <v>1795</v>
      </c>
      <c r="M46">
        <v>2100</v>
      </c>
      <c r="N46">
        <v>1655</v>
      </c>
      <c r="O46">
        <v>1925</v>
      </c>
      <c r="P46">
        <v>5040</v>
      </c>
    </row>
    <row r="47" spans="1:16" x14ac:dyDescent="0.25">
      <c r="A47">
        <v>2025</v>
      </c>
      <c r="B47">
        <v>2751</v>
      </c>
      <c r="C47" t="s">
        <v>287</v>
      </c>
      <c r="D47" t="s">
        <v>494</v>
      </c>
      <c r="E47" t="s">
        <v>504</v>
      </c>
      <c r="F47" t="s">
        <v>506</v>
      </c>
      <c r="G47">
        <v>142</v>
      </c>
      <c r="I47">
        <v>10</v>
      </c>
      <c r="J47">
        <v>152</v>
      </c>
      <c r="K47">
        <v>185</v>
      </c>
      <c r="L47">
        <v>190</v>
      </c>
      <c r="M47">
        <v>250</v>
      </c>
      <c r="N47">
        <v>175</v>
      </c>
      <c r="O47">
        <v>205</v>
      </c>
      <c r="P47">
        <v>660</v>
      </c>
    </row>
    <row r="48" spans="1:16" x14ac:dyDescent="0.25">
      <c r="A48">
        <v>2026</v>
      </c>
      <c r="B48">
        <v>2752</v>
      </c>
      <c r="C48" t="s">
        <v>287</v>
      </c>
      <c r="D48" t="s">
        <v>494</v>
      </c>
      <c r="E48" t="s">
        <v>504</v>
      </c>
      <c r="F48" t="s">
        <v>507</v>
      </c>
      <c r="G48">
        <v>169</v>
      </c>
      <c r="I48">
        <v>10</v>
      </c>
      <c r="J48">
        <v>179</v>
      </c>
      <c r="K48">
        <v>215</v>
      </c>
      <c r="L48">
        <v>225</v>
      </c>
      <c r="M48">
        <v>300</v>
      </c>
      <c r="N48">
        <v>210</v>
      </c>
      <c r="O48">
        <v>245</v>
      </c>
      <c r="P48">
        <v>760</v>
      </c>
    </row>
    <row r="49" spans="1:16" x14ac:dyDescent="0.25">
      <c r="A49">
        <v>2026</v>
      </c>
      <c r="B49">
        <v>2753</v>
      </c>
      <c r="C49" t="s">
        <v>287</v>
      </c>
      <c r="D49" t="s">
        <v>494</v>
      </c>
      <c r="E49" t="s">
        <v>504</v>
      </c>
      <c r="F49" t="s">
        <v>508</v>
      </c>
      <c r="G49">
        <v>245</v>
      </c>
      <c r="I49">
        <v>10</v>
      </c>
      <c r="J49">
        <v>255</v>
      </c>
      <c r="K49">
        <v>305</v>
      </c>
      <c r="L49">
        <v>320</v>
      </c>
      <c r="M49">
        <v>425</v>
      </c>
      <c r="N49">
        <v>295</v>
      </c>
      <c r="O49">
        <v>345</v>
      </c>
      <c r="P49">
        <v>1050</v>
      </c>
    </row>
    <row r="50" spans="1:16" x14ac:dyDescent="0.25">
      <c r="A50">
        <v>2026</v>
      </c>
      <c r="B50">
        <v>2754</v>
      </c>
      <c r="C50" t="s">
        <v>287</v>
      </c>
      <c r="D50" t="s">
        <v>494</v>
      </c>
      <c r="E50" t="s">
        <v>504</v>
      </c>
      <c r="F50" t="s">
        <v>509</v>
      </c>
      <c r="G50">
        <v>134</v>
      </c>
      <c r="I50">
        <v>10</v>
      </c>
      <c r="J50">
        <v>144</v>
      </c>
      <c r="K50">
        <v>175</v>
      </c>
      <c r="L50">
        <v>180</v>
      </c>
      <c r="M50">
        <v>250</v>
      </c>
      <c r="N50">
        <v>170</v>
      </c>
      <c r="O50">
        <v>195</v>
      </c>
      <c r="P50">
        <v>630</v>
      </c>
    </row>
    <row r="51" spans="1:16" x14ac:dyDescent="0.25">
      <c r="A51">
        <v>2025</v>
      </c>
      <c r="B51">
        <v>2755</v>
      </c>
      <c r="C51" t="s">
        <v>287</v>
      </c>
      <c r="D51" t="s">
        <v>494</v>
      </c>
      <c r="E51" t="s">
        <v>504</v>
      </c>
      <c r="F51" t="s">
        <v>510</v>
      </c>
      <c r="G51">
        <v>145</v>
      </c>
      <c r="I51">
        <v>10</v>
      </c>
      <c r="J51">
        <v>155</v>
      </c>
      <c r="K51">
        <v>190</v>
      </c>
      <c r="L51">
        <v>195</v>
      </c>
      <c r="M51">
        <v>250</v>
      </c>
      <c r="N51">
        <v>180</v>
      </c>
      <c r="O51">
        <v>210</v>
      </c>
      <c r="P51">
        <v>670</v>
      </c>
    </row>
    <row r="52" spans="1:16" x14ac:dyDescent="0.25">
      <c r="A52">
        <v>2025</v>
      </c>
      <c r="B52">
        <v>2756</v>
      </c>
      <c r="C52" t="s">
        <v>287</v>
      </c>
      <c r="D52" t="s">
        <v>494</v>
      </c>
      <c r="E52" t="s">
        <v>504</v>
      </c>
      <c r="F52" t="s">
        <v>511</v>
      </c>
      <c r="G52">
        <v>108</v>
      </c>
      <c r="I52">
        <v>10</v>
      </c>
      <c r="J52">
        <v>118</v>
      </c>
      <c r="K52">
        <v>145</v>
      </c>
      <c r="L52">
        <v>150</v>
      </c>
      <c r="M52">
        <v>200</v>
      </c>
      <c r="N52">
        <v>140</v>
      </c>
      <c r="O52">
        <v>165</v>
      </c>
      <c r="P52">
        <v>530</v>
      </c>
    </row>
    <row r="53" spans="1:16" x14ac:dyDescent="0.25">
      <c r="A53">
        <v>2026</v>
      </c>
      <c r="B53">
        <v>2757</v>
      </c>
      <c r="C53" t="s">
        <v>287</v>
      </c>
      <c r="D53" t="s">
        <v>494</v>
      </c>
      <c r="E53" t="s">
        <v>504</v>
      </c>
      <c r="F53" t="s">
        <v>512</v>
      </c>
      <c r="G53">
        <v>115</v>
      </c>
      <c r="I53">
        <v>10</v>
      </c>
      <c r="J53">
        <v>125</v>
      </c>
      <c r="K53">
        <v>155</v>
      </c>
      <c r="L53">
        <v>160</v>
      </c>
      <c r="M53">
        <v>200</v>
      </c>
      <c r="N53">
        <v>150</v>
      </c>
      <c r="O53">
        <v>175</v>
      </c>
      <c r="P53">
        <v>560</v>
      </c>
    </row>
    <row r="54" spans="1:16" x14ac:dyDescent="0.25">
      <c r="A54">
        <v>2025</v>
      </c>
      <c r="B54">
        <v>2758</v>
      </c>
      <c r="C54" t="s">
        <v>287</v>
      </c>
      <c r="D54" t="s">
        <v>494</v>
      </c>
      <c r="E54" t="s">
        <v>504</v>
      </c>
      <c r="F54" t="s">
        <v>513</v>
      </c>
      <c r="G54">
        <v>99</v>
      </c>
      <c r="I54">
        <v>10</v>
      </c>
      <c r="J54">
        <v>109</v>
      </c>
      <c r="K54">
        <v>135</v>
      </c>
      <c r="L54">
        <v>140</v>
      </c>
      <c r="M54">
        <v>175</v>
      </c>
      <c r="N54">
        <v>130</v>
      </c>
      <c r="O54">
        <v>150</v>
      </c>
      <c r="P54">
        <v>500</v>
      </c>
    </row>
    <row r="55" spans="1:16" x14ac:dyDescent="0.25">
      <c r="A55">
        <v>2026</v>
      </c>
      <c r="B55">
        <v>2759</v>
      </c>
      <c r="C55" t="s">
        <v>287</v>
      </c>
      <c r="D55" t="s">
        <v>494</v>
      </c>
      <c r="E55" t="s">
        <v>504</v>
      </c>
      <c r="F55" t="s">
        <v>514</v>
      </c>
      <c r="G55">
        <v>144</v>
      </c>
      <c r="I55">
        <v>10</v>
      </c>
      <c r="J55">
        <v>154</v>
      </c>
      <c r="K55">
        <v>190</v>
      </c>
      <c r="L55">
        <v>195</v>
      </c>
      <c r="M55">
        <v>250</v>
      </c>
      <c r="N55">
        <v>180</v>
      </c>
      <c r="O55">
        <v>210</v>
      </c>
      <c r="P55">
        <v>670</v>
      </c>
    </row>
    <row r="56" spans="1:16" x14ac:dyDescent="0.25">
      <c r="A56">
        <v>2025</v>
      </c>
      <c r="B56">
        <v>2760</v>
      </c>
      <c r="C56" t="s">
        <v>287</v>
      </c>
      <c r="D56" t="s">
        <v>494</v>
      </c>
      <c r="E56" t="s">
        <v>504</v>
      </c>
      <c r="F56" t="s">
        <v>515</v>
      </c>
      <c r="G56">
        <v>145</v>
      </c>
      <c r="I56">
        <v>10</v>
      </c>
      <c r="J56">
        <v>155</v>
      </c>
      <c r="K56">
        <v>190</v>
      </c>
      <c r="L56">
        <v>195</v>
      </c>
      <c r="M56">
        <v>250</v>
      </c>
      <c r="N56">
        <v>180</v>
      </c>
      <c r="O56">
        <v>210</v>
      </c>
      <c r="P56">
        <v>670</v>
      </c>
    </row>
    <row r="57" spans="1:16" x14ac:dyDescent="0.25">
      <c r="A57">
        <v>2026</v>
      </c>
      <c r="B57">
        <v>2766</v>
      </c>
      <c r="C57" t="s">
        <v>287</v>
      </c>
      <c r="D57" t="s">
        <v>494</v>
      </c>
      <c r="E57" t="s">
        <v>504</v>
      </c>
      <c r="F57" t="s">
        <v>521</v>
      </c>
      <c r="G57">
        <v>142</v>
      </c>
      <c r="I57">
        <v>10</v>
      </c>
      <c r="J57">
        <v>152</v>
      </c>
      <c r="K57">
        <v>185</v>
      </c>
      <c r="L57">
        <v>190</v>
      </c>
      <c r="M57">
        <v>250</v>
      </c>
      <c r="N57">
        <v>175</v>
      </c>
      <c r="O57">
        <v>205</v>
      </c>
      <c r="P57">
        <v>660</v>
      </c>
    </row>
    <row r="58" spans="1:16" x14ac:dyDescent="0.25">
      <c r="B58">
        <v>4502</v>
      </c>
      <c r="C58" t="s">
        <v>287</v>
      </c>
      <c r="D58" t="s">
        <v>494</v>
      </c>
      <c r="E58" t="s">
        <v>392</v>
      </c>
      <c r="F58" t="s">
        <v>394</v>
      </c>
      <c r="G58">
        <v>170</v>
      </c>
      <c r="I58">
        <v>10</v>
      </c>
      <c r="J58">
        <v>180</v>
      </c>
      <c r="K58">
        <v>215</v>
      </c>
      <c r="L58">
        <v>225</v>
      </c>
      <c r="M58">
        <v>300</v>
      </c>
      <c r="N58">
        <v>210</v>
      </c>
      <c r="O58">
        <v>245</v>
      </c>
      <c r="P58">
        <v>770</v>
      </c>
    </row>
    <row r="59" spans="1:16" x14ac:dyDescent="0.25">
      <c r="B59">
        <v>4503</v>
      </c>
      <c r="C59" t="s">
        <v>287</v>
      </c>
      <c r="D59" t="s">
        <v>494</v>
      </c>
      <c r="E59" t="s">
        <v>392</v>
      </c>
      <c r="F59" t="s">
        <v>395</v>
      </c>
      <c r="G59">
        <v>116</v>
      </c>
      <c r="I59">
        <v>10</v>
      </c>
      <c r="J59">
        <v>126</v>
      </c>
      <c r="K59">
        <v>155</v>
      </c>
      <c r="L59">
        <v>160</v>
      </c>
      <c r="M59">
        <v>200</v>
      </c>
      <c r="N59">
        <v>150</v>
      </c>
      <c r="O59">
        <v>175</v>
      </c>
      <c r="P59">
        <v>560</v>
      </c>
    </row>
    <row r="60" spans="1:16" x14ac:dyDescent="0.25">
      <c r="B60">
        <v>4509</v>
      </c>
      <c r="C60" t="s">
        <v>287</v>
      </c>
      <c r="D60" t="s">
        <v>494</v>
      </c>
      <c r="E60" t="s">
        <v>392</v>
      </c>
      <c r="F60" t="s">
        <v>401</v>
      </c>
      <c r="G60">
        <v>55</v>
      </c>
      <c r="I60">
        <v>10</v>
      </c>
      <c r="J60">
        <v>65</v>
      </c>
      <c r="K60">
        <v>85</v>
      </c>
      <c r="L60">
        <v>85</v>
      </c>
      <c r="M60">
        <v>125</v>
      </c>
      <c r="N60">
        <v>80</v>
      </c>
      <c r="O60">
        <v>95</v>
      </c>
      <c r="P60">
        <v>330</v>
      </c>
    </row>
    <row r="61" spans="1:16" x14ac:dyDescent="0.25">
      <c r="A61">
        <v>2026</v>
      </c>
      <c r="B61" t="s">
        <v>1018</v>
      </c>
      <c r="C61" t="s">
        <v>287</v>
      </c>
      <c r="D61" t="s">
        <v>494</v>
      </c>
      <c r="E61" t="s">
        <v>772</v>
      </c>
      <c r="F61" t="s">
        <v>1006</v>
      </c>
      <c r="G61">
        <v>196</v>
      </c>
      <c r="I61">
        <v>35</v>
      </c>
      <c r="J61">
        <v>231</v>
      </c>
      <c r="K61">
        <v>280</v>
      </c>
      <c r="L61">
        <v>290</v>
      </c>
      <c r="M61">
        <v>375</v>
      </c>
      <c r="N61">
        <v>270</v>
      </c>
      <c r="O61">
        <v>315</v>
      </c>
      <c r="P61">
        <v>870</v>
      </c>
    </row>
    <row r="62" spans="1:16" x14ac:dyDescent="0.25">
      <c r="B62" t="s">
        <v>763</v>
      </c>
      <c r="C62" t="s">
        <v>680</v>
      </c>
      <c r="D62" t="s">
        <v>705</v>
      </c>
      <c r="E62" t="s">
        <v>758</v>
      </c>
      <c r="F62" t="s">
        <v>761</v>
      </c>
      <c r="G62">
        <v>5500</v>
      </c>
      <c r="I62">
        <v>50</v>
      </c>
      <c r="J62">
        <v>5550</v>
      </c>
      <c r="K62">
        <v>6595</v>
      </c>
      <c r="L62">
        <v>6940</v>
      </c>
      <c r="M62">
        <v>11800</v>
      </c>
      <c r="N62">
        <v>6385</v>
      </c>
      <c r="O62">
        <v>7430</v>
      </c>
      <c r="P62">
        <v>23460</v>
      </c>
    </row>
    <row r="63" spans="1:16" x14ac:dyDescent="0.25">
      <c r="B63" t="s">
        <v>764</v>
      </c>
      <c r="C63" t="s">
        <v>680</v>
      </c>
      <c r="D63" t="s">
        <v>705</v>
      </c>
      <c r="E63" t="s">
        <v>758</v>
      </c>
      <c r="F63" t="s">
        <v>762</v>
      </c>
      <c r="G63">
        <v>6000</v>
      </c>
      <c r="I63">
        <v>50</v>
      </c>
      <c r="J63">
        <v>6050</v>
      </c>
      <c r="K63">
        <v>7190</v>
      </c>
      <c r="L63">
        <v>7565</v>
      </c>
      <c r="M63">
        <v>12900</v>
      </c>
      <c r="N63">
        <v>6960</v>
      </c>
      <c r="O63">
        <v>8095</v>
      </c>
      <c r="P63">
        <v>25580</v>
      </c>
    </row>
    <row r="64" spans="1:16" x14ac:dyDescent="0.25">
      <c r="A64">
        <v>2026</v>
      </c>
      <c r="B64" t="s">
        <v>1017</v>
      </c>
      <c r="C64" t="s">
        <v>287</v>
      </c>
      <c r="D64" t="s">
        <v>494</v>
      </c>
      <c r="F64" t="s">
        <v>1014</v>
      </c>
      <c r="G64">
        <v>140</v>
      </c>
      <c r="I64">
        <v>35</v>
      </c>
      <c r="J64">
        <v>175</v>
      </c>
      <c r="K64">
        <v>210</v>
      </c>
      <c r="L64">
        <v>220</v>
      </c>
      <c r="M64">
        <v>300</v>
      </c>
      <c r="N64">
        <v>205</v>
      </c>
      <c r="O64">
        <v>240</v>
      </c>
      <c r="P64">
        <v>650</v>
      </c>
    </row>
    <row r="65" spans="1:16" x14ac:dyDescent="0.25">
      <c r="A65">
        <v>2026</v>
      </c>
      <c r="B65" t="s">
        <v>1016</v>
      </c>
      <c r="C65" t="s">
        <v>287</v>
      </c>
      <c r="D65" t="s">
        <v>494</v>
      </c>
      <c r="F65" t="s">
        <v>240</v>
      </c>
      <c r="G65">
        <v>168</v>
      </c>
      <c r="I65">
        <v>35</v>
      </c>
      <c r="J65">
        <v>203</v>
      </c>
      <c r="K65">
        <v>245</v>
      </c>
      <c r="L65">
        <v>255</v>
      </c>
      <c r="M65">
        <v>325</v>
      </c>
      <c r="N65">
        <v>235</v>
      </c>
      <c r="O65">
        <v>275</v>
      </c>
      <c r="P65">
        <v>760</v>
      </c>
    </row>
    <row r="66" spans="1:16" x14ac:dyDescent="0.25">
      <c r="A66">
        <v>2026</v>
      </c>
      <c r="B66" t="s">
        <v>1019</v>
      </c>
      <c r="C66" t="s">
        <v>287</v>
      </c>
      <c r="D66" t="s">
        <v>494</v>
      </c>
      <c r="E66" t="s">
        <v>343</v>
      </c>
      <c r="F66" t="s">
        <v>1015</v>
      </c>
      <c r="G66">
        <v>305</v>
      </c>
      <c r="I66">
        <v>15</v>
      </c>
      <c r="J66">
        <v>320</v>
      </c>
      <c r="K66">
        <v>380</v>
      </c>
      <c r="L66">
        <v>400</v>
      </c>
      <c r="M66">
        <v>525</v>
      </c>
      <c r="N66">
        <v>370</v>
      </c>
      <c r="O66">
        <v>430</v>
      </c>
      <c r="P66">
        <v>1280</v>
      </c>
    </row>
    <row r="67" spans="1:16" x14ac:dyDescent="0.25">
      <c r="A67">
        <v>2026</v>
      </c>
      <c r="B67" t="s">
        <v>1023</v>
      </c>
      <c r="C67" t="s">
        <v>287</v>
      </c>
      <c r="D67" t="s">
        <v>494</v>
      </c>
      <c r="E67" t="s">
        <v>278</v>
      </c>
      <c r="F67" t="s">
        <v>1025</v>
      </c>
      <c r="G67">
        <v>185</v>
      </c>
      <c r="I67">
        <v>10</v>
      </c>
      <c r="J67">
        <v>195</v>
      </c>
      <c r="K67">
        <v>235</v>
      </c>
      <c r="L67">
        <v>245</v>
      </c>
      <c r="M67">
        <v>325</v>
      </c>
      <c r="N67">
        <v>230</v>
      </c>
      <c r="O67">
        <v>265</v>
      </c>
      <c r="P67">
        <v>820</v>
      </c>
    </row>
    <row r="68" spans="1:16" x14ac:dyDescent="0.25">
      <c r="A68">
        <v>2025</v>
      </c>
      <c r="B68" t="s">
        <v>553</v>
      </c>
      <c r="C68" t="s">
        <v>287</v>
      </c>
      <c r="D68" t="s">
        <v>494</v>
      </c>
      <c r="E68" t="s">
        <v>246</v>
      </c>
      <c r="F68" t="s">
        <v>560</v>
      </c>
      <c r="G68">
        <v>94</v>
      </c>
      <c r="I68">
        <v>10</v>
      </c>
      <c r="J68">
        <v>104</v>
      </c>
      <c r="K68">
        <v>125</v>
      </c>
      <c r="L68">
        <v>130</v>
      </c>
      <c r="M68">
        <v>175</v>
      </c>
      <c r="N68">
        <v>120</v>
      </c>
      <c r="O68">
        <v>140</v>
      </c>
      <c r="P68">
        <v>480</v>
      </c>
    </row>
    <row r="69" spans="1:16" x14ac:dyDescent="0.25">
      <c r="A69">
        <v>2025</v>
      </c>
      <c r="B69" t="s">
        <v>554</v>
      </c>
      <c r="C69" t="s">
        <v>287</v>
      </c>
      <c r="D69" t="s">
        <v>494</v>
      </c>
      <c r="E69" t="s">
        <v>246</v>
      </c>
      <c r="F69" t="s">
        <v>561</v>
      </c>
      <c r="G69">
        <v>155</v>
      </c>
      <c r="I69">
        <v>5</v>
      </c>
      <c r="J69">
        <v>160</v>
      </c>
      <c r="K69">
        <v>190</v>
      </c>
      <c r="L69">
        <v>200</v>
      </c>
      <c r="M69">
        <v>275</v>
      </c>
      <c r="N69">
        <v>185</v>
      </c>
      <c r="O69">
        <v>215</v>
      </c>
      <c r="P69">
        <v>710</v>
      </c>
    </row>
    <row r="70" spans="1:16" x14ac:dyDescent="0.25">
      <c r="A70">
        <v>2025</v>
      </c>
      <c r="B70" t="s">
        <v>555</v>
      </c>
      <c r="C70" t="s">
        <v>287</v>
      </c>
      <c r="D70" t="s">
        <v>494</v>
      </c>
      <c r="E70" t="s">
        <v>246</v>
      </c>
      <c r="F70" t="s">
        <v>562</v>
      </c>
      <c r="G70">
        <v>141</v>
      </c>
      <c r="I70">
        <v>10</v>
      </c>
      <c r="J70">
        <v>151</v>
      </c>
      <c r="K70">
        <v>185</v>
      </c>
      <c r="L70">
        <v>190</v>
      </c>
      <c r="M70">
        <v>250</v>
      </c>
      <c r="N70">
        <v>175</v>
      </c>
      <c r="O70">
        <v>205</v>
      </c>
      <c r="P70">
        <v>660</v>
      </c>
    </row>
    <row r="71" spans="1:16" x14ac:dyDescent="0.25">
      <c r="A71">
        <v>2025</v>
      </c>
      <c r="B71" t="s">
        <v>557</v>
      </c>
      <c r="C71" t="s">
        <v>287</v>
      </c>
      <c r="D71" t="s">
        <v>494</v>
      </c>
      <c r="E71" t="s">
        <v>246</v>
      </c>
      <c r="F71" t="s">
        <v>563</v>
      </c>
      <c r="G71">
        <v>164.5</v>
      </c>
      <c r="I71">
        <v>10</v>
      </c>
      <c r="J71">
        <v>174.5</v>
      </c>
      <c r="K71">
        <v>210</v>
      </c>
      <c r="L71">
        <v>220</v>
      </c>
      <c r="M71">
        <v>275</v>
      </c>
      <c r="N71">
        <v>205</v>
      </c>
      <c r="O71">
        <v>240</v>
      </c>
      <c r="P71">
        <v>750</v>
      </c>
    </row>
    <row r="72" spans="1:16" x14ac:dyDescent="0.25">
      <c r="A72">
        <v>2025</v>
      </c>
      <c r="B72" t="s">
        <v>556</v>
      </c>
      <c r="C72" t="s">
        <v>287</v>
      </c>
      <c r="D72" t="s">
        <v>494</v>
      </c>
      <c r="E72" t="s">
        <v>246</v>
      </c>
      <c r="F72" t="s">
        <v>564</v>
      </c>
      <c r="G72">
        <v>285</v>
      </c>
      <c r="I72">
        <v>5</v>
      </c>
      <c r="J72">
        <v>290</v>
      </c>
      <c r="K72">
        <v>350</v>
      </c>
      <c r="L72">
        <v>365</v>
      </c>
      <c r="M72">
        <v>475</v>
      </c>
      <c r="N72">
        <v>340</v>
      </c>
      <c r="O72">
        <v>395</v>
      </c>
      <c r="P72">
        <v>1200</v>
      </c>
    </row>
    <row r="73" spans="1:16" x14ac:dyDescent="0.25">
      <c r="A73">
        <v>2025</v>
      </c>
      <c r="B73" t="s">
        <v>558</v>
      </c>
      <c r="C73" t="s">
        <v>287</v>
      </c>
      <c r="D73" t="s">
        <v>494</v>
      </c>
      <c r="E73" t="s">
        <v>246</v>
      </c>
      <c r="F73" t="s">
        <v>565</v>
      </c>
      <c r="G73">
        <v>211.5</v>
      </c>
      <c r="H73">
        <v>2.5</v>
      </c>
      <c r="I73">
        <v>10</v>
      </c>
      <c r="J73">
        <v>224</v>
      </c>
      <c r="K73">
        <v>270</v>
      </c>
      <c r="L73">
        <v>280</v>
      </c>
      <c r="M73">
        <v>375</v>
      </c>
      <c r="N73">
        <v>260</v>
      </c>
      <c r="O73">
        <v>300</v>
      </c>
      <c r="P73">
        <v>920</v>
      </c>
    </row>
    <row r="74" spans="1:16" x14ac:dyDescent="0.25">
      <c r="A74">
        <v>2025</v>
      </c>
      <c r="B74" t="s">
        <v>559</v>
      </c>
      <c r="C74" t="s">
        <v>287</v>
      </c>
      <c r="D74" t="s">
        <v>494</v>
      </c>
      <c r="E74" t="s">
        <v>246</v>
      </c>
      <c r="F74" t="s">
        <v>566</v>
      </c>
      <c r="G74">
        <v>235</v>
      </c>
      <c r="H74">
        <v>2.5</v>
      </c>
      <c r="I74">
        <v>10</v>
      </c>
      <c r="J74">
        <v>247.5</v>
      </c>
      <c r="K74">
        <v>295</v>
      </c>
      <c r="L74">
        <v>310</v>
      </c>
      <c r="M74">
        <v>400</v>
      </c>
      <c r="N74">
        <v>290</v>
      </c>
      <c r="O74">
        <v>335</v>
      </c>
      <c r="P74">
        <v>1010</v>
      </c>
    </row>
    <row r="75" spans="1:16" x14ac:dyDescent="0.25">
      <c r="A75">
        <v>2026</v>
      </c>
      <c r="B75" t="s">
        <v>1024</v>
      </c>
      <c r="C75" t="s">
        <v>287</v>
      </c>
      <c r="D75" t="s">
        <v>494</v>
      </c>
      <c r="E75" t="s">
        <v>278</v>
      </c>
      <c r="F75" t="s">
        <v>1026</v>
      </c>
      <c r="G75">
        <v>185</v>
      </c>
      <c r="I75">
        <v>10</v>
      </c>
      <c r="J75">
        <v>195</v>
      </c>
      <c r="K75">
        <v>235</v>
      </c>
      <c r="L75">
        <v>245</v>
      </c>
      <c r="M75">
        <v>325</v>
      </c>
      <c r="N75">
        <v>230</v>
      </c>
      <c r="O75">
        <v>265</v>
      </c>
      <c r="P75">
        <v>820</v>
      </c>
    </row>
    <row r="76" spans="1:16" x14ac:dyDescent="0.25">
      <c r="B76" t="s">
        <v>114</v>
      </c>
      <c r="C76" t="s">
        <v>287</v>
      </c>
      <c r="D76" t="s">
        <v>494</v>
      </c>
      <c r="F76" t="s">
        <v>115</v>
      </c>
      <c r="G76">
        <v>310</v>
      </c>
      <c r="I76">
        <v>10</v>
      </c>
      <c r="J76">
        <v>320</v>
      </c>
      <c r="K76">
        <v>380</v>
      </c>
      <c r="L76">
        <v>400</v>
      </c>
      <c r="M76">
        <v>525</v>
      </c>
      <c r="N76">
        <v>370</v>
      </c>
      <c r="O76">
        <v>430</v>
      </c>
      <c r="P76">
        <v>1300</v>
      </c>
    </row>
    <row r="77" spans="1:16" x14ac:dyDescent="0.25">
      <c r="B77" t="s">
        <v>63</v>
      </c>
      <c r="C77" t="s">
        <v>31</v>
      </c>
      <c r="D77" t="s">
        <v>31</v>
      </c>
      <c r="E77" t="s">
        <v>160</v>
      </c>
      <c r="F77" t="s">
        <v>161</v>
      </c>
      <c r="G77">
        <v>95</v>
      </c>
      <c r="I77">
        <v>5</v>
      </c>
      <c r="J77">
        <v>100</v>
      </c>
      <c r="K77">
        <v>120</v>
      </c>
      <c r="L77">
        <v>125</v>
      </c>
      <c r="M77">
        <v>175</v>
      </c>
      <c r="N77">
        <v>115</v>
      </c>
      <c r="O77">
        <v>135</v>
      </c>
      <c r="P77">
        <v>480</v>
      </c>
    </row>
    <row r="78" spans="1:16" x14ac:dyDescent="0.25">
      <c r="A78">
        <v>2026</v>
      </c>
      <c r="B78">
        <v>847</v>
      </c>
      <c r="C78" t="s">
        <v>938</v>
      </c>
      <c r="D78" t="s">
        <v>494</v>
      </c>
      <c r="E78" t="s">
        <v>136</v>
      </c>
      <c r="F78" t="s">
        <v>939</v>
      </c>
      <c r="G78">
        <v>850</v>
      </c>
      <c r="I78">
        <v>25</v>
      </c>
      <c r="J78">
        <v>875</v>
      </c>
      <c r="K78">
        <v>1085</v>
      </c>
      <c r="L78">
        <v>1140</v>
      </c>
      <c r="M78">
        <v>1400</v>
      </c>
      <c r="N78">
        <v>1050</v>
      </c>
      <c r="O78">
        <v>1220</v>
      </c>
      <c r="P78">
        <v>3330</v>
      </c>
    </row>
    <row r="79" spans="1:16" x14ac:dyDescent="0.25">
      <c r="B79" t="s">
        <v>362</v>
      </c>
      <c r="C79" t="s">
        <v>153</v>
      </c>
      <c r="D79" t="s">
        <v>31</v>
      </c>
      <c r="E79" t="s">
        <v>139</v>
      </c>
      <c r="F79" t="s">
        <v>362</v>
      </c>
      <c r="G79">
        <v>240</v>
      </c>
      <c r="I79">
        <v>10</v>
      </c>
      <c r="J79">
        <v>250</v>
      </c>
      <c r="K79">
        <v>300</v>
      </c>
      <c r="L79">
        <v>315</v>
      </c>
      <c r="M79">
        <v>400</v>
      </c>
      <c r="N79">
        <v>290</v>
      </c>
      <c r="O79">
        <v>340</v>
      </c>
      <c r="P79">
        <v>1030</v>
      </c>
    </row>
    <row r="80" spans="1:16" x14ac:dyDescent="0.25">
      <c r="B80" t="s">
        <v>408</v>
      </c>
      <c r="C80" t="s">
        <v>153</v>
      </c>
      <c r="D80" t="s">
        <v>496</v>
      </c>
      <c r="E80" t="s">
        <v>139</v>
      </c>
      <c r="F80" t="s">
        <v>408</v>
      </c>
      <c r="G80">
        <v>395</v>
      </c>
      <c r="I80">
        <v>10</v>
      </c>
      <c r="J80">
        <v>405</v>
      </c>
      <c r="K80">
        <v>485</v>
      </c>
      <c r="L80">
        <v>510</v>
      </c>
      <c r="M80">
        <v>650</v>
      </c>
      <c r="N80">
        <v>470</v>
      </c>
      <c r="O80">
        <v>550</v>
      </c>
      <c r="P80">
        <v>1620</v>
      </c>
    </row>
    <row r="81" spans="1:16" x14ac:dyDescent="0.25">
      <c r="B81" t="s">
        <v>152</v>
      </c>
      <c r="C81" t="s">
        <v>153</v>
      </c>
      <c r="D81" t="s">
        <v>496</v>
      </c>
      <c r="E81" t="s">
        <v>139</v>
      </c>
      <c r="F81" t="s">
        <v>152</v>
      </c>
      <c r="G81">
        <v>295</v>
      </c>
      <c r="J81">
        <v>295</v>
      </c>
      <c r="K81">
        <v>355</v>
      </c>
      <c r="L81">
        <v>370</v>
      </c>
      <c r="M81">
        <v>475</v>
      </c>
      <c r="N81">
        <v>345</v>
      </c>
      <c r="O81">
        <v>400</v>
      </c>
      <c r="P81">
        <v>1240</v>
      </c>
    </row>
    <row r="82" spans="1:16" x14ac:dyDescent="0.25">
      <c r="B82" t="s">
        <v>370</v>
      </c>
      <c r="C82" t="s">
        <v>153</v>
      </c>
      <c r="D82" t="s">
        <v>496</v>
      </c>
      <c r="E82" t="s">
        <v>139</v>
      </c>
      <c r="F82" t="s">
        <v>370</v>
      </c>
      <c r="G82">
        <v>320</v>
      </c>
      <c r="I82">
        <v>10</v>
      </c>
      <c r="J82">
        <v>330</v>
      </c>
      <c r="K82">
        <v>395</v>
      </c>
      <c r="L82">
        <v>415</v>
      </c>
      <c r="M82">
        <v>525</v>
      </c>
      <c r="N82">
        <v>385</v>
      </c>
      <c r="O82">
        <v>445</v>
      </c>
      <c r="P82">
        <v>1330</v>
      </c>
    </row>
    <row r="83" spans="1:16" x14ac:dyDescent="0.25">
      <c r="B83" t="s">
        <v>151</v>
      </c>
      <c r="C83" t="s">
        <v>153</v>
      </c>
      <c r="D83" t="s">
        <v>496</v>
      </c>
      <c r="E83" t="s">
        <v>139</v>
      </c>
      <c r="F83" t="s">
        <v>151</v>
      </c>
      <c r="G83">
        <v>330</v>
      </c>
      <c r="I83">
        <v>10</v>
      </c>
      <c r="J83">
        <v>340</v>
      </c>
      <c r="K83">
        <v>405</v>
      </c>
      <c r="L83">
        <v>425</v>
      </c>
      <c r="M83">
        <v>550</v>
      </c>
      <c r="N83">
        <v>395</v>
      </c>
      <c r="O83">
        <v>455</v>
      </c>
      <c r="P83">
        <v>1370</v>
      </c>
    </row>
    <row r="84" spans="1:16" x14ac:dyDescent="0.25">
      <c r="B84">
        <v>5201</v>
      </c>
      <c r="C84" t="s">
        <v>501</v>
      </c>
      <c r="D84" t="s">
        <v>494</v>
      </c>
      <c r="E84" t="s">
        <v>80</v>
      </c>
      <c r="F84" t="s">
        <v>172</v>
      </c>
      <c r="G84">
        <v>210</v>
      </c>
      <c r="I84">
        <v>12</v>
      </c>
      <c r="J84">
        <v>222</v>
      </c>
      <c r="K84">
        <v>270</v>
      </c>
      <c r="L84">
        <v>280</v>
      </c>
      <c r="M84">
        <v>350</v>
      </c>
      <c r="N84">
        <v>260</v>
      </c>
      <c r="O84">
        <v>300</v>
      </c>
      <c r="P84">
        <v>920</v>
      </c>
    </row>
    <row r="85" spans="1:16" x14ac:dyDescent="0.25">
      <c r="B85">
        <v>101</v>
      </c>
      <c r="C85" t="s">
        <v>284</v>
      </c>
      <c r="D85" t="s">
        <v>698</v>
      </c>
      <c r="F85" t="s">
        <v>21</v>
      </c>
      <c r="G85">
        <v>380</v>
      </c>
      <c r="I85">
        <v>20</v>
      </c>
      <c r="J85">
        <v>400</v>
      </c>
      <c r="K85">
        <v>515</v>
      </c>
      <c r="L85">
        <v>540</v>
      </c>
      <c r="M85">
        <v>650</v>
      </c>
      <c r="N85">
        <v>500</v>
      </c>
      <c r="O85">
        <v>580</v>
      </c>
      <c r="P85">
        <v>1560</v>
      </c>
    </row>
    <row r="86" spans="1:16" x14ac:dyDescent="0.25">
      <c r="B86">
        <v>102</v>
      </c>
      <c r="C86" t="s">
        <v>284</v>
      </c>
      <c r="D86" t="s">
        <v>699</v>
      </c>
      <c r="E86" t="s">
        <v>124</v>
      </c>
      <c r="F86" t="s">
        <v>7</v>
      </c>
      <c r="G86">
        <v>380</v>
      </c>
      <c r="I86">
        <v>15</v>
      </c>
      <c r="J86">
        <v>395</v>
      </c>
      <c r="K86">
        <v>510</v>
      </c>
      <c r="L86">
        <v>535</v>
      </c>
      <c r="M86">
        <v>625</v>
      </c>
      <c r="N86">
        <v>495</v>
      </c>
      <c r="O86">
        <v>575</v>
      </c>
      <c r="P86">
        <v>1560</v>
      </c>
    </row>
    <row r="87" spans="1:16" x14ac:dyDescent="0.25">
      <c r="A87">
        <v>2026</v>
      </c>
      <c r="B87">
        <v>105</v>
      </c>
      <c r="C87" t="s">
        <v>284</v>
      </c>
      <c r="D87" t="s">
        <v>497</v>
      </c>
      <c r="E87" t="s">
        <v>132</v>
      </c>
      <c r="F87" t="s">
        <v>567</v>
      </c>
      <c r="G87">
        <v>12500</v>
      </c>
      <c r="I87">
        <v>50</v>
      </c>
      <c r="J87">
        <v>12550</v>
      </c>
      <c r="K87">
        <v>15500</v>
      </c>
      <c r="L87">
        <v>16315</v>
      </c>
      <c r="M87">
        <v>22250</v>
      </c>
      <c r="N87">
        <v>15010</v>
      </c>
      <c r="O87">
        <v>17460</v>
      </c>
      <c r="P87">
        <v>53140</v>
      </c>
    </row>
    <row r="88" spans="1:16" x14ac:dyDescent="0.25">
      <c r="A88">
        <v>2025</v>
      </c>
      <c r="B88">
        <v>106</v>
      </c>
      <c r="C88" t="s">
        <v>284</v>
      </c>
      <c r="D88" t="s">
        <v>497</v>
      </c>
      <c r="E88" t="s">
        <v>132</v>
      </c>
      <c r="F88" t="s">
        <v>567</v>
      </c>
      <c r="G88">
        <v>8500</v>
      </c>
      <c r="H88">
        <v>15</v>
      </c>
      <c r="I88">
        <v>25</v>
      </c>
      <c r="J88">
        <v>8540</v>
      </c>
      <c r="K88">
        <v>10550</v>
      </c>
      <c r="L88">
        <v>11105</v>
      </c>
      <c r="M88">
        <v>15150</v>
      </c>
      <c r="N88">
        <v>10220</v>
      </c>
      <c r="O88">
        <v>11885</v>
      </c>
      <c r="P88">
        <v>36180</v>
      </c>
    </row>
    <row r="89" spans="1:16" x14ac:dyDescent="0.25">
      <c r="B89">
        <v>107</v>
      </c>
      <c r="C89" t="s">
        <v>277</v>
      </c>
      <c r="D89" t="s">
        <v>497</v>
      </c>
      <c r="E89" t="s">
        <v>126</v>
      </c>
      <c r="F89" t="s">
        <v>42</v>
      </c>
      <c r="G89">
        <v>2700</v>
      </c>
      <c r="I89">
        <v>15</v>
      </c>
      <c r="J89">
        <v>2715</v>
      </c>
      <c r="K89">
        <v>3355</v>
      </c>
      <c r="L89">
        <v>3530</v>
      </c>
      <c r="M89">
        <v>4850</v>
      </c>
      <c r="N89">
        <v>3250</v>
      </c>
      <c r="O89">
        <v>3780</v>
      </c>
      <c r="P89">
        <v>11590</v>
      </c>
    </row>
    <row r="90" spans="1:16" x14ac:dyDescent="0.25">
      <c r="A90">
        <v>2026</v>
      </c>
      <c r="B90">
        <v>108</v>
      </c>
      <c r="C90" t="s">
        <v>277</v>
      </c>
      <c r="D90" t="s">
        <v>497</v>
      </c>
      <c r="E90" t="s">
        <v>126</v>
      </c>
      <c r="F90" t="s">
        <v>614</v>
      </c>
      <c r="G90">
        <v>3700</v>
      </c>
      <c r="I90">
        <v>25</v>
      </c>
      <c r="J90">
        <v>3725</v>
      </c>
      <c r="K90">
        <v>4605</v>
      </c>
      <c r="L90">
        <v>4845</v>
      </c>
      <c r="M90">
        <v>6600</v>
      </c>
      <c r="N90">
        <v>4460</v>
      </c>
      <c r="O90">
        <v>5185</v>
      </c>
      <c r="P90">
        <v>15830</v>
      </c>
    </row>
    <row r="91" spans="1:16" x14ac:dyDescent="0.25">
      <c r="A91">
        <v>2026</v>
      </c>
      <c r="B91">
        <v>109</v>
      </c>
      <c r="C91" t="s">
        <v>284</v>
      </c>
      <c r="D91" t="s">
        <v>497</v>
      </c>
      <c r="E91" t="s">
        <v>168</v>
      </c>
      <c r="F91" t="s">
        <v>683</v>
      </c>
      <c r="G91">
        <v>8500</v>
      </c>
      <c r="I91">
        <v>50</v>
      </c>
      <c r="J91">
        <v>8550</v>
      </c>
      <c r="K91">
        <v>10560</v>
      </c>
      <c r="L91">
        <v>11115</v>
      </c>
      <c r="M91">
        <v>15150</v>
      </c>
      <c r="N91">
        <v>10230</v>
      </c>
      <c r="O91">
        <v>11895</v>
      </c>
      <c r="P91">
        <v>36180</v>
      </c>
    </row>
    <row r="92" spans="1:16" x14ac:dyDescent="0.25">
      <c r="B92">
        <v>110</v>
      </c>
      <c r="C92" t="s">
        <v>277</v>
      </c>
      <c r="D92" t="s">
        <v>497</v>
      </c>
      <c r="E92" t="s">
        <v>128</v>
      </c>
      <c r="F92" t="s">
        <v>292</v>
      </c>
      <c r="G92">
        <v>3800</v>
      </c>
      <c r="I92">
        <v>15</v>
      </c>
      <c r="J92">
        <v>3815</v>
      </c>
      <c r="K92">
        <v>4715</v>
      </c>
      <c r="L92">
        <v>4960</v>
      </c>
      <c r="M92">
        <v>6800</v>
      </c>
      <c r="N92">
        <v>4565</v>
      </c>
      <c r="O92">
        <v>5310</v>
      </c>
      <c r="P92">
        <v>16250</v>
      </c>
    </row>
    <row r="93" spans="1:16" x14ac:dyDescent="0.25">
      <c r="A93">
        <v>2025</v>
      </c>
      <c r="B93">
        <v>112</v>
      </c>
      <c r="C93" t="s">
        <v>284</v>
      </c>
      <c r="D93" t="s">
        <v>497</v>
      </c>
      <c r="E93" t="s">
        <v>132</v>
      </c>
      <c r="F93" t="s">
        <v>568</v>
      </c>
      <c r="G93">
        <v>4500</v>
      </c>
      <c r="H93">
        <v>25</v>
      </c>
      <c r="I93">
        <v>15</v>
      </c>
      <c r="J93">
        <v>4540</v>
      </c>
      <c r="K93">
        <v>5610</v>
      </c>
      <c r="L93">
        <v>5905</v>
      </c>
      <c r="M93">
        <v>8050</v>
      </c>
      <c r="N93">
        <v>5435</v>
      </c>
      <c r="O93">
        <v>6320</v>
      </c>
      <c r="P93">
        <v>19220</v>
      </c>
    </row>
    <row r="94" spans="1:16" x14ac:dyDescent="0.25">
      <c r="A94">
        <v>2026</v>
      </c>
      <c r="B94">
        <v>113</v>
      </c>
      <c r="C94" t="s">
        <v>277</v>
      </c>
      <c r="D94" t="s">
        <v>497</v>
      </c>
      <c r="E94" t="s">
        <v>126</v>
      </c>
      <c r="F94" t="s">
        <v>1010</v>
      </c>
      <c r="G94">
        <v>5300</v>
      </c>
      <c r="I94">
        <v>15</v>
      </c>
      <c r="J94">
        <v>5315</v>
      </c>
      <c r="K94">
        <v>6565</v>
      </c>
      <c r="L94">
        <v>6910</v>
      </c>
      <c r="M94">
        <v>9450</v>
      </c>
      <c r="N94">
        <v>6360</v>
      </c>
      <c r="O94">
        <v>7395</v>
      </c>
      <c r="P94">
        <v>22610</v>
      </c>
    </row>
    <row r="95" spans="1:16" x14ac:dyDescent="0.25">
      <c r="A95">
        <v>2026</v>
      </c>
      <c r="B95">
        <v>114</v>
      </c>
      <c r="C95" t="s">
        <v>277</v>
      </c>
      <c r="D95" t="s">
        <v>494</v>
      </c>
      <c r="F95" t="s">
        <v>830</v>
      </c>
      <c r="G95">
        <v>250</v>
      </c>
      <c r="H95">
        <v>55</v>
      </c>
      <c r="I95">
        <v>35</v>
      </c>
      <c r="J95">
        <v>340</v>
      </c>
      <c r="K95">
        <v>405</v>
      </c>
      <c r="L95">
        <v>425</v>
      </c>
      <c r="M95">
        <v>550</v>
      </c>
      <c r="N95">
        <v>395</v>
      </c>
      <c r="O95">
        <v>455</v>
      </c>
      <c r="P95">
        <v>1070</v>
      </c>
    </row>
    <row r="96" spans="1:16" x14ac:dyDescent="0.25">
      <c r="A96">
        <v>2025</v>
      </c>
      <c r="B96">
        <v>115</v>
      </c>
      <c r="C96" t="s">
        <v>284</v>
      </c>
      <c r="D96" t="s">
        <v>497</v>
      </c>
      <c r="E96" t="s">
        <v>132</v>
      </c>
      <c r="F96" t="s">
        <v>569</v>
      </c>
      <c r="G96">
        <v>1350</v>
      </c>
      <c r="H96">
        <v>10</v>
      </c>
      <c r="I96">
        <v>25</v>
      </c>
      <c r="J96">
        <v>1385</v>
      </c>
      <c r="K96">
        <v>1715</v>
      </c>
      <c r="L96">
        <v>1805</v>
      </c>
      <c r="M96">
        <v>2200</v>
      </c>
      <c r="N96">
        <v>1665</v>
      </c>
      <c r="O96">
        <v>1935</v>
      </c>
      <c r="P96">
        <v>5220</v>
      </c>
    </row>
    <row r="97" spans="1:16" x14ac:dyDescent="0.25">
      <c r="B97">
        <v>116</v>
      </c>
      <c r="C97" t="s">
        <v>277</v>
      </c>
      <c r="D97" t="s">
        <v>497</v>
      </c>
      <c r="E97" t="s">
        <v>128</v>
      </c>
      <c r="F97" t="s">
        <v>291</v>
      </c>
      <c r="G97">
        <v>4200</v>
      </c>
      <c r="I97">
        <v>15</v>
      </c>
      <c r="J97">
        <v>4215</v>
      </c>
      <c r="K97">
        <v>5210</v>
      </c>
      <c r="L97">
        <v>5480</v>
      </c>
      <c r="M97">
        <v>7500</v>
      </c>
      <c r="N97">
        <v>5045</v>
      </c>
      <c r="O97">
        <v>5865</v>
      </c>
      <c r="P97">
        <v>17950</v>
      </c>
    </row>
    <row r="98" spans="1:16" x14ac:dyDescent="0.25">
      <c r="A98">
        <v>2025</v>
      </c>
      <c r="B98">
        <v>117</v>
      </c>
      <c r="C98" t="s">
        <v>284</v>
      </c>
      <c r="D98" t="s">
        <v>497</v>
      </c>
      <c r="E98" t="s">
        <v>571</v>
      </c>
      <c r="F98" t="s">
        <v>572</v>
      </c>
      <c r="G98">
        <v>2250</v>
      </c>
      <c r="I98">
        <v>25</v>
      </c>
      <c r="J98">
        <v>2275</v>
      </c>
      <c r="K98">
        <v>2815</v>
      </c>
      <c r="L98">
        <v>2960</v>
      </c>
      <c r="M98">
        <v>4050</v>
      </c>
      <c r="N98">
        <v>2725</v>
      </c>
      <c r="O98">
        <v>3170</v>
      </c>
      <c r="P98">
        <v>9680</v>
      </c>
    </row>
    <row r="99" spans="1:16" x14ac:dyDescent="0.25">
      <c r="A99">
        <v>2025</v>
      </c>
      <c r="B99">
        <v>118</v>
      </c>
      <c r="C99" t="s">
        <v>284</v>
      </c>
      <c r="D99" t="s">
        <v>497</v>
      </c>
      <c r="E99" t="s">
        <v>571</v>
      </c>
      <c r="F99" t="s">
        <v>573</v>
      </c>
      <c r="G99">
        <v>2750</v>
      </c>
      <c r="I99">
        <v>25</v>
      </c>
      <c r="J99">
        <v>2775</v>
      </c>
      <c r="K99">
        <v>3430</v>
      </c>
      <c r="L99">
        <v>3610</v>
      </c>
      <c r="M99">
        <v>4950</v>
      </c>
      <c r="N99">
        <v>3325</v>
      </c>
      <c r="O99">
        <v>3865</v>
      </c>
      <c r="P99">
        <v>11800</v>
      </c>
    </row>
    <row r="100" spans="1:16" x14ac:dyDescent="0.25">
      <c r="A100">
        <v>2026</v>
      </c>
      <c r="B100">
        <v>119</v>
      </c>
      <c r="C100" t="s">
        <v>277</v>
      </c>
      <c r="D100" t="s">
        <v>497</v>
      </c>
      <c r="E100" t="s">
        <v>809</v>
      </c>
      <c r="F100" t="s">
        <v>810</v>
      </c>
      <c r="G100">
        <v>1275</v>
      </c>
      <c r="I100">
        <v>15</v>
      </c>
      <c r="J100">
        <v>1290</v>
      </c>
      <c r="K100">
        <v>1600</v>
      </c>
      <c r="L100">
        <v>1680</v>
      </c>
      <c r="M100">
        <v>2050</v>
      </c>
      <c r="N100">
        <v>1550</v>
      </c>
      <c r="O100">
        <v>1800</v>
      </c>
      <c r="P100">
        <v>4940</v>
      </c>
    </row>
    <row r="101" spans="1:16" x14ac:dyDescent="0.25">
      <c r="B101">
        <v>124</v>
      </c>
      <c r="C101" t="s">
        <v>277</v>
      </c>
      <c r="D101" t="s">
        <v>497</v>
      </c>
      <c r="E101" t="s">
        <v>126</v>
      </c>
      <c r="F101" t="s">
        <v>23</v>
      </c>
      <c r="G101">
        <v>3000</v>
      </c>
      <c r="I101">
        <v>15</v>
      </c>
      <c r="J101">
        <v>3015</v>
      </c>
      <c r="K101">
        <v>3725</v>
      </c>
      <c r="L101">
        <v>3920</v>
      </c>
      <c r="M101">
        <v>5350</v>
      </c>
      <c r="N101">
        <v>3610</v>
      </c>
      <c r="O101">
        <v>4195</v>
      </c>
      <c r="P101">
        <v>12860</v>
      </c>
    </row>
    <row r="102" spans="1:16" x14ac:dyDescent="0.25">
      <c r="A102">
        <v>2026</v>
      </c>
      <c r="B102">
        <v>125</v>
      </c>
      <c r="C102" t="s">
        <v>277</v>
      </c>
      <c r="D102" t="s">
        <v>497</v>
      </c>
      <c r="E102" t="s">
        <v>126</v>
      </c>
      <c r="F102" t="s">
        <v>1009</v>
      </c>
      <c r="G102">
        <v>4800</v>
      </c>
      <c r="I102">
        <v>25</v>
      </c>
      <c r="J102">
        <v>4825</v>
      </c>
      <c r="K102">
        <v>5965</v>
      </c>
      <c r="L102">
        <v>6275</v>
      </c>
      <c r="M102">
        <v>8550</v>
      </c>
      <c r="N102">
        <v>5775</v>
      </c>
      <c r="O102">
        <v>6715</v>
      </c>
      <c r="P102">
        <v>20490</v>
      </c>
    </row>
    <row r="103" spans="1:16" x14ac:dyDescent="0.25">
      <c r="B103">
        <v>126</v>
      </c>
      <c r="C103" t="s">
        <v>277</v>
      </c>
      <c r="D103" t="s">
        <v>497</v>
      </c>
      <c r="E103" t="s">
        <v>168</v>
      </c>
      <c r="F103" t="s">
        <v>81</v>
      </c>
      <c r="G103">
        <v>2000</v>
      </c>
      <c r="I103">
        <v>15</v>
      </c>
      <c r="J103">
        <v>2015</v>
      </c>
      <c r="K103">
        <v>2490</v>
      </c>
      <c r="L103">
        <v>2620</v>
      </c>
      <c r="M103">
        <v>3600</v>
      </c>
      <c r="N103">
        <v>2415</v>
      </c>
      <c r="O103">
        <v>2805</v>
      </c>
      <c r="P103">
        <v>8620</v>
      </c>
    </row>
    <row r="104" spans="1:16" x14ac:dyDescent="0.25">
      <c r="A104">
        <v>2025</v>
      </c>
      <c r="B104">
        <v>128</v>
      </c>
      <c r="C104" t="s">
        <v>284</v>
      </c>
      <c r="D104" t="s">
        <v>497</v>
      </c>
      <c r="E104" t="s">
        <v>126</v>
      </c>
      <c r="F104" t="s">
        <v>643</v>
      </c>
      <c r="G104">
        <v>2100</v>
      </c>
      <c r="I104">
        <v>15</v>
      </c>
      <c r="J104">
        <v>2115</v>
      </c>
      <c r="K104">
        <v>2615</v>
      </c>
      <c r="L104">
        <v>2750</v>
      </c>
      <c r="M104">
        <v>3750</v>
      </c>
      <c r="N104">
        <v>2530</v>
      </c>
      <c r="O104">
        <v>2945</v>
      </c>
      <c r="P104">
        <v>9040</v>
      </c>
    </row>
    <row r="105" spans="1:16" x14ac:dyDescent="0.25">
      <c r="A105">
        <v>2026</v>
      </c>
      <c r="B105">
        <v>129</v>
      </c>
      <c r="C105" t="s">
        <v>277</v>
      </c>
      <c r="D105" t="s">
        <v>497</v>
      </c>
      <c r="E105" t="s">
        <v>126</v>
      </c>
      <c r="F105" t="s">
        <v>77</v>
      </c>
      <c r="G105">
        <v>2100</v>
      </c>
      <c r="I105">
        <v>15</v>
      </c>
      <c r="J105">
        <v>2115</v>
      </c>
      <c r="K105">
        <v>2615</v>
      </c>
      <c r="L105">
        <v>2750</v>
      </c>
      <c r="M105">
        <v>3750</v>
      </c>
      <c r="N105">
        <v>2530</v>
      </c>
      <c r="O105">
        <v>2945</v>
      </c>
      <c r="P105">
        <v>9040</v>
      </c>
    </row>
    <row r="106" spans="1:16" x14ac:dyDescent="0.25">
      <c r="A106">
        <v>2026</v>
      </c>
      <c r="B106">
        <v>130</v>
      </c>
      <c r="C106" t="s">
        <v>284</v>
      </c>
      <c r="D106" t="s">
        <v>497</v>
      </c>
      <c r="E106" t="s">
        <v>126</v>
      </c>
      <c r="F106" t="s">
        <v>639</v>
      </c>
      <c r="G106">
        <v>1800</v>
      </c>
      <c r="I106">
        <v>15</v>
      </c>
      <c r="J106">
        <v>1815</v>
      </c>
      <c r="K106">
        <v>2245</v>
      </c>
      <c r="L106">
        <v>2360</v>
      </c>
      <c r="M106">
        <v>3250</v>
      </c>
      <c r="N106">
        <v>2175</v>
      </c>
      <c r="O106">
        <v>2530</v>
      </c>
      <c r="P106">
        <v>7770</v>
      </c>
    </row>
    <row r="107" spans="1:16" x14ac:dyDescent="0.25">
      <c r="B107">
        <v>131</v>
      </c>
      <c r="C107" t="s">
        <v>277</v>
      </c>
      <c r="D107" t="s">
        <v>497</v>
      </c>
      <c r="F107" t="s">
        <v>50</v>
      </c>
      <c r="G107">
        <v>3000</v>
      </c>
      <c r="I107">
        <v>15</v>
      </c>
      <c r="J107">
        <v>3015</v>
      </c>
      <c r="K107">
        <v>3725</v>
      </c>
      <c r="L107">
        <v>3920</v>
      </c>
      <c r="M107">
        <v>5350</v>
      </c>
      <c r="N107">
        <v>3610</v>
      </c>
      <c r="O107">
        <v>4195</v>
      </c>
      <c r="P107">
        <v>12860</v>
      </c>
    </row>
    <row r="108" spans="1:16" x14ac:dyDescent="0.25">
      <c r="A108">
        <v>2025</v>
      </c>
      <c r="B108">
        <v>132</v>
      </c>
      <c r="C108" t="s">
        <v>284</v>
      </c>
      <c r="D108" t="s">
        <v>497</v>
      </c>
      <c r="E108" t="s">
        <v>126</v>
      </c>
      <c r="F108" t="s">
        <v>640</v>
      </c>
      <c r="G108">
        <v>1700</v>
      </c>
      <c r="I108">
        <v>15</v>
      </c>
      <c r="J108">
        <v>1715</v>
      </c>
      <c r="K108">
        <v>2120</v>
      </c>
      <c r="L108">
        <v>2230</v>
      </c>
      <c r="M108">
        <v>3050</v>
      </c>
      <c r="N108">
        <v>2055</v>
      </c>
      <c r="O108">
        <v>2390</v>
      </c>
      <c r="P108">
        <v>7350</v>
      </c>
    </row>
    <row r="109" spans="1:16" x14ac:dyDescent="0.25">
      <c r="A109">
        <v>2026</v>
      </c>
      <c r="B109">
        <v>133</v>
      </c>
      <c r="C109" t="s">
        <v>277</v>
      </c>
      <c r="D109" t="s">
        <v>497</v>
      </c>
      <c r="E109" t="s">
        <v>574</v>
      </c>
      <c r="F109" t="s">
        <v>1011</v>
      </c>
      <c r="G109">
        <v>6000</v>
      </c>
      <c r="I109">
        <v>15</v>
      </c>
      <c r="J109">
        <v>6015</v>
      </c>
      <c r="K109">
        <v>7430</v>
      </c>
      <c r="L109">
        <v>7820</v>
      </c>
      <c r="M109">
        <v>10650</v>
      </c>
      <c r="N109">
        <v>7195</v>
      </c>
      <c r="O109">
        <v>8370</v>
      </c>
      <c r="P109">
        <v>25580</v>
      </c>
    </row>
    <row r="110" spans="1:16" x14ac:dyDescent="0.25">
      <c r="A110">
        <v>2026</v>
      </c>
      <c r="B110">
        <v>134</v>
      </c>
      <c r="C110" t="s">
        <v>277</v>
      </c>
      <c r="D110" t="s">
        <v>497</v>
      </c>
      <c r="E110" t="s">
        <v>132</v>
      </c>
      <c r="F110" t="s">
        <v>82</v>
      </c>
      <c r="G110">
        <v>900</v>
      </c>
      <c r="I110">
        <v>15</v>
      </c>
      <c r="J110">
        <v>915</v>
      </c>
      <c r="K110">
        <v>1135</v>
      </c>
      <c r="L110">
        <v>1190</v>
      </c>
      <c r="M110">
        <v>1450</v>
      </c>
      <c r="N110">
        <v>1095</v>
      </c>
      <c r="O110">
        <v>1275</v>
      </c>
      <c r="P110">
        <v>3520</v>
      </c>
    </row>
    <row r="111" spans="1:16" x14ac:dyDescent="0.25">
      <c r="B111">
        <v>135</v>
      </c>
      <c r="C111" t="s">
        <v>277</v>
      </c>
      <c r="D111" t="s">
        <v>497</v>
      </c>
      <c r="E111" t="s">
        <v>133</v>
      </c>
      <c r="F111" t="s">
        <v>83</v>
      </c>
      <c r="G111">
        <v>1500</v>
      </c>
      <c r="I111">
        <v>15</v>
      </c>
      <c r="J111">
        <v>1515</v>
      </c>
      <c r="K111">
        <v>1875</v>
      </c>
      <c r="L111">
        <v>1970</v>
      </c>
      <c r="M111">
        <v>2400</v>
      </c>
      <c r="N111">
        <v>1815</v>
      </c>
      <c r="O111">
        <v>2110</v>
      </c>
      <c r="P111">
        <v>6500</v>
      </c>
    </row>
    <row r="112" spans="1:16" x14ac:dyDescent="0.25">
      <c r="A112">
        <v>2025</v>
      </c>
      <c r="B112">
        <v>136</v>
      </c>
      <c r="C112" t="s">
        <v>284</v>
      </c>
      <c r="D112" t="s">
        <v>497</v>
      </c>
      <c r="E112" t="s">
        <v>571</v>
      </c>
      <c r="F112" t="s">
        <v>616</v>
      </c>
      <c r="G112">
        <v>1375</v>
      </c>
      <c r="I112">
        <v>15</v>
      </c>
      <c r="J112">
        <v>1390</v>
      </c>
      <c r="K112">
        <v>1720</v>
      </c>
      <c r="L112">
        <v>1810</v>
      </c>
      <c r="M112">
        <v>2200</v>
      </c>
      <c r="N112">
        <v>1670</v>
      </c>
      <c r="O112">
        <v>1940</v>
      </c>
      <c r="P112">
        <v>5970</v>
      </c>
    </row>
    <row r="113" spans="1:16" x14ac:dyDescent="0.25">
      <c r="A113">
        <v>2025</v>
      </c>
      <c r="B113">
        <v>137</v>
      </c>
      <c r="C113" t="s">
        <v>277</v>
      </c>
      <c r="D113" t="s">
        <v>497</v>
      </c>
      <c r="E113" t="s">
        <v>125</v>
      </c>
      <c r="F113" t="s">
        <v>120</v>
      </c>
      <c r="G113">
        <v>6500</v>
      </c>
      <c r="I113">
        <v>15</v>
      </c>
      <c r="J113">
        <v>6515</v>
      </c>
      <c r="K113">
        <v>8050</v>
      </c>
      <c r="L113">
        <v>8470</v>
      </c>
      <c r="M113">
        <v>11550</v>
      </c>
      <c r="N113">
        <v>7795</v>
      </c>
      <c r="O113">
        <v>9065</v>
      </c>
      <c r="P113">
        <v>27700</v>
      </c>
    </row>
    <row r="114" spans="1:16" x14ac:dyDescent="0.25">
      <c r="A114">
        <v>2026</v>
      </c>
      <c r="B114">
        <v>138</v>
      </c>
      <c r="C114" t="s">
        <v>277</v>
      </c>
      <c r="D114" t="s">
        <v>497</v>
      </c>
      <c r="E114" t="s">
        <v>574</v>
      </c>
      <c r="F114" t="s">
        <v>575</v>
      </c>
      <c r="G114">
        <v>9000</v>
      </c>
      <c r="I114">
        <v>15</v>
      </c>
      <c r="J114">
        <v>9015</v>
      </c>
      <c r="K114">
        <v>11135</v>
      </c>
      <c r="L114">
        <v>11720</v>
      </c>
      <c r="M114">
        <v>16000</v>
      </c>
      <c r="N114">
        <v>10785</v>
      </c>
      <c r="O114">
        <v>12545</v>
      </c>
      <c r="P114">
        <v>38300</v>
      </c>
    </row>
    <row r="115" spans="1:16" x14ac:dyDescent="0.25">
      <c r="B115">
        <v>139</v>
      </c>
      <c r="C115" t="s">
        <v>277</v>
      </c>
      <c r="D115" t="s">
        <v>497</v>
      </c>
      <c r="E115" t="s">
        <v>168</v>
      </c>
      <c r="F115" t="s">
        <v>315</v>
      </c>
      <c r="G115">
        <v>1050</v>
      </c>
      <c r="I115">
        <v>4100</v>
      </c>
      <c r="J115">
        <v>5150</v>
      </c>
      <c r="K115">
        <v>6365</v>
      </c>
      <c r="L115">
        <v>6695</v>
      </c>
      <c r="M115">
        <v>9150</v>
      </c>
      <c r="N115">
        <v>6160</v>
      </c>
      <c r="O115">
        <v>7165</v>
      </c>
      <c r="P115">
        <v>4090</v>
      </c>
    </row>
    <row r="116" spans="1:16" x14ac:dyDescent="0.25">
      <c r="A116">
        <v>2026</v>
      </c>
      <c r="B116">
        <v>140</v>
      </c>
      <c r="C116" t="s">
        <v>277</v>
      </c>
      <c r="D116" t="s">
        <v>494</v>
      </c>
      <c r="E116" t="s">
        <v>779</v>
      </c>
      <c r="F116" t="s">
        <v>780</v>
      </c>
      <c r="G116">
        <v>360</v>
      </c>
      <c r="I116">
        <v>25</v>
      </c>
      <c r="J116">
        <v>385</v>
      </c>
      <c r="K116">
        <v>465</v>
      </c>
      <c r="L116">
        <v>485</v>
      </c>
      <c r="M116">
        <v>625</v>
      </c>
      <c r="N116">
        <v>450</v>
      </c>
      <c r="O116">
        <v>520</v>
      </c>
      <c r="P116">
        <v>1480</v>
      </c>
    </row>
    <row r="117" spans="1:16" x14ac:dyDescent="0.25">
      <c r="A117">
        <v>2025</v>
      </c>
      <c r="B117">
        <v>141</v>
      </c>
      <c r="C117" t="s">
        <v>277</v>
      </c>
      <c r="D117" t="s">
        <v>497</v>
      </c>
      <c r="E117" t="s">
        <v>125</v>
      </c>
      <c r="F117" t="s">
        <v>453</v>
      </c>
      <c r="G117">
        <v>4500</v>
      </c>
      <c r="I117">
        <v>25</v>
      </c>
      <c r="J117">
        <v>4525</v>
      </c>
      <c r="K117">
        <v>5595</v>
      </c>
      <c r="L117">
        <v>5885</v>
      </c>
      <c r="M117">
        <v>8050</v>
      </c>
      <c r="N117">
        <v>5415</v>
      </c>
      <c r="O117">
        <v>6300</v>
      </c>
      <c r="P117">
        <v>19220</v>
      </c>
    </row>
    <row r="118" spans="1:16" x14ac:dyDescent="0.25">
      <c r="A118">
        <v>2026</v>
      </c>
      <c r="B118">
        <v>142</v>
      </c>
      <c r="C118" t="s">
        <v>284</v>
      </c>
      <c r="D118" t="s">
        <v>494</v>
      </c>
      <c r="E118" t="s">
        <v>868</v>
      </c>
      <c r="F118" t="s">
        <v>869</v>
      </c>
      <c r="G118">
        <v>370</v>
      </c>
      <c r="I118">
        <v>265</v>
      </c>
      <c r="J118">
        <v>635</v>
      </c>
      <c r="K118">
        <v>820</v>
      </c>
      <c r="L118">
        <v>860</v>
      </c>
      <c r="M118">
        <v>1025</v>
      </c>
      <c r="N118">
        <v>795</v>
      </c>
      <c r="O118">
        <v>925</v>
      </c>
      <c r="P118">
        <v>1520</v>
      </c>
    </row>
    <row r="119" spans="1:16" x14ac:dyDescent="0.25">
      <c r="A119">
        <v>2026</v>
      </c>
      <c r="B119">
        <v>143</v>
      </c>
      <c r="C119" t="s">
        <v>284</v>
      </c>
      <c r="D119" t="s">
        <v>494</v>
      </c>
      <c r="E119" t="s">
        <v>868</v>
      </c>
      <c r="F119" t="s">
        <v>870</v>
      </c>
      <c r="G119">
        <v>500</v>
      </c>
      <c r="I119">
        <v>325</v>
      </c>
      <c r="J119">
        <v>825</v>
      </c>
      <c r="K119">
        <v>1060</v>
      </c>
      <c r="L119">
        <v>1115</v>
      </c>
      <c r="M119">
        <v>1300</v>
      </c>
      <c r="N119">
        <v>1030</v>
      </c>
      <c r="O119">
        <v>1195</v>
      </c>
      <c r="P119">
        <v>2010</v>
      </c>
    </row>
    <row r="120" spans="1:16" x14ac:dyDescent="0.25">
      <c r="A120">
        <v>2026</v>
      </c>
      <c r="B120">
        <v>144</v>
      </c>
      <c r="C120" t="s">
        <v>277</v>
      </c>
      <c r="D120" t="s">
        <v>497</v>
      </c>
      <c r="E120" t="s">
        <v>132</v>
      </c>
      <c r="F120" t="s">
        <v>327</v>
      </c>
      <c r="G120">
        <v>1450</v>
      </c>
      <c r="I120">
        <v>25</v>
      </c>
      <c r="J120">
        <v>1475</v>
      </c>
      <c r="K120">
        <v>1825</v>
      </c>
      <c r="L120">
        <v>1920</v>
      </c>
      <c r="M120">
        <v>2325</v>
      </c>
      <c r="N120">
        <v>1770</v>
      </c>
      <c r="O120">
        <v>2055</v>
      </c>
      <c r="P120">
        <v>6290</v>
      </c>
    </row>
    <row r="121" spans="1:16" x14ac:dyDescent="0.25">
      <c r="A121">
        <v>2026</v>
      </c>
      <c r="B121">
        <v>145</v>
      </c>
      <c r="C121" t="s">
        <v>277</v>
      </c>
      <c r="D121" t="s">
        <v>497</v>
      </c>
      <c r="E121" t="s">
        <v>132</v>
      </c>
      <c r="F121" t="s">
        <v>239</v>
      </c>
      <c r="G121">
        <v>13000</v>
      </c>
      <c r="I121">
        <v>25</v>
      </c>
      <c r="J121">
        <v>13025</v>
      </c>
      <c r="K121">
        <v>16090</v>
      </c>
      <c r="L121">
        <v>16935</v>
      </c>
      <c r="M121">
        <v>23100</v>
      </c>
      <c r="N121">
        <v>15585</v>
      </c>
      <c r="O121">
        <v>18125</v>
      </c>
      <c r="P121">
        <v>55260</v>
      </c>
    </row>
    <row r="122" spans="1:16" x14ac:dyDescent="0.25">
      <c r="A122">
        <v>2026</v>
      </c>
      <c r="B122">
        <v>146</v>
      </c>
      <c r="C122" t="s">
        <v>277</v>
      </c>
      <c r="D122" t="s">
        <v>497</v>
      </c>
      <c r="E122" t="s">
        <v>132</v>
      </c>
      <c r="F122" t="s">
        <v>239</v>
      </c>
      <c r="G122">
        <v>16000</v>
      </c>
      <c r="I122">
        <v>25</v>
      </c>
      <c r="J122">
        <v>16025</v>
      </c>
      <c r="K122">
        <v>19795</v>
      </c>
      <c r="L122">
        <v>20835</v>
      </c>
      <c r="M122">
        <v>28400</v>
      </c>
      <c r="N122">
        <v>19170</v>
      </c>
      <c r="O122">
        <v>22295</v>
      </c>
      <c r="P122">
        <v>67970</v>
      </c>
    </row>
    <row r="123" spans="1:16" x14ac:dyDescent="0.25">
      <c r="A123">
        <v>2025</v>
      </c>
      <c r="B123">
        <v>147</v>
      </c>
      <c r="C123" t="s">
        <v>284</v>
      </c>
      <c r="D123" t="s">
        <v>497</v>
      </c>
      <c r="E123" t="s">
        <v>132</v>
      </c>
      <c r="F123" t="s">
        <v>239</v>
      </c>
      <c r="G123">
        <v>18000</v>
      </c>
      <c r="I123">
        <v>25</v>
      </c>
      <c r="J123">
        <v>18025</v>
      </c>
      <c r="K123">
        <v>22265</v>
      </c>
      <c r="L123">
        <v>23435</v>
      </c>
      <c r="M123">
        <v>31950</v>
      </c>
      <c r="N123">
        <v>21565</v>
      </c>
      <c r="O123">
        <v>25080</v>
      </c>
      <c r="P123">
        <v>76450</v>
      </c>
    </row>
    <row r="124" spans="1:16" x14ac:dyDescent="0.25">
      <c r="A124">
        <v>2025</v>
      </c>
      <c r="B124">
        <v>148</v>
      </c>
      <c r="C124" t="s">
        <v>284</v>
      </c>
      <c r="D124" t="s">
        <v>497</v>
      </c>
      <c r="E124" t="s">
        <v>132</v>
      </c>
      <c r="F124" t="s">
        <v>239</v>
      </c>
      <c r="G124">
        <v>19000</v>
      </c>
      <c r="I124">
        <v>25</v>
      </c>
      <c r="J124">
        <v>19025</v>
      </c>
      <c r="K124">
        <v>23500</v>
      </c>
      <c r="L124">
        <v>24735</v>
      </c>
      <c r="M124">
        <v>33700</v>
      </c>
      <c r="N124">
        <v>22760</v>
      </c>
      <c r="O124">
        <v>26470</v>
      </c>
      <c r="P124">
        <v>80690</v>
      </c>
    </row>
    <row r="125" spans="1:16" x14ac:dyDescent="0.25">
      <c r="A125">
        <v>2026</v>
      </c>
      <c r="B125">
        <v>149</v>
      </c>
      <c r="C125" t="s">
        <v>284</v>
      </c>
      <c r="D125" t="s">
        <v>497</v>
      </c>
      <c r="E125" t="s">
        <v>128</v>
      </c>
      <c r="F125" t="s">
        <v>989</v>
      </c>
      <c r="G125">
        <v>3935</v>
      </c>
      <c r="I125">
        <v>25</v>
      </c>
      <c r="J125">
        <v>3960</v>
      </c>
      <c r="K125">
        <v>4895</v>
      </c>
      <c r="L125">
        <v>5150</v>
      </c>
      <c r="M125">
        <v>7050</v>
      </c>
      <c r="N125">
        <v>4740</v>
      </c>
      <c r="O125">
        <v>5515</v>
      </c>
      <c r="P125">
        <v>16820</v>
      </c>
    </row>
    <row r="126" spans="1:16" x14ac:dyDescent="0.25">
      <c r="A126">
        <v>2026</v>
      </c>
      <c r="B126">
        <v>151</v>
      </c>
      <c r="C126" t="s">
        <v>284</v>
      </c>
      <c r="D126" t="s">
        <v>497</v>
      </c>
      <c r="E126" t="s">
        <v>128</v>
      </c>
      <c r="F126" t="s">
        <v>990</v>
      </c>
      <c r="G126">
        <v>3745</v>
      </c>
      <c r="I126">
        <v>25</v>
      </c>
      <c r="J126">
        <v>3770</v>
      </c>
      <c r="K126">
        <v>4660</v>
      </c>
      <c r="L126">
        <v>4905</v>
      </c>
      <c r="M126">
        <v>6700</v>
      </c>
      <c r="N126">
        <v>4515</v>
      </c>
      <c r="O126">
        <v>5250</v>
      </c>
      <c r="P126">
        <v>16020</v>
      </c>
    </row>
    <row r="127" spans="1:16" x14ac:dyDescent="0.25">
      <c r="A127">
        <v>2026</v>
      </c>
      <c r="B127">
        <v>152</v>
      </c>
      <c r="C127" t="s">
        <v>284</v>
      </c>
      <c r="D127" t="s">
        <v>497</v>
      </c>
      <c r="E127" t="s">
        <v>128</v>
      </c>
      <c r="F127">
        <v>26082</v>
      </c>
      <c r="G127">
        <v>3640</v>
      </c>
      <c r="I127">
        <v>25</v>
      </c>
      <c r="J127">
        <v>3665</v>
      </c>
      <c r="K127">
        <v>4530</v>
      </c>
      <c r="L127">
        <v>4765</v>
      </c>
      <c r="M127">
        <v>6500</v>
      </c>
      <c r="N127">
        <v>4385</v>
      </c>
      <c r="O127">
        <v>5100</v>
      </c>
      <c r="P127">
        <v>15570</v>
      </c>
    </row>
    <row r="128" spans="1:16" x14ac:dyDescent="0.25">
      <c r="A128">
        <v>2026</v>
      </c>
      <c r="B128">
        <v>153</v>
      </c>
      <c r="C128" t="s">
        <v>284</v>
      </c>
      <c r="D128" t="s">
        <v>497</v>
      </c>
      <c r="E128" t="s">
        <v>128</v>
      </c>
      <c r="F128" t="s">
        <v>991</v>
      </c>
      <c r="G128">
        <v>3000</v>
      </c>
      <c r="I128">
        <v>25</v>
      </c>
      <c r="J128">
        <v>3025</v>
      </c>
      <c r="K128">
        <v>3740</v>
      </c>
      <c r="L128">
        <v>3935</v>
      </c>
      <c r="M128">
        <v>5400</v>
      </c>
      <c r="N128">
        <v>3625</v>
      </c>
      <c r="O128">
        <v>4215</v>
      </c>
      <c r="P128">
        <v>12860</v>
      </c>
    </row>
    <row r="129" spans="1:16" x14ac:dyDescent="0.25">
      <c r="A129">
        <v>2026</v>
      </c>
      <c r="B129">
        <v>154</v>
      </c>
      <c r="C129" t="s">
        <v>284</v>
      </c>
      <c r="D129" t="s">
        <v>497</v>
      </c>
      <c r="E129" t="s">
        <v>128</v>
      </c>
      <c r="F129">
        <v>25085</v>
      </c>
      <c r="G129">
        <v>3420</v>
      </c>
      <c r="I129">
        <v>25</v>
      </c>
      <c r="J129">
        <v>3445</v>
      </c>
      <c r="K129">
        <v>4260</v>
      </c>
      <c r="L129">
        <v>4480</v>
      </c>
      <c r="M129">
        <v>6100</v>
      </c>
      <c r="N129">
        <v>4125</v>
      </c>
      <c r="O129">
        <v>4795</v>
      </c>
      <c r="P129">
        <v>14640</v>
      </c>
    </row>
    <row r="130" spans="1:16" x14ac:dyDescent="0.25">
      <c r="A130">
        <v>2026</v>
      </c>
      <c r="B130">
        <v>155</v>
      </c>
      <c r="C130" t="s">
        <v>284</v>
      </c>
      <c r="D130" t="s">
        <v>497</v>
      </c>
      <c r="E130" t="s">
        <v>126</v>
      </c>
      <c r="F130" t="s">
        <v>1012</v>
      </c>
      <c r="G130">
        <v>11500</v>
      </c>
      <c r="I130">
        <v>25</v>
      </c>
      <c r="J130">
        <v>11525</v>
      </c>
      <c r="K130">
        <v>14240</v>
      </c>
      <c r="L130">
        <v>14985</v>
      </c>
      <c r="M130">
        <v>20400</v>
      </c>
      <c r="N130">
        <v>13790</v>
      </c>
      <c r="O130">
        <v>16035</v>
      </c>
      <c r="P130">
        <v>48900</v>
      </c>
    </row>
    <row r="131" spans="1:16" x14ac:dyDescent="0.25">
      <c r="A131">
        <v>2026</v>
      </c>
      <c r="B131">
        <v>160</v>
      </c>
      <c r="C131" t="s">
        <v>284</v>
      </c>
      <c r="D131" t="s">
        <v>497</v>
      </c>
      <c r="F131" t="s">
        <v>812</v>
      </c>
      <c r="G131">
        <v>630</v>
      </c>
      <c r="I131">
        <v>60</v>
      </c>
      <c r="J131">
        <v>690</v>
      </c>
      <c r="K131">
        <v>890</v>
      </c>
      <c r="L131">
        <v>935</v>
      </c>
      <c r="M131">
        <v>1100</v>
      </c>
      <c r="N131">
        <v>865</v>
      </c>
      <c r="O131">
        <v>1005</v>
      </c>
      <c r="P131">
        <v>2500</v>
      </c>
    </row>
    <row r="132" spans="1:16" x14ac:dyDescent="0.25">
      <c r="A132">
        <v>2026</v>
      </c>
      <c r="B132">
        <v>161</v>
      </c>
      <c r="C132" t="s">
        <v>284</v>
      </c>
      <c r="D132" t="s">
        <v>497</v>
      </c>
      <c r="E132" t="s">
        <v>169</v>
      </c>
      <c r="F132" t="s">
        <v>813</v>
      </c>
      <c r="G132">
        <v>650</v>
      </c>
      <c r="I132">
        <v>60</v>
      </c>
      <c r="J132">
        <v>710</v>
      </c>
      <c r="K132">
        <v>915</v>
      </c>
      <c r="L132">
        <v>960</v>
      </c>
      <c r="M132">
        <v>1125</v>
      </c>
      <c r="N132">
        <v>885</v>
      </c>
      <c r="O132">
        <v>1030</v>
      </c>
      <c r="P132">
        <v>2580</v>
      </c>
    </row>
    <row r="133" spans="1:16" x14ac:dyDescent="0.25">
      <c r="A133">
        <v>2026</v>
      </c>
      <c r="B133">
        <v>203</v>
      </c>
      <c r="C133" t="s">
        <v>284</v>
      </c>
      <c r="D133" t="s">
        <v>493</v>
      </c>
      <c r="F133" t="s">
        <v>3</v>
      </c>
      <c r="G133">
        <v>205</v>
      </c>
      <c r="I133">
        <v>85</v>
      </c>
      <c r="J133">
        <v>290</v>
      </c>
      <c r="K133">
        <v>380</v>
      </c>
      <c r="L133">
        <v>395</v>
      </c>
      <c r="M133">
        <v>475</v>
      </c>
      <c r="N133">
        <v>365</v>
      </c>
      <c r="O133">
        <v>425</v>
      </c>
      <c r="P133">
        <v>900</v>
      </c>
    </row>
    <row r="134" spans="1:16" x14ac:dyDescent="0.25">
      <c r="A134">
        <v>2026</v>
      </c>
      <c r="B134">
        <v>208</v>
      </c>
      <c r="C134" t="s">
        <v>284</v>
      </c>
      <c r="D134" t="s">
        <v>493</v>
      </c>
      <c r="F134" t="s">
        <v>6</v>
      </c>
      <c r="G134">
        <v>205</v>
      </c>
      <c r="I134">
        <v>160</v>
      </c>
      <c r="J134">
        <v>365</v>
      </c>
      <c r="K134">
        <v>475</v>
      </c>
      <c r="L134">
        <v>495</v>
      </c>
      <c r="M134">
        <v>575</v>
      </c>
      <c r="N134">
        <v>460</v>
      </c>
      <c r="O134">
        <v>530</v>
      </c>
      <c r="P134">
        <v>900</v>
      </c>
    </row>
    <row r="135" spans="1:16" x14ac:dyDescent="0.25">
      <c r="A135">
        <v>2026</v>
      </c>
      <c r="B135">
        <v>215</v>
      </c>
      <c r="C135" t="s">
        <v>284</v>
      </c>
      <c r="D135" t="s">
        <v>493</v>
      </c>
      <c r="F135" t="s">
        <v>32</v>
      </c>
      <c r="G135">
        <v>205</v>
      </c>
      <c r="I135">
        <v>265</v>
      </c>
      <c r="J135">
        <v>470</v>
      </c>
      <c r="K135">
        <v>605</v>
      </c>
      <c r="L135">
        <v>635</v>
      </c>
      <c r="M135">
        <v>750</v>
      </c>
      <c r="N135">
        <v>585</v>
      </c>
      <c r="O135">
        <v>680</v>
      </c>
      <c r="P135">
        <v>900</v>
      </c>
    </row>
    <row r="136" spans="1:16" x14ac:dyDescent="0.25">
      <c r="A136">
        <v>2026</v>
      </c>
      <c r="B136">
        <v>216</v>
      </c>
      <c r="C136" t="s">
        <v>284</v>
      </c>
      <c r="D136" t="s">
        <v>493</v>
      </c>
      <c r="F136" t="s">
        <v>56</v>
      </c>
      <c r="G136">
        <v>205</v>
      </c>
      <c r="I136">
        <v>223</v>
      </c>
      <c r="J136">
        <v>428</v>
      </c>
      <c r="K136">
        <v>555</v>
      </c>
      <c r="L136">
        <v>580</v>
      </c>
      <c r="M136">
        <v>675</v>
      </c>
      <c r="N136">
        <v>535</v>
      </c>
      <c r="O136">
        <v>625</v>
      </c>
      <c r="P136">
        <v>900</v>
      </c>
    </row>
    <row r="137" spans="1:16" x14ac:dyDescent="0.25">
      <c r="A137">
        <v>2025</v>
      </c>
      <c r="B137">
        <v>221</v>
      </c>
      <c r="C137" t="s">
        <v>277</v>
      </c>
      <c r="D137" t="s">
        <v>497</v>
      </c>
      <c r="E137" t="s">
        <v>233</v>
      </c>
      <c r="F137" t="s">
        <v>457</v>
      </c>
      <c r="G137">
        <v>315</v>
      </c>
      <c r="H137">
        <v>-30</v>
      </c>
      <c r="I137">
        <v>25</v>
      </c>
      <c r="J137">
        <v>310</v>
      </c>
      <c r="K137">
        <v>385</v>
      </c>
      <c r="L137">
        <v>405</v>
      </c>
      <c r="M137">
        <v>500</v>
      </c>
      <c r="N137">
        <v>375</v>
      </c>
      <c r="O137">
        <v>435</v>
      </c>
      <c r="P137">
        <v>1310</v>
      </c>
    </row>
    <row r="138" spans="1:16" x14ac:dyDescent="0.25">
      <c r="A138">
        <v>2026</v>
      </c>
      <c r="B138">
        <v>223</v>
      </c>
      <c r="C138" t="s">
        <v>277</v>
      </c>
      <c r="D138" t="s">
        <v>494</v>
      </c>
      <c r="E138" t="s">
        <v>249</v>
      </c>
      <c r="F138" t="s">
        <v>226</v>
      </c>
      <c r="G138">
        <v>215</v>
      </c>
      <c r="I138">
        <v>15</v>
      </c>
      <c r="J138">
        <v>230</v>
      </c>
      <c r="K138">
        <v>280</v>
      </c>
      <c r="L138">
        <v>290</v>
      </c>
      <c r="M138">
        <v>375</v>
      </c>
      <c r="N138">
        <v>270</v>
      </c>
      <c r="O138">
        <v>315</v>
      </c>
      <c r="P138">
        <v>940</v>
      </c>
    </row>
    <row r="139" spans="1:16" x14ac:dyDescent="0.25">
      <c r="A139">
        <v>2026</v>
      </c>
      <c r="B139">
        <v>224</v>
      </c>
      <c r="C139" t="s">
        <v>277</v>
      </c>
      <c r="D139" t="s">
        <v>497</v>
      </c>
      <c r="E139" t="s">
        <v>174</v>
      </c>
      <c r="F139" t="s">
        <v>179</v>
      </c>
      <c r="G139">
        <v>950</v>
      </c>
      <c r="I139">
        <v>25</v>
      </c>
      <c r="J139">
        <v>975</v>
      </c>
      <c r="K139">
        <v>1210</v>
      </c>
      <c r="L139">
        <v>1270</v>
      </c>
      <c r="M139">
        <v>1550</v>
      </c>
      <c r="N139">
        <v>1170</v>
      </c>
      <c r="O139">
        <v>1360</v>
      </c>
      <c r="P139">
        <v>3710</v>
      </c>
    </row>
    <row r="140" spans="1:16" x14ac:dyDescent="0.25">
      <c r="A140">
        <v>2026</v>
      </c>
      <c r="B140">
        <v>225</v>
      </c>
      <c r="C140" t="s">
        <v>277</v>
      </c>
      <c r="D140" t="s">
        <v>497</v>
      </c>
      <c r="E140" t="s">
        <v>233</v>
      </c>
      <c r="F140" t="s">
        <v>57</v>
      </c>
      <c r="G140">
        <v>455</v>
      </c>
      <c r="H140">
        <v>-40</v>
      </c>
      <c r="I140">
        <v>25</v>
      </c>
      <c r="J140">
        <v>440</v>
      </c>
      <c r="K140">
        <v>550</v>
      </c>
      <c r="L140">
        <v>575</v>
      </c>
      <c r="M140">
        <v>700</v>
      </c>
      <c r="N140">
        <v>530</v>
      </c>
      <c r="O140">
        <v>620</v>
      </c>
      <c r="P140">
        <v>1840</v>
      </c>
    </row>
    <row r="141" spans="1:16" x14ac:dyDescent="0.25">
      <c r="A141">
        <v>2026</v>
      </c>
      <c r="B141">
        <v>226</v>
      </c>
      <c r="C141" t="s">
        <v>277</v>
      </c>
      <c r="D141" t="s">
        <v>167</v>
      </c>
      <c r="E141" t="s">
        <v>186</v>
      </c>
      <c r="F141" t="s">
        <v>863</v>
      </c>
      <c r="G141">
        <v>380</v>
      </c>
      <c r="I141">
        <v>25</v>
      </c>
      <c r="J141">
        <v>405</v>
      </c>
      <c r="K141">
        <v>505</v>
      </c>
      <c r="L141">
        <v>530</v>
      </c>
      <c r="M141">
        <v>650</v>
      </c>
      <c r="N141">
        <v>490</v>
      </c>
      <c r="O141">
        <v>570</v>
      </c>
      <c r="P141">
        <v>1560</v>
      </c>
    </row>
    <row r="142" spans="1:16" x14ac:dyDescent="0.25">
      <c r="B142">
        <v>227</v>
      </c>
      <c r="C142" t="s">
        <v>284</v>
      </c>
      <c r="D142" t="s">
        <v>497</v>
      </c>
      <c r="E142" t="s">
        <v>233</v>
      </c>
      <c r="F142" t="s">
        <v>684</v>
      </c>
      <c r="G142">
        <v>355</v>
      </c>
      <c r="I142">
        <v>25</v>
      </c>
      <c r="J142">
        <v>380</v>
      </c>
      <c r="K142">
        <v>475</v>
      </c>
      <c r="L142">
        <v>495</v>
      </c>
      <c r="M142">
        <v>600</v>
      </c>
      <c r="N142">
        <v>460</v>
      </c>
      <c r="O142">
        <v>530</v>
      </c>
      <c r="P142">
        <v>1460</v>
      </c>
    </row>
    <row r="143" spans="1:16" x14ac:dyDescent="0.25">
      <c r="A143">
        <v>2026</v>
      </c>
      <c r="B143">
        <v>228</v>
      </c>
      <c r="C143" t="s">
        <v>277</v>
      </c>
      <c r="D143" t="s">
        <v>494</v>
      </c>
      <c r="E143" t="s">
        <v>872</v>
      </c>
      <c r="F143" t="s">
        <v>889</v>
      </c>
      <c r="G143">
        <v>295</v>
      </c>
      <c r="I143">
        <v>15</v>
      </c>
      <c r="J143">
        <v>310</v>
      </c>
      <c r="K143">
        <v>375</v>
      </c>
      <c r="L143">
        <v>390</v>
      </c>
      <c r="M143">
        <v>500</v>
      </c>
      <c r="N143">
        <v>360</v>
      </c>
      <c r="O143">
        <v>425</v>
      </c>
      <c r="P143">
        <v>1240</v>
      </c>
    </row>
    <row r="144" spans="1:16" x14ac:dyDescent="0.25">
      <c r="B144">
        <v>229</v>
      </c>
      <c r="C144" t="s">
        <v>277</v>
      </c>
      <c r="D144" t="s">
        <v>494</v>
      </c>
      <c r="E144" t="s">
        <v>186</v>
      </c>
      <c r="F144" t="s">
        <v>187</v>
      </c>
      <c r="G144">
        <v>275</v>
      </c>
      <c r="I144">
        <v>15</v>
      </c>
      <c r="J144">
        <v>290</v>
      </c>
      <c r="K144">
        <v>350</v>
      </c>
      <c r="L144">
        <v>365</v>
      </c>
      <c r="M144">
        <v>475</v>
      </c>
      <c r="N144">
        <v>340</v>
      </c>
      <c r="O144">
        <v>395</v>
      </c>
      <c r="P144">
        <v>1160</v>
      </c>
    </row>
    <row r="145" spans="1:16" x14ac:dyDescent="0.25">
      <c r="A145">
        <v>2026</v>
      </c>
      <c r="B145">
        <v>231</v>
      </c>
      <c r="C145" t="s">
        <v>277</v>
      </c>
      <c r="D145" t="s">
        <v>494</v>
      </c>
      <c r="E145" t="s">
        <v>137</v>
      </c>
      <c r="F145" t="s">
        <v>526</v>
      </c>
      <c r="G145">
        <v>225</v>
      </c>
      <c r="I145">
        <v>15</v>
      </c>
      <c r="J145">
        <v>240</v>
      </c>
      <c r="K145">
        <v>285</v>
      </c>
      <c r="L145">
        <v>300</v>
      </c>
      <c r="M145">
        <v>400</v>
      </c>
      <c r="N145">
        <v>280</v>
      </c>
      <c r="O145">
        <v>325</v>
      </c>
      <c r="P145">
        <v>970</v>
      </c>
    </row>
    <row r="146" spans="1:16" x14ac:dyDescent="0.25">
      <c r="A146">
        <v>2026</v>
      </c>
      <c r="B146">
        <v>232</v>
      </c>
      <c r="C146" t="s">
        <v>277</v>
      </c>
      <c r="D146" t="s">
        <v>494</v>
      </c>
      <c r="E146" t="s">
        <v>186</v>
      </c>
      <c r="F146" t="s">
        <v>861</v>
      </c>
      <c r="G146">
        <v>300</v>
      </c>
      <c r="H146">
        <v>10</v>
      </c>
      <c r="I146">
        <v>15</v>
      </c>
      <c r="J146">
        <v>325</v>
      </c>
      <c r="K146">
        <v>390</v>
      </c>
      <c r="L146">
        <v>410</v>
      </c>
      <c r="M146">
        <v>525</v>
      </c>
      <c r="N146">
        <v>380</v>
      </c>
      <c r="O146">
        <v>440</v>
      </c>
      <c r="P146">
        <v>1260</v>
      </c>
    </row>
    <row r="147" spans="1:16" x14ac:dyDescent="0.25">
      <c r="A147">
        <v>2025</v>
      </c>
      <c r="B147">
        <v>233</v>
      </c>
      <c r="C147" t="s">
        <v>277</v>
      </c>
      <c r="D147" t="s">
        <v>494</v>
      </c>
      <c r="E147" t="s">
        <v>186</v>
      </c>
      <c r="F147" t="s">
        <v>430</v>
      </c>
      <c r="G147">
        <v>290</v>
      </c>
      <c r="H147">
        <v>10</v>
      </c>
      <c r="I147">
        <v>15</v>
      </c>
      <c r="J147">
        <v>315</v>
      </c>
      <c r="K147">
        <v>380</v>
      </c>
      <c r="L147">
        <v>395</v>
      </c>
      <c r="M147">
        <v>500</v>
      </c>
      <c r="N147">
        <v>365</v>
      </c>
      <c r="O147">
        <v>425</v>
      </c>
      <c r="P147">
        <v>1220</v>
      </c>
    </row>
    <row r="148" spans="1:16" x14ac:dyDescent="0.25">
      <c r="A148">
        <v>2026</v>
      </c>
      <c r="B148">
        <v>234</v>
      </c>
      <c r="C148" t="s">
        <v>277</v>
      </c>
      <c r="D148" t="s">
        <v>494</v>
      </c>
      <c r="E148" t="s">
        <v>872</v>
      </c>
      <c r="F148" t="s">
        <v>873</v>
      </c>
      <c r="G148">
        <v>210</v>
      </c>
      <c r="I148">
        <v>20</v>
      </c>
      <c r="J148">
        <v>230</v>
      </c>
      <c r="K148">
        <v>280</v>
      </c>
      <c r="L148">
        <v>290</v>
      </c>
      <c r="M148">
        <v>375</v>
      </c>
      <c r="N148">
        <v>270</v>
      </c>
      <c r="O148">
        <v>315</v>
      </c>
      <c r="P148">
        <v>920</v>
      </c>
    </row>
    <row r="149" spans="1:16" x14ac:dyDescent="0.25">
      <c r="B149">
        <v>235</v>
      </c>
      <c r="C149" t="s">
        <v>277</v>
      </c>
      <c r="D149" t="s">
        <v>494</v>
      </c>
      <c r="E149" t="s">
        <v>186</v>
      </c>
      <c r="F149" t="s">
        <v>188</v>
      </c>
      <c r="G149">
        <v>275</v>
      </c>
      <c r="I149">
        <v>15</v>
      </c>
      <c r="J149">
        <v>290</v>
      </c>
      <c r="K149">
        <v>350</v>
      </c>
      <c r="L149">
        <v>365</v>
      </c>
      <c r="M149">
        <v>475</v>
      </c>
      <c r="N149">
        <v>340</v>
      </c>
      <c r="O149">
        <v>395</v>
      </c>
      <c r="P149">
        <v>1160</v>
      </c>
    </row>
    <row r="150" spans="1:16" x14ac:dyDescent="0.25">
      <c r="B150">
        <v>236</v>
      </c>
      <c r="C150" t="s">
        <v>277</v>
      </c>
      <c r="D150" t="s">
        <v>497</v>
      </c>
      <c r="E150" t="s">
        <v>227</v>
      </c>
      <c r="F150" t="s">
        <v>232</v>
      </c>
      <c r="G150">
        <v>250</v>
      </c>
      <c r="I150">
        <v>25</v>
      </c>
      <c r="J150">
        <v>275</v>
      </c>
      <c r="K150">
        <v>345</v>
      </c>
      <c r="L150">
        <v>360</v>
      </c>
      <c r="M150">
        <v>450</v>
      </c>
      <c r="N150">
        <v>335</v>
      </c>
      <c r="O150">
        <v>390</v>
      </c>
      <c r="P150">
        <v>1070</v>
      </c>
    </row>
    <row r="151" spans="1:16" x14ac:dyDescent="0.25">
      <c r="A151">
        <v>2025</v>
      </c>
      <c r="B151">
        <v>238</v>
      </c>
      <c r="C151" t="s">
        <v>277</v>
      </c>
      <c r="D151" t="s">
        <v>494</v>
      </c>
      <c r="E151" t="s">
        <v>251</v>
      </c>
      <c r="F151" t="s">
        <v>550</v>
      </c>
      <c r="G151">
        <v>198</v>
      </c>
      <c r="H151">
        <v>5</v>
      </c>
      <c r="I151">
        <v>25</v>
      </c>
      <c r="J151">
        <v>228</v>
      </c>
      <c r="K151">
        <v>275</v>
      </c>
      <c r="L151">
        <v>285</v>
      </c>
      <c r="M151">
        <v>375</v>
      </c>
      <c r="N151">
        <v>265</v>
      </c>
      <c r="O151">
        <v>305</v>
      </c>
      <c r="P151">
        <v>870</v>
      </c>
    </row>
    <row r="152" spans="1:16" x14ac:dyDescent="0.25">
      <c r="A152">
        <v>2025</v>
      </c>
      <c r="B152">
        <v>239</v>
      </c>
      <c r="C152" t="s">
        <v>277</v>
      </c>
      <c r="D152" t="s">
        <v>497</v>
      </c>
      <c r="E152" t="s">
        <v>233</v>
      </c>
      <c r="F152" t="s">
        <v>234</v>
      </c>
      <c r="G152">
        <v>465</v>
      </c>
      <c r="H152">
        <v>-45</v>
      </c>
      <c r="I152">
        <v>25</v>
      </c>
      <c r="J152">
        <v>445</v>
      </c>
      <c r="K152">
        <v>555</v>
      </c>
      <c r="L152">
        <v>580</v>
      </c>
      <c r="M152">
        <v>725</v>
      </c>
      <c r="N152">
        <v>535</v>
      </c>
      <c r="O152">
        <v>625</v>
      </c>
      <c r="P152">
        <v>1880</v>
      </c>
    </row>
    <row r="153" spans="1:16" x14ac:dyDescent="0.25">
      <c r="A153">
        <v>2025</v>
      </c>
      <c r="B153">
        <v>240</v>
      </c>
      <c r="C153" t="s">
        <v>277</v>
      </c>
      <c r="D153" t="s">
        <v>498</v>
      </c>
      <c r="E153" t="s">
        <v>241</v>
      </c>
      <c r="F153" t="s">
        <v>157</v>
      </c>
      <c r="G153">
        <v>100</v>
      </c>
      <c r="I153">
        <v>10</v>
      </c>
      <c r="J153">
        <v>110</v>
      </c>
      <c r="K153">
        <v>135</v>
      </c>
      <c r="L153">
        <v>140</v>
      </c>
      <c r="M153">
        <v>175</v>
      </c>
      <c r="N153">
        <v>130</v>
      </c>
      <c r="O153">
        <v>150</v>
      </c>
      <c r="P153">
        <v>500</v>
      </c>
    </row>
    <row r="154" spans="1:16" x14ac:dyDescent="0.25">
      <c r="A154">
        <v>2026</v>
      </c>
      <c r="B154">
        <v>242</v>
      </c>
      <c r="C154" t="s">
        <v>284</v>
      </c>
      <c r="D154" t="s">
        <v>498</v>
      </c>
      <c r="E154" t="s">
        <v>879</v>
      </c>
      <c r="F154" t="s">
        <v>880</v>
      </c>
      <c r="G154">
        <v>120</v>
      </c>
      <c r="I154">
        <v>10</v>
      </c>
      <c r="J154">
        <v>130</v>
      </c>
      <c r="K154">
        <v>160</v>
      </c>
      <c r="L154">
        <v>165</v>
      </c>
      <c r="M154">
        <v>225</v>
      </c>
      <c r="N154">
        <v>155</v>
      </c>
      <c r="O154">
        <v>180</v>
      </c>
      <c r="P154">
        <v>580</v>
      </c>
    </row>
    <row r="155" spans="1:16" x14ac:dyDescent="0.25">
      <c r="A155">
        <v>2025</v>
      </c>
      <c r="B155">
        <v>244</v>
      </c>
      <c r="C155" t="s">
        <v>284</v>
      </c>
      <c r="D155" t="s">
        <v>538</v>
      </c>
      <c r="F155" t="s">
        <v>30</v>
      </c>
      <c r="G155">
        <v>310</v>
      </c>
      <c r="I155">
        <v>15</v>
      </c>
      <c r="J155">
        <v>325</v>
      </c>
      <c r="K155">
        <v>390</v>
      </c>
      <c r="L155">
        <v>410</v>
      </c>
      <c r="M155">
        <v>525</v>
      </c>
      <c r="N155">
        <v>380</v>
      </c>
      <c r="O155">
        <v>440</v>
      </c>
      <c r="P155">
        <v>1300</v>
      </c>
    </row>
    <row r="156" spans="1:16" x14ac:dyDescent="0.25">
      <c r="A156">
        <v>2026</v>
      </c>
      <c r="B156">
        <v>245</v>
      </c>
      <c r="C156" t="s">
        <v>277</v>
      </c>
      <c r="D156" t="s">
        <v>494</v>
      </c>
      <c r="E156" t="s">
        <v>480</v>
      </c>
      <c r="F156" t="s">
        <v>481</v>
      </c>
      <c r="G156">
        <v>210</v>
      </c>
      <c r="I156">
        <v>35</v>
      </c>
      <c r="J156">
        <v>245</v>
      </c>
      <c r="K156">
        <v>295</v>
      </c>
      <c r="L156">
        <v>310</v>
      </c>
      <c r="M156">
        <v>400</v>
      </c>
      <c r="N156">
        <v>290</v>
      </c>
      <c r="O156">
        <v>335</v>
      </c>
      <c r="P156">
        <v>920</v>
      </c>
    </row>
    <row r="157" spans="1:16" x14ac:dyDescent="0.25">
      <c r="A157">
        <v>2025</v>
      </c>
      <c r="B157">
        <v>246</v>
      </c>
      <c r="C157" t="s">
        <v>277</v>
      </c>
      <c r="D157" t="s">
        <v>167</v>
      </c>
      <c r="E157" t="s">
        <v>342</v>
      </c>
      <c r="F157" t="s">
        <v>522</v>
      </c>
      <c r="G157">
        <v>227</v>
      </c>
      <c r="I157">
        <v>15</v>
      </c>
      <c r="J157">
        <v>242</v>
      </c>
      <c r="K157">
        <v>290</v>
      </c>
      <c r="L157">
        <v>305</v>
      </c>
      <c r="M157">
        <v>400</v>
      </c>
      <c r="N157">
        <v>285</v>
      </c>
      <c r="O157">
        <v>330</v>
      </c>
      <c r="P157">
        <v>980</v>
      </c>
    </row>
    <row r="158" spans="1:16" x14ac:dyDescent="0.25">
      <c r="A158">
        <v>2026</v>
      </c>
      <c r="B158">
        <v>249</v>
      </c>
      <c r="C158" t="s">
        <v>277</v>
      </c>
      <c r="D158" t="s">
        <v>494</v>
      </c>
      <c r="E158" t="s">
        <v>921</v>
      </c>
      <c r="F158" t="s">
        <v>922</v>
      </c>
      <c r="G158">
        <v>220</v>
      </c>
      <c r="H158">
        <v>10</v>
      </c>
      <c r="I158">
        <v>18</v>
      </c>
      <c r="J158">
        <v>248</v>
      </c>
      <c r="K158">
        <v>295</v>
      </c>
      <c r="L158">
        <v>310</v>
      </c>
      <c r="M158">
        <v>400</v>
      </c>
      <c r="N158">
        <v>290</v>
      </c>
      <c r="O158">
        <v>335</v>
      </c>
      <c r="P158">
        <v>960</v>
      </c>
    </row>
    <row r="159" spans="1:16" x14ac:dyDescent="0.25">
      <c r="A159">
        <v>2026</v>
      </c>
      <c r="B159">
        <v>250</v>
      </c>
      <c r="C159" t="s">
        <v>277</v>
      </c>
      <c r="D159" t="s">
        <v>497</v>
      </c>
      <c r="F159" t="s">
        <v>44</v>
      </c>
      <c r="G159">
        <v>355</v>
      </c>
      <c r="I159">
        <v>25</v>
      </c>
      <c r="J159">
        <v>380</v>
      </c>
      <c r="K159">
        <v>475</v>
      </c>
      <c r="L159">
        <v>495</v>
      </c>
      <c r="M159">
        <v>600</v>
      </c>
      <c r="N159">
        <v>460</v>
      </c>
      <c r="O159">
        <v>530</v>
      </c>
      <c r="P159">
        <v>1460</v>
      </c>
    </row>
    <row r="160" spans="1:16" x14ac:dyDescent="0.25">
      <c r="A160">
        <v>2026</v>
      </c>
      <c r="B160">
        <v>252</v>
      </c>
      <c r="C160" t="s">
        <v>277</v>
      </c>
      <c r="D160" t="s">
        <v>497</v>
      </c>
      <c r="E160" t="s">
        <v>84</v>
      </c>
      <c r="F160" t="s">
        <v>94</v>
      </c>
      <c r="G160">
        <v>475</v>
      </c>
      <c r="I160">
        <v>25</v>
      </c>
      <c r="J160">
        <v>500</v>
      </c>
      <c r="K160">
        <v>620</v>
      </c>
      <c r="L160">
        <v>650</v>
      </c>
      <c r="M160">
        <v>800</v>
      </c>
      <c r="N160">
        <v>600</v>
      </c>
      <c r="O160">
        <v>700</v>
      </c>
      <c r="P160">
        <v>1920</v>
      </c>
    </row>
    <row r="161" spans="1:16" x14ac:dyDescent="0.25">
      <c r="A161">
        <v>2026</v>
      </c>
      <c r="B161">
        <v>253</v>
      </c>
      <c r="C161" t="s">
        <v>277</v>
      </c>
      <c r="D161" t="s">
        <v>497</v>
      </c>
      <c r="E161" t="s">
        <v>84</v>
      </c>
      <c r="F161" t="s">
        <v>27</v>
      </c>
      <c r="G161">
        <v>330</v>
      </c>
      <c r="I161">
        <v>25</v>
      </c>
      <c r="J161">
        <v>355</v>
      </c>
      <c r="K161">
        <v>445</v>
      </c>
      <c r="L161">
        <v>465</v>
      </c>
      <c r="M161">
        <v>575</v>
      </c>
      <c r="N161">
        <v>430</v>
      </c>
      <c r="O161">
        <v>500</v>
      </c>
      <c r="P161">
        <v>1370</v>
      </c>
    </row>
    <row r="162" spans="1:16" x14ac:dyDescent="0.25">
      <c r="B162">
        <v>254</v>
      </c>
      <c r="C162" t="s">
        <v>277</v>
      </c>
      <c r="D162" t="s">
        <v>497</v>
      </c>
      <c r="E162" t="s">
        <v>227</v>
      </c>
      <c r="F162" t="s">
        <v>231</v>
      </c>
      <c r="G162">
        <v>260</v>
      </c>
      <c r="I162">
        <v>25</v>
      </c>
      <c r="J162">
        <v>285</v>
      </c>
      <c r="K162">
        <v>360</v>
      </c>
      <c r="L162">
        <v>375</v>
      </c>
      <c r="M162">
        <v>450</v>
      </c>
      <c r="N162">
        <v>345</v>
      </c>
      <c r="O162">
        <v>405</v>
      </c>
      <c r="P162">
        <v>1110</v>
      </c>
    </row>
    <row r="163" spans="1:16" x14ac:dyDescent="0.25">
      <c r="B163">
        <v>255</v>
      </c>
      <c r="C163" t="s">
        <v>277</v>
      </c>
      <c r="D163" t="s">
        <v>497</v>
      </c>
      <c r="E163" t="s">
        <v>135</v>
      </c>
      <c r="F163" t="s">
        <v>185</v>
      </c>
      <c r="G163">
        <v>725</v>
      </c>
      <c r="I163">
        <v>25</v>
      </c>
      <c r="J163">
        <v>750</v>
      </c>
      <c r="K163">
        <v>930</v>
      </c>
      <c r="L163">
        <v>975</v>
      </c>
      <c r="M163">
        <v>1200</v>
      </c>
      <c r="N163">
        <v>900</v>
      </c>
      <c r="O163">
        <v>1045</v>
      </c>
      <c r="P163">
        <v>2860</v>
      </c>
    </row>
    <row r="164" spans="1:16" x14ac:dyDescent="0.25">
      <c r="B164">
        <v>256</v>
      </c>
      <c r="C164" t="s">
        <v>277</v>
      </c>
      <c r="D164" t="s">
        <v>497</v>
      </c>
      <c r="E164" t="s">
        <v>233</v>
      </c>
      <c r="F164" t="s">
        <v>37</v>
      </c>
      <c r="G164">
        <v>565</v>
      </c>
      <c r="I164">
        <v>25</v>
      </c>
      <c r="J164">
        <v>590</v>
      </c>
      <c r="K164">
        <v>735</v>
      </c>
      <c r="L164">
        <v>770</v>
      </c>
      <c r="M164">
        <v>950</v>
      </c>
      <c r="N164">
        <v>710</v>
      </c>
      <c r="O164">
        <v>825</v>
      </c>
      <c r="P164">
        <v>2260</v>
      </c>
    </row>
    <row r="165" spans="1:16" x14ac:dyDescent="0.25">
      <c r="A165">
        <v>2026</v>
      </c>
      <c r="B165">
        <v>257</v>
      </c>
      <c r="C165" t="s">
        <v>277</v>
      </c>
      <c r="D165" t="s">
        <v>497</v>
      </c>
      <c r="E165" t="s">
        <v>233</v>
      </c>
      <c r="F165" t="s">
        <v>28</v>
      </c>
      <c r="G165">
        <v>475</v>
      </c>
      <c r="H165">
        <v>-45</v>
      </c>
      <c r="I165">
        <v>30</v>
      </c>
      <c r="J165">
        <v>460</v>
      </c>
      <c r="K165">
        <v>570</v>
      </c>
      <c r="L165">
        <v>600</v>
      </c>
      <c r="M165">
        <v>725</v>
      </c>
      <c r="N165">
        <v>555</v>
      </c>
      <c r="O165">
        <v>645</v>
      </c>
      <c r="P165">
        <v>1920</v>
      </c>
    </row>
    <row r="166" spans="1:16" x14ac:dyDescent="0.25">
      <c r="B166">
        <v>258</v>
      </c>
      <c r="C166" t="s">
        <v>277</v>
      </c>
      <c r="D166" t="s">
        <v>497</v>
      </c>
      <c r="E166" t="s">
        <v>80</v>
      </c>
      <c r="F166" t="s">
        <v>66</v>
      </c>
      <c r="G166">
        <v>485</v>
      </c>
      <c r="I166">
        <v>25</v>
      </c>
      <c r="J166">
        <v>510</v>
      </c>
      <c r="K166">
        <v>635</v>
      </c>
      <c r="L166">
        <v>665</v>
      </c>
      <c r="M166">
        <v>825</v>
      </c>
      <c r="N166">
        <v>615</v>
      </c>
      <c r="O166">
        <v>715</v>
      </c>
      <c r="P166">
        <v>1960</v>
      </c>
    </row>
    <row r="167" spans="1:16" x14ac:dyDescent="0.25">
      <c r="A167">
        <v>2026</v>
      </c>
      <c r="B167">
        <v>259</v>
      </c>
      <c r="C167" t="s">
        <v>277</v>
      </c>
      <c r="D167" t="s">
        <v>497</v>
      </c>
      <c r="E167" t="s">
        <v>80</v>
      </c>
      <c r="F167" t="s">
        <v>95</v>
      </c>
      <c r="G167">
        <v>575</v>
      </c>
      <c r="I167">
        <v>25</v>
      </c>
      <c r="J167">
        <v>600</v>
      </c>
      <c r="K167">
        <v>745</v>
      </c>
      <c r="L167">
        <v>780</v>
      </c>
      <c r="M167">
        <v>950</v>
      </c>
      <c r="N167">
        <v>720</v>
      </c>
      <c r="O167">
        <v>835</v>
      </c>
      <c r="P167">
        <v>2290</v>
      </c>
    </row>
    <row r="168" spans="1:16" x14ac:dyDescent="0.25">
      <c r="A168">
        <v>2026</v>
      </c>
      <c r="B168">
        <v>260</v>
      </c>
      <c r="C168" t="s">
        <v>277</v>
      </c>
      <c r="D168" t="s">
        <v>497</v>
      </c>
      <c r="E168" t="s">
        <v>80</v>
      </c>
      <c r="F168" t="s">
        <v>961</v>
      </c>
      <c r="G168">
        <v>450</v>
      </c>
      <c r="I168">
        <v>25</v>
      </c>
      <c r="J168">
        <v>475</v>
      </c>
      <c r="K168">
        <v>590</v>
      </c>
      <c r="L168">
        <v>620</v>
      </c>
      <c r="M168">
        <v>750</v>
      </c>
      <c r="N168">
        <v>575</v>
      </c>
      <c r="O168">
        <v>665</v>
      </c>
      <c r="P168">
        <v>1820</v>
      </c>
    </row>
    <row r="169" spans="1:16" x14ac:dyDescent="0.25">
      <c r="A169">
        <v>2026</v>
      </c>
      <c r="B169">
        <v>261</v>
      </c>
      <c r="C169" t="s">
        <v>277</v>
      </c>
      <c r="D169" t="s">
        <v>497</v>
      </c>
      <c r="E169" t="s">
        <v>84</v>
      </c>
      <c r="F169" t="s">
        <v>122</v>
      </c>
      <c r="G169">
        <v>560</v>
      </c>
      <c r="I169">
        <v>25</v>
      </c>
      <c r="J169">
        <v>585</v>
      </c>
      <c r="K169">
        <v>730</v>
      </c>
      <c r="L169">
        <v>765</v>
      </c>
      <c r="M169">
        <v>925</v>
      </c>
      <c r="N169">
        <v>705</v>
      </c>
      <c r="O169">
        <v>820</v>
      </c>
      <c r="P169">
        <v>2240</v>
      </c>
    </row>
    <row r="170" spans="1:16" x14ac:dyDescent="0.25">
      <c r="A170">
        <v>2025</v>
      </c>
      <c r="B170">
        <v>262</v>
      </c>
      <c r="C170" t="s">
        <v>277</v>
      </c>
      <c r="D170" t="s">
        <v>497</v>
      </c>
      <c r="E170" t="s">
        <v>233</v>
      </c>
      <c r="F170" t="s">
        <v>458</v>
      </c>
      <c r="G170">
        <v>595</v>
      </c>
      <c r="H170">
        <v>-60</v>
      </c>
      <c r="I170">
        <v>25</v>
      </c>
      <c r="J170">
        <v>560</v>
      </c>
      <c r="K170">
        <v>695</v>
      </c>
      <c r="L170">
        <v>730</v>
      </c>
      <c r="M170">
        <v>900</v>
      </c>
      <c r="N170">
        <v>675</v>
      </c>
      <c r="O170">
        <v>785</v>
      </c>
      <c r="P170">
        <v>2370</v>
      </c>
    </row>
    <row r="171" spans="1:16" x14ac:dyDescent="0.25">
      <c r="B171">
        <v>263</v>
      </c>
      <c r="C171" t="s">
        <v>277</v>
      </c>
      <c r="D171" t="s">
        <v>497</v>
      </c>
      <c r="E171" t="s">
        <v>135</v>
      </c>
      <c r="F171" t="s">
        <v>183</v>
      </c>
      <c r="G171">
        <v>635</v>
      </c>
      <c r="I171">
        <v>25</v>
      </c>
      <c r="J171">
        <v>660</v>
      </c>
      <c r="K171">
        <v>820</v>
      </c>
      <c r="L171">
        <v>860</v>
      </c>
      <c r="M171">
        <v>1050</v>
      </c>
      <c r="N171">
        <v>795</v>
      </c>
      <c r="O171">
        <v>925</v>
      </c>
      <c r="P171">
        <v>2520</v>
      </c>
    </row>
    <row r="172" spans="1:16" x14ac:dyDescent="0.25">
      <c r="A172">
        <v>2026</v>
      </c>
      <c r="B172">
        <v>264</v>
      </c>
      <c r="C172" t="s">
        <v>277</v>
      </c>
      <c r="D172" t="s">
        <v>497</v>
      </c>
      <c r="E172" t="s">
        <v>84</v>
      </c>
      <c r="F172" t="s">
        <v>962</v>
      </c>
      <c r="G172">
        <v>475</v>
      </c>
      <c r="I172">
        <v>25</v>
      </c>
      <c r="J172">
        <v>500</v>
      </c>
      <c r="K172">
        <v>620</v>
      </c>
      <c r="L172">
        <v>650</v>
      </c>
      <c r="M172">
        <v>800</v>
      </c>
      <c r="N172">
        <v>600</v>
      </c>
      <c r="O172">
        <v>700</v>
      </c>
      <c r="P172">
        <v>1920</v>
      </c>
    </row>
    <row r="173" spans="1:16" x14ac:dyDescent="0.25">
      <c r="B173">
        <v>266</v>
      </c>
      <c r="C173" t="s">
        <v>277</v>
      </c>
      <c r="D173" t="s">
        <v>497</v>
      </c>
      <c r="E173" t="s">
        <v>135</v>
      </c>
      <c r="F173" t="s">
        <v>181</v>
      </c>
      <c r="G173">
        <v>595</v>
      </c>
      <c r="I173">
        <v>25</v>
      </c>
      <c r="J173">
        <v>620</v>
      </c>
      <c r="K173">
        <v>770</v>
      </c>
      <c r="L173">
        <v>810</v>
      </c>
      <c r="M173">
        <v>1000</v>
      </c>
      <c r="N173">
        <v>750</v>
      </c>
      <c r="O173">
        <v>870</v>
      </c>
      <c r="P173">
        <v>2370</v>
      </c>
    </row>
    <row r="174" spans="1:16" x14ac:dyDescent="0.25">
      <c r="B174">
        <v>267</v>
      </c>
      <c r="C174" t="s">
        <v>277</v>
      </c>
      <c r="D174" t="s">
        <v>497</v>
      </c>
      <c r="E174" t="s">
        <v>135</v>
      </c>
      <c r="F174" t="s">
        <v>184</v>
      </c>
      <c r="G174">
        <v>550</v>
      </c>
      <c r="I174">
        <v>25</v>
      </c>
      <c r="J174">
        <v>575</v>
      </c>
      <c r="K174">
        <v>715</v>
      </c>
      <c r="L174">
        <v>750</v>
      </c>
      <c r="M174">
        <v>925</v>
      </c>
      <c r="N174">
        <v>690</v>
      </c>
      <c r="O174">
        <v>805</v>
      </c>
      <c r="P174">
        <v>2200</v>
      </c>
    </row>
    <row r="175" spans="1:16" x14ac:dyDescent="0.25">
      <c r="A175">
        <v>2026</v>
      </c>
      <c r="B175">
        <v>269</v>
      </c>
      <c r="C175" t="s">
        <v>277</v>
      </c>
      <c r="D175" t="s">
        <v>494</v>
      </c>
      <c r="E175" t="s">
        <v>186</v>
      </c>
      <c r="F175" t="s">
        <v>862</v>
      </c>
      <c r="G175">
        <v>245</v>
      </c>
      <c r="H175">
        <v>5</v>
      </c>
      <c r="I175">
        <v>15</v>
      </c>
      <c r="J175">
        <v>265</v>
      </c>
      <c r="K175">
        <v>320</v>
      </c>
      <c r="L175">
        <v>335</v>
      </c>
      <c r="M175">
        <v>425</v>
      </c>
      <c r="N175">
        <v>310</v>
      </c>
      <c r="O175">
        <v>360</v>
      </c>
      <c r="P175">
        <v>1050</v>
      </c>
    </row>
    <row r="176" spans="1:16" x14ac:dyDescent="0.25">
      <c r="A176">
        <v>2025</v>
      </c>
      <c r="B176">
        <v>271</v>
      </c>
      <c r="C176" t="s">
        <v>277</v>
      </c>
      <c r="D176" t="s">
        <v>494</v>
      </c>
      <c r="E176" t="s">
        <v>186</v>
      </c>
      <c r="F176" t="s">
        <v>454</v>
      </c>
      <c r="G176">
        <v>290</v>
      </c>
      <c r="H176">
        <v>10</v>
      </c>
      <c r="I176">
        <v>15</v>
      </c>
      <c r="J176">
        <v>315</v>
      </c>
      <c r="K176">
        <v>380</v>
      </c>
      <c r="L176">
        <v>395</v>
      </c>
      <c r="M176">
        <v>500</v>
      </c>
      <c r="N176">
        <v>365</v>
      </c>
      <c r="O176">
        <v>425</v>
      </c>
      <c r="P176">
        <v>1220</v>
      </c>
    </row>
    <row r="177" spans="1:16" x14ac:dyDescent="0.25">
      <c r="A177">
        <v>2025</v>
      </c>
      <c r="B177">
        <v>272</v>
      </c>
      <c r="C177" t="s">
        <v>277</v>
      </c>
      <c r="D177" t="s">
        <v>494</v>
      </c>
      <c r="E177" t="s">
        <v>186</v>
      </c>
      <c r="F177" t="s">
        <v>455</v>
      </c>
      <c r="G177">
        <v>290</v>
      </c>
      <c r="H177">
        <v>10</v>
      </c>
      <c r="I177">
        <v>15</v>
      </c>
      <c r="J177">
        <v>315</v>
      </c>
      <c r="K177">
        <v>380</v>
      </c>
      <c r="L177">
        <v>395</v>
      </c>
      <c r="M177">
        <v>500</v>
      </c>
      <c r="N177">
        <v>365</v>
      </c>
      <c r="O177">
        <v>425</v>
      </c>
      <c r="P177">
        <v>1220</v>
      </c>
    </row>
    <row r="178" spans="1:16" x14ac:dyDescent="0.25">
      <c r="B178">
        <v>273</v>
      </c>
      <c r="C178" t="s">
        <v>277</v>
      </c>
      <c r="D178" t="s">
        <v>494</v>
      </c>
      <c r="E178" t="s">
        <v>138</v>
      </c>
      <c r="F178" t="s">
        <v>154</v>
      </c>
      <c r="G178">
        <v>70</v>
      </c>
      <c r="I178">
        <v>10</v>
      </c>
      <c r="J178">
        <v>80</v>
      </c>
      <c r="K178">
        <v>95</v>
      </c>
      <c r="L178">
        <v>100</v>
      </c>
      <c r="M178">
        <v>150</v>
      </c>
      <c r="N178">
        <v>95</v>
      </c>
      <c r="O178">
        <v>110</v>
      </c>
      <c r="P178">
        <v>390</v>
      </c>
    </row>
    <row r="179" spans="1:16" x14ac:dyDescent="0.25">
      <c r="B179">
        <v>274</v>
      </c>
      <c r="C179" t="s">
        <v>277</v>
      </c>
      <c r="D179" t="s">
        <v>494</v>
      </c>
      <c r="E179" t="s">
        <v>138</v>
      </c>
      <c r="F179" t="s">
        <v>742</v>
      </c>
      <c r="G179">
        <v>100</v>
      </c>
      <c r="I179">
        <v>10</v>
      </c>
      <c r="J179">
        <v>110</v>
      </c>
      <c r="K179">
        <v>135</v>
      </c>
      <c r="L179">
        <v>140</v>
      </c>
      <c r="M179">
        <v>175</v>
      </c>
      <c r="N179">
        <v>130</v>
      </c>
      <c r="O179">
        <v>150</v>
      </c>
      <c r="P179">
        <v>500</v>
      </c>
    </row>
    <row r="180" spans="1:16" x14ac:dyDescent="0.25">
      <c r="A180">
        <v>2026</v>
      </c>
      <c r="B180">
        <v>280</v>
      </c>
      <c r="C180" t="s">
        <v>277</v>
      </c>
      <c r="D180" t="s">
        <v>494</v>
      </c>
      <c r="E180" t="s">
        <v>129</v>
      </c>
      <c r="F180" t="s">
        <v>130</v>
      </c>
      <c r="G180">
        <v>70</v>
      </c>
      <c r="I180">
        <v>5</v>
      </c>
      <c r="J180">
        <v>75</v>
      </c>
      <c r="K180">
        <v>95</v>
      </c>
      <c r="L180">
        <v>95</v>
      </c>
      <c r="M180">
        <v>125</v>
      </c>
      <c r="N180">
        <v>90</v>
      </c>
      <c r="O180">
        <v>105</v>
      </c>
      <c r="P180">
        <v>390</v>
      </c>
    </row>
    <row r="181" spans="1:16" x14ac:dyDescent="0.25">
      <c r="A181">
        <v>2026</v>
      </c>
      <c r="B181">
        <v>281</v>
      </c>
      <c r="C181" t="s">
        <v>277</v>
      </c>
      <c r="D181" t="s">
        <v>494</v>
      </c>
      <c r="E181" t="s">
        <v>129</v>
      </c>
      <c r="F181" t="s">
        <v>795</v>
      </c>
      <c r="G181">
        <v>120</v>
      </c>
      <c r="I181">
        <v>10</v>
      </c>
      <c r="J181">
        <v>130</v>
      </c>
      <c r="K181">
        <v>160</v>
      </c>
      <c r="L181">
        <v>165</v>
      </c>
      <c r="M181">
        <v>225</v>
      </c>
      <c r="N181">
        <v>155</v>
      </c>
      <c r="O181">
        <v>180</v>
      </c>
      <c r="P181">
        <v>580</v>
      </c>
    </row>
    <row r="182" spans="1:16" x14ac:dyDescent="0.25">
      <c r="A182">
        <v>2026</v>
      </c>
      <c r="B182">
        <v>284</v>
      </c>
      <c r="C182" t="s">
        <v>277</v>
      </c>
      <c r="D182" t="s">
        <v>494</v>
      </c>
      <c r="E182" t="s">
        <v>138</v>
      </c>
      <c r="F182" t="s">
        <v>740</v>
      </c>
      <c r="G182">
        <v>90</v>
      </c>
      <c r="I182">
        <v>10</v>
      </c>
      <c r="J182">
        <v>100</v>
      </c>
      <c r="K182">
        <v>120</v>
      </c>
      <c r="L182">
        <v>125</v>
      </c>
      <c r="M182">
        <v>175</v>
      </c>
      <c r="N182">
        <v>115</v>
      </c>
      <c r="O182">
        <v>135</v>
      </c>
      <c r="P182">
        <v>470</v>
      </c>
    </row>
    <row r="183" spans="1:16" x14ac:dyDescent="0.25">
      <c r="A183">
        <v>2026</v>
      </c>
      <c r="B183">
        <v>286</v>
      </c>
      <c r="C183" t="s">
        <v>277</v>
      </c>
      <c r="D183" t="s">
        <v>494</v>
      </c>
      <c r="E183" t="s">
        <v>138</v>
      </c>
      <c r="F183" t="s">
        <v>741</v>
      </c>
      <c r="G183">
        <v>150</v>
      </c>
      <c r="I183">
        <v>10</v>
      </c>
      <c r="J183">
        <v>160</v>
      </c>
      <c r="K183">
        <v>190</v>
      </c>
      <c r="L183">
        <v>200</v>
      </c>
      <c r="M183">
        <v>275</v>
      </c>
      <c r="N183">
        <v>185</v>
      </c>
      <c r="O183">
        <v>215</v>
      </c>
      <c r="P183">
        <v>690</v>
      </c>
    </row>
    <row r="184" spans="1:16" x14ac:dyDescent="0.25">
      <c r="A184">
        <v>2025</v>
      </c>
      <c r="B184">
        <v>288</v>
      </c>
      <c r="C184" t="s">
        <v>277</v>
      </c>
      <c r="D184" t="s">
        <v>494</v>
      </c>
      <c r="E184" t="s">
        <v>129</v>
      </c>
      <c r="F184" t="s">
        <v>452</v>
      </c>
      <c r="G184">
        <v>105</v>
      </c>
      <c r="I184">
        <v>10</v>
      </c>
      <c r="J184">
        <v>115</v>
      </c>
      <c r="K184">
        <v>140</v>
      </c>
      <c r="L184">
        <v>145</v>
      </c>
      <c r="M184">
        <v>200</v>
      </c>
      <c r="N184">
        <v>135</v>
      </c>
      <c r="O184">
        <v>160</v>
      </c>
      <c r="P184">
        <v>520</v>
      </c>
    </row>
    <row r="185" spans="1:16" x14ac:dyDescent="0.25">
      <c r="A185">
        <v>2026</v>
      </c>
      <c r="B185">
        <v>289</v>
      </c>
      <c r="C185" t="s">
        <v>277</v>
      </c>
      <c r="D185" t="s">
        <v>494</v>
      </c>
      <c r="E185" t="s">
        <v>129</v>
      </c>
      <c r="F185" t="s">
        <v>784</v>
      </c>
      <c r="G185">
        <v>110</v>
      </c>
      <c r="I185">
        <v>10</v>
      </c>
      <c r="J185">
        <v>120</v>
      </c>
      <c r="K185">
        <v>145</v>
      </c>
      <c r="L185">
        <v>150</v>
      </c>
      <c r="M185">
        <v>200</v>
      </c>
      <c r="N185">
        <v>140</v>
      </c>
      <c r="O185">
        <v>165</v>
      </c>
      <c r="P185">
        <v>540</v>
      </c>
    </row>
    <row r="186" spans="1:16" x14ac:dyDescent="0.25">
      <c r="A186">
        <v>2026</v>
      </c>
      <c r="B186">
        <v>291</v>
      </c>
      <c r="C186" t="s">
        <v>284</v>
      </c>
      <c r="D186" t="s">
        <v>493</v>
      </c>
      <c r="F186" t="s">
        <v>24</v>
      </c>
      <c r="G186">
        <v>285</v>
      </c>
      <c r="I186">
        <v>375</v>
      </c>
      <c r="J186">
        <v>660</v>
      </c>
      <c r="K186">
        <v>855</v>
      </c>
      <c r="L186">
        <v>895</v>
      </c>
      <c r="M186">
        <v>1050</v>
      </c>
      <c r="N186">
        <v>825</v>
      </c>
      <c r="O186">
        <v>960</v>
      </c>
      <c r="P186">
        <v>1200</v>
      </c>
    </row>
    <row r="187" spans="1:16" x14ac:dyDescent="0.25">
      <c r="A187">
        <v>2026</v>
      </c>
      <c r="B187">
        <v>292</v>
      </c>
      <c r="C187" t="s">
        <v>284</v>
      </c>
      <c r="D187" t="s">
        <v>493</v>
      </c>
      <c r="F187" t="s">
        <v>25</v>
      </c>
      <c r="G187">
        <v>285</v>
      </c>
      <c r="I187">
        <v>375</v>
      </c>
      <c r="J187">
        <v>660</v>
      </c>
      <c r="K187">
        <v>855</v>
      </c>
      <c r="L187">
        <v>895</v>
      </c>
      <c r="M187">
        <v>1050</v>
      </c>
      <c r="N187">
        <v>825</v>
      </c>
      <c r="O187">
        <v>960</v>
      </c>
      <c r="P187">
        <v>1200</v>
      </c>
    </row>
    <row r="188" spans="1:16" x14ac:dyDescent="0.25">
      <c r="A188">
        <v>2026</v>
      </c>
      <c r="B188">
        <v>333</v>
      </c>
      <c r="C188" t="s">
        <v>277</v>
      </c>
      <c r="D188" t="s">
        <v>494</v>
      </c>
      <c r="E188" t="s">
        <v>580</v>
      </c>
      <c r="F188" t="s">
        <v>581</v>
      </c>
      <c r="G188">
        <v>74</v>
      </c>
      <c r="I188">
        <v>5</v>
      </c>
      <c r="J188">
        <v>79</v>
      </c>
      <c r="K188">
        <v>95</v>
      </c>
      <c r="L188">
        <v>100</v>
      </c>
      <c r="M188">
        <v>125</v>
      </c>
      <c r="N188">
        <v>95</v>
      </c>
      <c r="O188">
        <v>110</v>
      </c>
      <c r="P188">
        <v>400</v>
      </c>
    </row>
    <row r="189" spans="1:16" x14ac:dyDescent="0.25">
      <c r="A189">
        <v>2025</v>
      </c>
      <c r="B189">
        <v>401</v>
      </c>
      <c r="C189" t="s">
        <v>277</v>
      </c>
      <c r="D189" t="s">
        <v>494</v>
      </c>
      <c r="E189" t="s">
        <v>241</v>
      </c>
      <c r="F189" t="s">
        <v>441</v>
      </c>
      <c r="G189">
        <v>110</v>
      </c>
      <c r="I189">
        <v>15</v>
      </c>
      <c r="J189">
        <v>125</v>
      </c>
      <c r="K189">
        <v>155</v>
      </c>
      <c r="L189">
        <v>160</v>
      </c>
      <c r="M189">
        <v>200</v>
      </c>
      <c r="N189">
        <v>150</v>
      </c>
      <c r="O189">
        <v>175</v>
      </c>
      <c r="P189">
        <v>540</v>
      </c>
    </row>
    <row r="190" spans="1:16" x14ac:dyDescent="0.25">
      <c r="A190">
        <v>2025</v>
      </c>
      <c r="B190">
        <v>403</v>
      </c>
      <c r="C190" t="s">
        <v>277</v>
      </c>
      <c r="D190" t="s">
        <v>494</v>
      </c>
      <c r="E190" t="s">
        <v>241</v>
      </c>
      <c r="F190" t="s">
        <v>442</v>
      </c>
      <c r="G190">
        <v>120</v>
      </c>
      <c r="I190">
        <v>15</v>
      </c>
      <c r="J190">
        <v>135</v>
      </c>
      <c r="K190">
        <v>165</v>
      </c>
      <c r="L190">
        <v>170</v>
      </c>
      <c r="M190">
        <v>225</v>
      </c>
      <c r="N190">
        <v>160</v>
      </c>
      <c r="O190">
        <v>185</v>
      </c>
      <c r="P190">
        <v>580</v>
      </c>
    </row>
    <row r="191" spans="1:16" x14ac:dyDescent="0.25">
      <c r="A191">
        <v>2026</v>
      </c>
      <c r="B191">
        <v>404</v>
      </c>
      <c r="C191" t="s">
        <v>277</v>
      </c>
      <c r="D191" t="s">
        <v>494</v>
      </c>
      <c r="E191" t="s">
        <v>138</v>
      </c>
      <c r="F191" t="s">
        <v>743</v>
      </c>
      <c r="G191">
        <v>115</v>
      </c>
      <c r="I191">
        <v>10</v>
      </c>
      <c r="J191">
        <v>125</v>
      </c>
      <c r="K191">
        <v>155</v>
      </c>
      <c r="L191">
        <v>160</v>
      </c>
      <c r="M191">
        <v>200</v>
      </c>
      <c r="N191">
        <v>150</v>
      </c>
      <c r="O191">
        <v>175</v>
      </c>
      <c r="P191">
        <v>560</v>
      </c>
    </row>
    <row r="192" spans="1:16" x14ac:dyDescent="0.25">
      <c r="B192">
        <v>405</v>
      </c>
      <c r="C192" t="s">
        <v>277</v>
      </c>
      <c r="D192" t="s">
        <v>494</v>
      </c>
      <c r="E192" t="s">
        <v>129</v>
      </c>
      <c r="F192" t="s">
        <v>131</v>
      </c>
      <c r="G192">
        <v>115</v>
      </c>
      <c r="I192">
        <v>10</v>
      </c>
      <c r="J192">
        <v>125</v>
      </c>
      <c r="K192">
        <v>155</v>
      </c>
      <c r="L192">
        <v>160</v>
      </c>
      <c r="M192">
        <v>200</v>
      </c>
      <c r="N192">
        <v>150</v>
      </c>
      <c r="O192">
        <v>175</v>
      </c>
      <c r="P192">
        <v>560</v>
      </c>
    </row>
    <row r="193" spans="1:16" x14ac:dyDescent="0.25">
      <c r="A193">
        <v>2025</v>
      </c>
      <c r="B193">
        <v>407</v>
      </c>
      <c r="C193" t="s">
        <v>277</v>
      </c>
      <c r="D193" t="s">
        <v>494</v>
      </c>
      <c r="E193" t="s">
        <v>241</v>
      </c>
      <c r="F193" t="s">
        <v>443</v>
      </c>
      <c r="G193">
        <v>170</v>
      </c>
      <c r="I193">
        <v>15</v>
      </c>
      <c r="J193">
        <v>185</v>
      </c>
      <c r="K193">
        <v>225</v>
      </c>
      <c r="L193">
        <v>235</v>
      </c>
      <c r="M193">
        <v>300</v>
      </c>
      <c r="N193">
        <v>220</v>
      </c>
      <c r="O193">
        <v>255</v>
      </c>
      <c r="P193">
        <v>770</v>
      </c>
    </row>
    <row r="194" spans="1:16" x14ac:dyDescent="0.25">
      <c r="A194">
        <v>2025</v>
      </c>
      <c r="B194">
        <v>408</v>
      </c>
      <c r="C194" t="s">
        <v>277</v>
      </c>
      <c r="D194" t="s">
        <v>494</v>
      </c>
      <c r="E194" t="s">
        <v>241</v>
      </c>
      <c r="F194" t="s">
        <v>444</v>
      </c>
      <c r="G194">
        <v>120</v>
      </c>
      <c r="I194">
        <v>15</v>
      </c>
      <c r="J194">
        <v>135</v>
      </c>
      <c r="K194">
        <v>165</v>
      </c>
      <c r="L194">
        <v>170</v>
      </c>
      <c r="M194">
        <v>225</v>
      </c>
      <c r="N194">
        <v>160</v>
      </c>
      <c r="O194">
        <v>185</v>
      </c>
      <c r="P194">
        <v>580</v>
      </c>
    </row>
    <row r="195" spans="1:16" x14ac:dyDescent="0.25">
      <c r="A195">
        <v>2026</v>
      </c>
      <c r="B195">
        <v>409</v>
      </c>
      <c r="C195" t="s">
        <v>277</v>
      </c>
      <c r="D195" t="s">
        <v>494</v>
      </c>
      <c r="E195" t="s">
        <v>129</v>
      </c>
      <c r="F195" t="s">
        <v>794</v>
      </c>
      <c r="G195">
        <v>100</v>
      </c>
      <c r="I195">
        <v>10</v>
      </c>
      <c r="J195">
        <v>110</v>
      </c>
      <c r="K195">
        <v>135</v>
      </c>
      <c r="L195">
        <v>140</v>
      </c>
      <c r="M195">
        <v>175</v>
      </c>
      <c r="N195">
        <v>130</v>
      </c>
      <c r="O195">
        <v>150</v>
      </c>
      <c r="P195">
        <v>500</v>
      </c>
    </row>
    <row r="196" spans="1:16" x14ac:dyDescent="0.25">
      <c r="B196">
        <v>410</v>
      </c>
      <c r="C196" t="s">
        <v>277</v>
      </c>
      <c r="D196" t="s">
        <v>494</v>
      </c>
      <c r="E196" t="s">
        <v>138</v>
      </c>
      <c r="F196" t="s">
        <v>744</v>
      </c>
      <c r="G196">
        <v>145</v>
      </c>
      <c r="I196">
        <v>10</v>
      </c>
      <c r="J196">
        <v>155</v>
      </c>
      <c r="K196">
        <v>190</v>
      </c>
      <c r="L196">
        <v>195</v>
      </c>
      <c r="M196">
        <v>250</v>
      </c>
      <c r="N196">
        <v>180</v>
      </c>
      <c r="O196">
        <v>210</v>
      </c>
      <c r="P196">
        <v>670</v>
      </c>
    </row>
    <row r="197" spans="1:16" x14ac:dyDescent="0.25">
      <c r="A197">
        <v>2026</v>
      </c>
      <c r="B197">
        <v>411</v>
      </c>
      <c r="C197" t="s">
        <v>277</v>
      </c>
      <c r="D197" t="s">
        <v>494</v>
      </c>
      <c r="E197" t="s">
        <v>129</v>
      </c>
      <c r="F197" t="s">
        <v>799</v>
      </c>
      <c r="G197">
        <v>95</v>
      </c>
      <c r="I197">
        <v>10</v>
      </c>
      <c r="J197">
        <v>105</v>
      </c>
      <c r="K197">
        <v>130</v>
      </c>
      <c r="L197">
        <v>135</v>
      </c>
      <c r="M197">
        <v>175</v>
      </c>
      <c r="N197">
        <v>125</v>
      </c>
      <c r="O197">
        <v>145</v>
      </c>
      <c r="P197">
        <v>480</v>
      </c>
    </row>
    <row r="198" spans="1:16" x14ac:dyDescent="0.25">
      <c r="A198">
        <v>2025</v>
      </c>
      <c r="B198">
        <v>412</v>
      </c>
      <c r="C198" t="s">
        <v>277</v>
      </c>
      <c r="D198" t="s">
        <v>494</v>
      </c>
      <c r="E198" t="s">
        <v>241</v>
      </c>
      <c r="F198" t="s">
        <v>445</v>
      </c>
      <c r="G198">
        <v>125</v>
      </c>
      <c r="I198">
        <v>15</v>
      </c>
      <c r="J198">
        <v>140</v>
      </c>
      <c r="K198">
        <v>170</v>
      </c>
      <c r="L198">
        <v>175</v>
      </c>
      <c r="M198">
        <v>225</v>
      </c>
      <c r="N198">
        <v>165</v>
      </c>
      <c r="O198">
        <v>190</v>
      </c>
      <c r="P198">
        <v>600</v>
      </c>
    </row>
    <row r="199" spans="1:16" x14ac:dyDescent="0.25">
      <c r="A199">
        <v>2026</v>
      </c>
      <c r="B199">
        <v>413</v>
      </c>
      <c r="C199" t="s">
        <v>277</v>
      </c>
      <c r="D199" t="s">
        <v>494</v>
      </c>
      <c r="E199" t="s">
        <v>138</v>
      </c>
      <c r="F199" t="s">
        <v>745</v>
      </c>
      <c r="G199">
        <v>95</v>
      </c>
      <c r="I199">
        <v>10</v>
      </c>
      <c r="J199">
        <v>105</v>
      </c>
      <c r="K199">
        <v>130</v>
      </c>
      <c r="L199">
        <v>135</v>
      </c>
      <c r="M199">
        <v>175</v>
      </c>
      <c r="N199">
        <v>125</v>
      </c>
      <c r="O199">
        <v>145</v>
      </c>
      <c r="P199">
        <v>480</v>
      </c>
    </row>
    <row r="200" spans="1:16" x14ac:dyDescent="0.25">
      <c r="A200">
        <v>2025</v>
      </c>
      <c r="B200">
        <v>414</v>
      </c>
      <c r="C200" t="s">
        <v>277</v>
      </c>
      <c r="D200" t="s">
        <v>494</v>
      </c>
      <c r="E200" t="s">
        <v>241</v>
      </c>
      <c r="F200" t="s">
        <v>446</v>
      </c>
      <c r="G200">
        <v>110</v>
      </c>
      <c r="I200">
        <v>15</v>
      </c>
      <c r="J200">
        <v>125</v>
      </c>
      <c r="K200">
        <v>155</v>
      </c>
      <c r="L200">
        <v>160</v>
      </c>
      <c r="M200">
        <v>200</v>
      </c>
      <c r="N200">
        <v>150</v>
      </c>
      <c r="O200">
        <v>175</v>
      </c>
      <c r="P200">
        <v>540</v>
      </c>
    </row>
    <row r="201" spans="1:16" x14ac:dyDescent="0.25">
      <c r="B201">
        <v>415</v>
      </c>
      <c r="C201" t="s">
        <v>277</v>
      </c>
      <c r="D201" t="s">
        <v>494</v>
      </c>
      <c r="E201" t="s">
        <v>129</v>
      </c>
      <c r="F201" t="s">
        <v>425</v>
      </c>
      <c r="G201">
        <v>115</v>
      </c>
      <c r="I201">
        <v>10</v>
      </c>
      <c r="J201">
        <v>125</v>
      </c>
      <c r="K201">
        <v>155</v>
      </c>
      <c r="L201">
        <v>160</v>
      </c>
      <c r="M201">
        <v>200</v>
      </c>
      <c r="N201">
        <v>150</v>
      </c>
      <c r="O201">
        <v>175</v>
      </c>
      <c r="P201">
        <v>560</v>
      </c>
    </row>
    <row r="202" spans="1:16" x14ac:dyDescent="0.25">
      <c r="A202">
        <v>2026</v>
      </c>
      <c r="B202">
        <v>416</v>
      </c>
      <c r="C202" t="s">
        <v>277</v>
      </c>
      <c r="D202" t="s">
        <v>494</v>
      </c>
      <c r="E202" t="s">
        <v>241</v>
      </c>
      <c r="F202" t="s">
        <v>447</v>
      </c>
      <c r="G202">
        <v>95</v>
      </c>
      <c r="I202">
        <v>15</v>
      </c>
      <c r="J202">
        <v>110</v>
      </c>
      <c r="K202">
        <v>135</v>
      </c>
      <c r="L202">
        <v>140</v>
      </c>
      <c r="M202">
        <v>175</v>
      </c>
      <c r="N202">
        <v>130</v>
      </c>
      <c r="O202">
        <v>150</v>
      </c>
      <c r="P202">
        <v>480</v>
      </c>
    </row>
    <row r="203" spans="1:16" x14ac:dyDescent="0.25">
      <c r="A203">
        <v>2026</v>
      </c>
      <c r="B203">
        <v>417</v>
      </c>
      <c r="C203" t="s">
        <v>277</v>
      </c>
      <c r="D203" t="s">
        <v>494</v>
      </c>
      <c r="E203" t="s">
        <v>241</v>
      </c>
      <c r="F203" t="s">
        <v>964</v>
      </c>
      <c r="G203">
        <v>150</v>
      </c>
      <c r="I203">
        <v>15</v>
      </c>
      <c r="J203">
        <v>165</v>
      </c>
      <c r="K203">
        <v>200</v>
      </c>
      <c r="L203">
        <v>210</v>
      </c>
      <c r="M203">
        <v>275</v>
      </c>
      <c r="N203">
        <v>195</v>
      </c>
      <c r="O203">
        <v>225</v>
      </c>
      <c r="P203">
        <v>690</v>
      </c>
    </row>
    <row r="204" spans="1:16" x14ac:dyDescent="0.25">
      <c r="A204">
        <v>2026</v>
      </c>
      <c r="B204">
        <v>418</v>
      </c>
      <c r="C204" t="s">
        <v>284</v>
      </c>
      <c r="D204" t="s">
        <v>494</v>
      </c>
      <c r="E204" t="s">
        <v>138</v>
      </c>
      <c r="F204" t="s">
        <v>833</v>
      </c>
      <c r="G204">
        <v>128</v>
      </c>
      <c r="I204">
        <v>10</v>
      </c>
      <c r="J204">
        <v>138</v>
      </c>
      <c r="K204">
        <v>170</v>
      </c>
      <c r="L204">
        <v>175</v>
      </c>
      <c r="M204">
        <v>225</v>
      </c>
      <c r="N204">
        <v>165</v>
      </c>
      <c r="O204">
        <v>190</v>
      </c>
      <c r="P204">
        <v>610</v>
      </c>
    </row>
    <row r="205" spans="1:16" x14ac:dyDescent="0.25">
      <c r="B205">
        <v>424</v>
      </c>
      <c r="C205" t="s">
        <v>277</v>
      </c>
      <c r="D205" t="s">
        <v>494</v>
      </c>
      <c r="E205" t="s">
        <v>241</v>
      </c>
      <c r="F205" t="s">
        <v>250</v>
      </c>
      <c r="G205">
        <v>170</v>
      </c>
      <c r="I205">
        <v>10</v>
      </c>
      <c r="J205">
        <v>180</v>
      </c>
      <c r="K205">
        <v>215</v>
      </c>
      <c r="L205">
        <v>225</v>
      </c>
      <c r="M205">
        <v>300</v>
      </c>
      <c r="N205">
        <v>210</v>
      </c>
      <c r="O205">
        <v>245</v>
      </c>
      <c r="P205">
        <v>770</v>
      </c>
    </row>
    <row r="206" spans="1:16" x14ac:dyDescent="0.25">
      <c r="A206">
        <v>2026</v>
      </c>
      <c r="B206">
        <v>426</v>
      </c>
      <c r="C206" t="s">
        <v>277</v>
      </c>
      <c r="D206" t="s">
        <v>494</v>
      </c>
      <c r="E206" t="s">
        <v>138</v>
      </c>
      <c r="F206" t="s">
        <v>732</v>
      </c>
      <c r="G206">
        <v>150</v>
      </c>
      <c r="I206">
        <v>10</v>
      </c>
      <c r="J206">
        <v>160</v>
      </c>
      <c r="K206">
        <v>190</v>
      </c>
      <c r="L206">
        <v>200</v>
      </c>
      <c r="M206">
        <v>275</v>
      </c>
      <c r="N206">
        <v>185</v>
      </c>
      <c r="O206">
        <v>215</v>
      </c>
      <c r="P206">
        <v>690</v>
      </c>
    </row>
    <row r="207" spans="1:16" x14ac:dyDescent="0.25">
      <c r="B207">
        <v>427</v>
      </c>
      <c r="C207" t="s">
        <v>277</v>
      </c>
      <c r="D207" t="s">
        <v>494</v>
      </c>
      <c r="E207" t="s">
        <v>138</v>
      </c>
      <c r="F207" t="s">
        <v>718</v>
      </c>
      <c r="G207">
        <v>118</v>
      </c>
      <c r="I207">
        <v>10</v>
      </c>
      <c r="J207">
        <v>128</v>
      </c>
      <c r="K207">
        <v>155</v>
      </c>
      <c r="L207">
        <v>160</v>
      </c>
      <c r="M207">
        <v>225</v>
      </c>
      <c r="N207">
        <v>150</v>
      </c>
      <c r="O207">
        <v>175</v>
      </c>
      <c r="P207">
        <v>570</v>
      </c>
    </row>
    <row r="208" spans="1:16" x14ac:dyDescent="0.25">
      <c r="A208">
        <v>2025</v>
      </c>
      <c r="B208">
        <v>429</v>
      </c>
      <c r="C208" t="s">
        <v>277</v>
      </c>
      <c r="D208" t="s">
        <v>494</v>
      </c>
      <c r="E208" t="s">
        <v>129</v>
      </c>
      <c r="F208" t="s">
        <v>719</v>
      </c>
      <c r="G208">
        <v>105</v>
      </c>
      <c r="I208">
        <v>10</v>
      </c>
      <c r="J208">
        <v>115</v>
      </c>
      <c r="K208">
        <v>140</v>
      </c>
      <c r="L208">
        <v>145</v>
      </c>
      <c r="M208">
        <v>200</v>
      </c>
      <c r="N208">
        <v>135</v>
      </c>
      <c r="O208">
        <v>160</v>
      </c>
      <c r="P208">
        <v>520</v>
      </c>
    </row>
    <row r="209" spans="1:16" x14ac:dyDescent="0.25">
      <c r="A209">
        <v>2025</v>
      </c>
      <c r="B209">
        <v>430</v>
      </c>
      <c r="C209" t="s">
        <v>277</v>
      </c>
      <c r="D209" t="s">
        <v>494</v>
      </c>
      <c r="E209" t="s">
        <v>129</v>
      </c>
      <c r="F209" t="s">
        <v>720</v>
      </c>
      <c r="G209">
        <v>95</v>
      </c>
      <c r="I209">
        <v>10</v>
      </c>
      <c r="J209">
        <v>105</v>
      </c>
      <c r="K209">
        <v>130</v>
      </c>
      <c r="L209">
        <v>135</v>
      </c>
      <c r="M209">
        <v>175</v>
      </c>
      <c r="N209">
        <v>125</v>
      </c>
      <c r="O209">
        <v>145</v>
      </c>
      <c r="P209">
        <v>480</v>
      </c>
    </row>
    <row r="210" spans="1:16" x14ac:dyDescent="0.25">
      <c r="B210">
        <v>432</v>
      </c>
      <c r="C210" t="s">
        <v>277</v>
      </c>
      <c r="D210" t="s">
        <v>494</v>
      </c>
      <c r="E210" t="s">
        <v>241</v>
      </c>
      <c r="F210" t="s">
        <v>242</v>
      </c>
      <c r="G210">
        <v>125</v>
      </c>
      <c r="I210">
        <v>10</v>
      </c>
      <c r="J210">
        <v>135</v>
      </c>
      <c r="K210">
        <v>165</v>
      </c>
      <c r="L210">
        <v>170</v>
      </c>
      <c r="M210">
        <v>225</v>
      </c>
      <c r="N210">
        <v>160</v>
      </c>
      <c r="O210">
        <v>185</v>
      </c>
      <c r="P210">
        <v>600</v>
      </c>
    </row>
    <row r="211" spans="1:16" x14ac:dyDescent="0.25">
      <c r="B211">
        <v>438</v>
      </c>
      <c r="C211" t="s">
        <v>277</v>
      </c>
      <c r="D211" t="s">
        <v>494</v>
      </c>
      <c r="E211" t="s">
        <v>138</v>
      </c>
      <c r="F211" t="s">
        <v>721</v>
      </c>
      <c r="G211">
        <v>150</v>
      </c>
      <c r="I211">
        <v>10</v>
      </c>
      <c r="J211">
        <v>160</v>
      </c>
      <c r="K211">
        <v>190</v>
      </c>
      <c r="L211">
        <v>200</v>
      </c>
      <c r="M211">
        <v>275</v>
      </c>
      <c r="N211">
        <v>185</v>
      </c>
      <c r="O211">
        <v>215</v>
      </c>
      <c r="P211">
        <v>690</v>
      </c>
    </row>
    <row r="212" spans="1:16" x14ac:dyDescent="0.25">
      <c r="B212">
        <v>442</v>
      </c>
      <c r="C212" t="s">
        <v>277</v>
      </c>
      <c r="D212" t="s">
        <v>494</v>
      </c>
      <c r="E212" t="s">
        <v>138</v>
      </c>
      <c r="F212" t="s">
        <v>722</v>
      </c>
      <c r="G212">
        <v>130</v>
      </c>
      <c r="I212">
        <v>10</v>
      </c>
      <c r="J212">
        <v>140</v>
      </c>
      <c r="K212">
        <v>170</v>
      </c>
      <c r="L212">
        <v>175</v>
      </c>
      <c r="M212">
        <v>225</v>
      </c>
      <c r="N212">
        <v>165</v>
      </c>
      <c r="O212">
        <v>190</v>
      </c>
      <c r="P212">
        <v>620</v>
      </c>
    </row>
    <row r="213" spans="1:16" x14ac:dyDescent="0.25">
      <c r="B213">
        <v>446</v>
      </c>
      <c r="C213" t="s">
        <v>277</v>
      </c>
      <c r="D213" t="s">
        <v>494</v>
      </c>
      <c r="E213" t="s">
        <v>138</v>
      </c>
      <c r="F213" t="s">
        <v>723</v>
      </c>
      <c r="G213">
        <v>130</v>
      </c>
      <c r="I213">
        <v>10</v>
      </c>
      <c r="J213">
        <v>140</v>
      </c>
      <c r="K213">
        <v>170</v>
      </c>
      <c r="L213">
        <v>175</v>
      </c>
      <c r="M213">
        <v>225</v>
      </c>
      <c r="N213">
        <v>165</v>
      </c>
      <c r="O213">
        <v>190</v>
      </c>
      <c r="P213">
        <v>620</v>
      </c>
    </row>
    <row r="214" spans="1:16" x14ac:dyDescent="0.25">
      <c r="B214">
        <v>448</v>
      </c>
      <c r="C214" t="s">
        <v>277</v>
      </c>
      <c r="D214" t="s">
        <v>494</v>
      </c>
      <c r="E214" t="s">
        <v>138</v>
      </c>
      <c r="F214" t="s">
        <v>724</v>
      </c>
      <c r="G214">
        <v>165</v>
      </c>
      <c r="I214">
        <v>10</v>
      </c>
      <c r="J214">
        <v>175</v>
      </c>
      <c r="K214">
        <v>210</v>
      </c>
      <c r="L214">
        <v>220</v>
      </c>
      <c r="M214">
        <v>300</v>
      </c>
      <c r="N214">
        <v>205</v>
      </c>
      <c r="O214">
        <v>240</v>
      </c>
      <c r="P214">
        <v>750</v>
      </c>
    </row>
    <row r="215" spans="1:16" x14ac:dyDescent="0.25">
      <c r="B215">
        <v>449</v>
      </c>
      <c r="C215" t="s">
        <v>277</v>
      </c>
      <c r="D215" t="s">
        <v>494</v>
      </c>
      <c r="E215" t="s">
        <v>138</v>
      </c>
      <c r="F215" t="s">
        <v>725</v>
      </c>
      <c r="G215">
        <v>88</v>
      </c>
      <c r="I215">
        <v>10</v>
      </c>
      <c r="J215">
        <v>98</v>
      </c>
      <c r="K215">
        <v>120</v>
      </c>
      <c r="L215">
        <v>125</v>
      </c>
      <c r="M215">
        <v>175</v>
      </c>
      <c r="N215">
        <v>115</v>
      </c>
      <c r="O215">
        <v>135</v>
      </c>
      <c r="P215">
        <v>460</v>
      </c>
    </row>
    <row r="216" spans="1:16" x14ac:dyDescent="0.25">
      <c r="B216">
        <v>474</v>
      </c>
      <c r="C216" t="s">
        <v>277</v>
      </c>
      <c r="D216" t="s">
        <v>494</v>
      </c>
      <c r="E216" t="s">
        <v>138</v>
      </c>
      <c r="F216" t="s">
        <v>726</v>
      </c>
      <c r="G216">
        <v>128</v>
      </c>
      <c r="I216">
        <v>10</v>
      </c>
      <c r="J216">
        <v>138</v>
      </c>
      <c r="K216">
        <v>170</v>
      </c>
      <c r="L216">
        <v>175</v>
      </c>
      <c r="M216">
        <v>225</v>
      </c>
      <c r="N216">
        <v>165</v>
      </c>
      <c r="O216">
        <v>190</v>
      </c>
      <c r="P216">
        <v>610</v>
      </c>
    </row>
    <row r="217" spans="1:16" x14ac:dyDescent="0.25">
      <c r="A217">
        <v>2026</v>
      </c>
      <c r="B217">
        <v>477</v>
      </c>
      <c r="C217" t="s">
        <v>277</v>
      </c>
      <c r="D217" t="s">
        <v>494</v>
      </c>
      <c r="E217" t="s">
        <v>138</v>
      </c>
      <c r="F217" t="s">
        <v>727</v>
      </c>
      <c r="G217">
        <v>58</v>
      </c>
      <c r="I217">
        <v>10</v>
      </c>
      <c r="J217">
        <v>68</v>
      </c>
      <c r="K217">
        <v>85</v>
      </c>
      <c r="L217">
        <v>85</v>
      </c>
      <c r="M217">
        <v>125</v>
      </c>
      <c r="N217">
        <v>80</v>
      </c>
      <c r="O217">
        <v>95</v>
      </c>
      <c r="P217">
        <v>340</v>
      </c>
    </row>
    <row r="218" spans="1:16" x14ac:dyDescent="0.25">
      <c r="B218">
        <v>480</v>
      </c>
      <c r="C218" t="s">
        <v>277</v>
      </c>
      <c r="D218" t="s">
        <v>494</v>
      </c>
      <c r="E218" t="s">
        <v>138</v>
      </c>
      <c r="F218" t="s">
        <v>728</v>
      </c>
      <c r="G218">
        <v>90</v>
      </c>
      <c r="I218">
        <v>10</v>
      </c>
      <c r="J218">
        <v>100</v>
      </c>
      <c r="K218">
        <v>120</v>
      </c>
      <c r="L218">
        <v>125</v>
      </c>
      <c r="M218">
        <v>175</v>
      </c>
      <c r="N218">
        <v>115</v>
      </c>
      <c r="O218">
        <v>135</v>
      </c>
      <c r="P218">
        <v>470</v>
      </c>
    </row>
    <row r="219" spans="1:16" x14ac:dyDescent="0.25">
      <c r="B219">
        <v>481</v>
      </c>
      <c r="C219" t="s">
        <v>277</v>
      </c>
      <c r="D219" t="s">
        <v>494</v>
      </c>
      <c r="E219" t="s">
        <v>138</v>
      </c>
      <c r="F219" t="s">
        <v>729</v>
      </c>
      <c r="G219">
        <v>76</v>
      </c>
      <c r="I219">
        <v>10</v>
      </c>
      <c r="J219">
        <v>86</v>
      </c>
      <c r="K219">
        <v>105</v>
      </c>
      <c r="L219">
        <v>110</v>
      </c>
      <c r="M219">
        <v>150</v>
      </c>
      <c r="N219">
        <v>105</v>
      </c>
      <c r="O219">
        <v>120</v>
      </c>
      <c r="P219">
        <v>410</v>
      </c>
    </row>
    <row r="220" spans="1:16" x14ac:dyDescent="0.25">
      <c r="B220">
        <v>484</v>
      </c>
      <c r="C220" t="s">
        <v>277</v>
      </c>
      <c r="D220" t="s">
        <v>494</v>
      </c>
      <c r="E220" t="s">
        <v>138</v>
      </c>
      <c r="F220" t="s">
        <v>730</v>
      </c>
      <c r="G220">
        <v>150</v>
      </c>
      <c r="I220">
        <v>10</v>
      </c>
      <c r="J220">
        <v>160</v>
      </c>
      <c r="K220">
        <v>190</v>
      </c>
      <c r="L220">
        <v>200</v>
      </c>
      <c r="M220">
        <v>275</v>
      </c>
      <c r="N220">
        <v>185</v>
      </c>
      <c r="O220">
        <v>215</v>
      </c>
      <c r="P220">
        <v>690</v>
      </c>
    </row>
    <row r="221" spans="1:16" x14ac:dyDescent="0.25">
      <c r="B221">
        <v>491</v>
      </c>
      <c r="C221" t="s">
        <v>277</v>
      </c>
      <c r="D221" t="s">
        <v>494</v>
      </c>
      <c r="E221" t="s">
        <v>278</v>
      </c>
      <c r="F221" t="s">
        <v>279</v>
      </c>
      <c r="G221">
        <v>61.5</v>
      </c>
      <c r="I221">
        <v>10</v>
      </c>
      <c r="J221">
        <v>71.5</v>
      </c>
      <c r="K221">
        <v>90</v>
      </c>
      <c r="L221">
        <v>90</v>
      </c>
      <c r="M221">
        <v>125</v>
      </c>
      <c r="N221">
        <v>85</v>
      </c>
      <c r="O221">
        <v>100</v>
      </c>
      <c r="P221">
        <v>360</v>
      </c>
    </row>
    <row r="222" spans="1:16" x14ac:dyDescent="0.25">
      <c r="A222">
        <v>2026</v>
      </c>
      <c r="B222">
        <v>493</v>
      </c>
      <c r="C222" t="s">
        <v>277</v>
      </c>
      <c r="D222" t="s">
        <v>494</v>
      </c>
      <c r="E222" t="s">
        <v>138</v>
      </c>
      <c r="F222" t="s">
        <v>731</v>
      </c>
      <c r="G222">
        <v>160</v>
      </c>
      <c r="I222">
        <v>10</v>
      </c>
      <c r="J222">
        <v>170</v>
      </c>
      <c r="K222">
        <v>205</v>
      </c>
      <c r="L222">
        <v>215</v>
      </c>
      <c r="M222">
        <v>275</v>
      </c>
      <c r="N222">
        <v>200</v>
      </c>
      <c r="O222">
        <v>235</v>
      </c>
      <c r="P222">
        <v>730</v>
      </c>
    </row>
    <row r="223" spans="1:16" x14ac:dyDescent="0.25">
      <c r="A223">
        <v>2026</v>
      </c>
      <c r="B223">
        <v>601</v>
      </c>
      <c r="C223" t="s">
        <v>277</v>
      </c>
      <c r="D223" t="s">
        <v>494</v>
      </c>
      <c r="E223" t="s">
        <v>190</v>
      </c>
      <c r="F223" t="s">
        <v>903</v>
      </c>
      <c r="G223">
        <v>230</v>
      </c>
      <c r="I223">
        <v>220</v>
      </c>
      <c r="J223">
        <v>450</v>
      </c>
      <c r="K223">
        <v>540</v>
      </c>
      <c r="L223">
        <v>565</v>
      </c>
      <c r="M223">
        <v>725</v>
      </c>
      <c r="N223">
        <v>520</v>
      </c>
      <c r="O223">
        <v>605</v>
      </c>
      <c r="P223">
        <v>990</v>
      </c>
    </row>
    <row r="224" spans="1:16" x14ac:dyDescent="0.25">
      <c r="A224">
        <v>2026</v>
      </c>
      <c r="B224">
        <v>602</v>
      </c>
      <c r="C224" t="s">
        <v>277</v>
      </c>
      <c r="D224" t="s">
        <v>494</v>
      </c>
      <c r="E224" t="s">
        <v>190</v>
      </c>
      <c r="F224" t="s">
        <v>954</v>
      </c>
      <c r="G224">
        <v>225</v>
      </c>
      <c r="I224">
        <v>165</v>
      </c>
      <c r="J224">
        <v>390</v>
      </c>
      <c r="K224">
        <v>470</v>
      </c>
      <c r="L224">
        <v>490</v>
      </c>
      <c r="M224">
        <v>625</v>
      </c>
      <c r="N224">
        <v>455</v>
      </c>
      <c r="O224">
        <v>525</v>
      </c>
      <c r="P224">
        <v>970</v>
      </c>
    </row>
    <row r="225" spans="1:16" x14ac:dyDescent="0.25">
      <c r="A225">
        <v>2026</v>
      </c>
      <c r="B225">
        <v>603</v>
      </c>
      <c r="C225" t="s">
        <v>277</v>
      </c>
      <c r="D225" t="s">
        <v>494</v>
      </c>
      <c r="E225" t="s">
        <v>191</v>
      </c>
      <c r="F225" t="s">
        <v>838</v>
      </c>
      <c r="G225">
        <v>230</v>
      </c>
      <c r="I225">
        <v>155</v>
      </c>
      <c r="J225">
        <v>385</v>
      </c>
      <c r="K225">
        <v>465</v>
      </c>
      <c r="L225">
        <v>485</v>
      </c>
      <c r="M225">
        <v>625</v>
      </c>
      <c r="N225">
        <v>450</v>
      </c>
      <c r="O225">
        <v>520</v>
      </c>
      <c r="P225">
        <v>990</v>
      </c>
    </row>
    <row r="226" spans="1:16" x14ac:dyDescent="0.25">
      <c r="A226">
        <v>2025</v>
      </c>
      <c r="B226">
        <v>604</v>
      </c>
      <c r="C226" t="s">
        <v>277</v>
      </c>
      <c r="D226" t="s">
        <v>494</v>
      </c>
      <c r="E226" t="s">
        <v>191</v>
      </c>
      <c r="F226" t="s">
        <v>449</v>
      </c>
      <c r="G226">
        <v>220</v>
      </c>
      <c r="H226">
        <v>5</v>
      </c>
      <c r="I226">
        <v>230</v>
      </c>
      <c r="J226">
        <v>455</v>
      </c>
      <c r="K226">
        <v>545</v>
      </c>
      <c r="L226">
        <v>570</v>
      </c>
      <c r="M226">
        <v>725</v>
      </c>
      <c r="N226">
        <v>525</v>
      </c>
      <c r="O226">
        <v>610</v>
      </c>
      <c r="P226">
        <v>960</v>
      </c>
    </row>
    <row r="227" spans="1:16" x14ac:dyDescent="0.25">
      <c r="A227">
        <v>2026</v>
      </c>
      <c r="B227">
        <v>605</v>
      </c>
      <c r="C227" t="s">
        <v>277</v>
      </c>
      <c r="D227" t="s">
        <v>494</v>
      </c>
      <c r="E227" t="s">
        <v>191</v>
      </c>
      <c r="F227" t="s">
        <v>859</v>
      </c>
      <c r="G227">
        <v>230</v>
      </c>
      <c r="I227">
        <v>220</v>
      </c>
      <c r="J227">
        <v>450</v>
      </c>
      <c r="K227">
        <v>540</v>
      </c>
      <c r="L227">
        <v>565</v>
      </c>
      <c r="M227">
        <v>725</v>
      </c>
      <c r="N227">
        <v>520</v>
      </c>
      <c r="O227">
        <v>605</v>
      </c>
      <c r="P227">
        <v>990</v>
      </c>
    </row>
    <row r="228" spans="1:16" x14ac:dyDescent="0.25">
      <c r="A228">
        <v>2026</v>
      </c>
      <c r="B228">
        <v>607</v>
      </c>
      <c r="C228" t="s">
        <v>277</v>
      </c>
      <c r="D228" t="s">
        <v>494</v>
      </c>
      <c r="E228" t="s">
        <v>190</v>
      </c>
      <c r="F228" t="s">
        <v>906</v>
      </c>
      <c r="G228">
        <v>230</v>
      </c>
      <c r="I228">
        <v>255</v>
      </c>
      <c r="J228">
        <v>485</v>
      </c>
      <c r="K228">
        <v>580</v>
      </c>
      <c r="L228">
        <v>610</v>
      </c>
      <c r="M228">
        <v>775</v>
      </c>
      <c r="N228">
        <v>565</v>
      </c>
      <c r="O228">
        <v>655</v>
      </c>
      <c r="P228">
        <v>990</v>
      </c>
    </row>
    <row r="229" spans="1:16" x14ac:dyDescent="0.25">
      <c r="A229">
        <v>2025</v>
      </c>
      <c r="B229">
        <v>608</v>
      </c>
      <c r="C229" t="s">
        <v>277</v>
      </c>
      <c r="D229" t="s">
        <v>494</v>
      </c>
      <c r="E229" t="s">
        <v>191</v>
      </c>
      <c r="F229" t="s">
        <v>451</v>
      </c>
      <c r="G229">
        <v>220</v>
      </c>
      <c r="H229">
        <v>5</v>
      </c>
      <c r="I229">
        <v>220</v>
      </c>
      <c r="J229">
        <v>445</v>
      </c>
      <c r="K229">
        <v>535</v>
      </c>
      <c r="L229">
        <v>560</v>
      </c>
      <c r="M229">
        <v>725</v>
      </c>
      <c r="N229">
        <v>520</v>
      </c>
      <c r="O229">
        <v>600</v>
      </c>
      <c r="P229">
        <v>960</v>
      </c>
    </row>
    <row r="230" spans="1:16" x14ac:dyDescent="0.25">
      <c r="A230">
        <v>2026</v>
      </c>
      <c r="B230">
        <v>609</v>
      </c>
      <c r="C230" t="s">
        <v>277</v>
      </c>
      <c r="D230" t="s">
        <v>494</v>
      </c>
      <c r="E230" t="s">
        <v>191</v>
      </c>
      <c r="F230" t="s">
        <v>860</v>
      </c>
      <c r="G230">
        <v>230</v>
      </c>
      <c r="I230">
        <v>270</v>
      </c>
      <c r="J230">
        <v>500</v>
      </c>
      <c r="K230">
        <v>595</v>
      </c>
      <c r="L230">
        <v>625</v>
      </c>
      <c r="M230">
        <v>800</v>
      </c>
      <c r="N230">
        <v>575</v>
      </c>
      <c r="O230">
        <v>670</v>
      </c>
      <c r="P230">
        <v>990</v>
      </c>
    </row>
    <row r="231" spans="1:16" x14ac:dyDescent="0.25">
      <c r="A231">
        <v>2025</v>
      </c>
      <c r="B231">
        <v>610</v>
      </c>
      <c r="C231" t="s">
        <v>277</v>
      </c>
      <c r="D231" t="s">
        <v>494</v>
      </c>
      <c r="E231" t="s">
        <v>235</v>
      </c>
      <c r="F231" t="s">
        <v>189</v>
      </c>
      <c r="G231">
        <v>220</v>
      </c>
      <c r="H231">
        <v>5</v>
      </c>
      <c r="I231">
        <v>315</v>
      </c>
      <c r="J231">
        <v>540</v>
      </c>
      <c r="K231">
        <v>645</v>
      </c>
      <c r="L231">
        <v>675</v>
      </c>
      <c r="M231">
        <v>875</v>
      </c>
      <c r="N231">
        <v>625</v>
      </c>
      <c r="O231">
        <v>725</v>
      </c>
      <c r="P231">
        <v>960</v>
      </c>
    </row>
    <row r="232" spans="1:16" x14ac:dyDescent="0.25">
      <c r="A232">
        <v>2026</v>
      </c>
      <c r="B232">
        <v>626</v>
      </c>
      <c r="C232" t="s">
        <v>277</v>
      </c>
      <c r="D232" t="s">
        <v>494</v>
      </c>
      <c r="E232" t="s">
        <v>460</v>
      </c>
      <c r="F232" t="s">
        <v>895</v>
      </c>
      <c r="G232">
        <v>235</v>
      </c>
      <c r="I232">
        <v>447</v>
      </c>
      <c r="J232">
        <v>682</v>
      </c>
      <c r="K232">
        <v>815</v>
      </c>
      <c r="L232">
        <v>855</v>
      </c>
      <c r="M232">
        <v>1075</v>
      </c>
      <c r="N232">
        <v>790</v>
      </c>
      <c r="O232">
        <v>915</v>
      </c>
      <c r="P232">
        <v>1010</v>
      </c>
    </row>
    <row r="233" spans="1:16" x14ac:dyDescent="0.25">
      <c r="A233">
        <v>2026</v>
      </c>
      <c r="B233">
        <v>627</v>
      </c>
      <c r="C233" t="s">
        <v>277</v>
      </c>
      <c r="D233" t="s">
        <v>494</v>
      </c>
      <c r="E233" t="s">
        <v>460</v>
      </c>
      <c r="F233" t="s">
        <v>892</v>
      </c>
      <c r="G233">
        <v>235</v>
      </c>
      <c r="I233">
        <v>445</v>
      </c>
      <c r="J233">
        <v>680</v>
      </c>
      <c r="K233">
        <v>810</v>
      </c>
      <c r="L233">
        <v>850</v>
      </c>
      <c r="M233">
        <v>1075</v>
      </c>
      <c r="N233">
        <v>785</v>
      </c>
      <c r="O233">
        <v>910</v>
      </c>
      <c r="P233">
        <v>1010</v>
      </c>
    </row>
    <row r="234" spans="1:16" x14ac:dyDescent="0.25">
      <c r="A234">
        <v>2026</v>
      </c>
      <c r="B234">
        <v>628</v>
      </c>
      <c r="C234" t="s">
        <v>277</v>
      </c>
      <c r="D234" t="s">
        <v>494</v>
      </c>
      <c r="E234" t="s">
        <v>460</v>
      </c>
      <c r="F234" t="s">
        <v>893</v>
      </c>
      <c r="G234">
        <v>235</v>
      </c>
      <c r="I234">
        <v>310</v>
      </c>
      <c r="J234">
        <v>545</v>
      </c>
      <c r="K234">
        <v>655</v>
      </c>
      <c r="L234">
        <v>685</v>
      </c>
      <c r="M234">
        <v>875</v>
      </c>
      <c r="N234">
        <v>635</v>
      </c>
      <c r="O234">
        <v>735</v>
      </c>
      <c r="P234">
        <v>1010</v>
      </c>
    </row>
    <row r="235" spans="1:16" x14ac:dyDescent="0.25">
      <c r="A235">
        <v>2026</v>
      </c>
      <c r="B235">
        <v>629</v>
      </c>
      <c r="C235" t="s">
        <v>277</v>
      </c>
      <c r="D235" t="s">
        <v>494</v>
      </c>
      <c r="E235" t="s">
        <v>460</v>
      </c>
      <c r="F235" t="s">
        <v>577</v>
      </c>
      <c r="G235">
        <v>235</v>
      </c>
      <c r="I235">
        <v>400</v>
      </c>
      <c r="J235">
        <v>635</v>
      </c>
      <c r="K235">
        <v>760</v>
      </c>
      <c r="L235">
        <v>795</v>
      </c>
      <c r="M235">
        <v>1025</v>
      </c>
      <c r="N235">
        <v>735</v>
      </c>
      <c r="O235">
        <v>855</v>
      </c>
      <c r="P235">
        <v>1010</v>
      </c>
    </row>
    <row r="236" spans="1:16" x14ac:dyDescent="0.25">
      <c r="A236">
        <v>2026</v>
      </c>
      <c r="B236">
        <v>630</v>
      </c>
      <c r="C236" t="s">
        <v>277</v>
      </c>
      <c r="D236" t="s">
        <v>494</v>
      </c>
      <c r="E236" t="s">
        <v>460</v>
      </c>
      <c r="F236" t="s">
        <v>894</v>
      </c>
      <c r="G236">
        <v>235</v>
      </c>
      <c r="I236">
        <v>370</v>
      </c>
      <c r="J236">
        <v>605</v>
      </c>
      <c r="K236">
        <v>725</v>
      </c>
      <c r="L236">
        <v>760</v>
      </c>
      <c r="M236">
        <v>975</v>
      </c>
      <c r="N236">
        <v>700</v>
      </c>
      <c r="O236">
        <v>815</v>
      </c>
      <c r="P236">
        <v>1010</v>
      </c>
    </row>
    <row r="237" spans="1:16" x14ac:dyDescent="0.25">
      <c r="A237">
        <v>2026</v>
      </c>
      <c r="B237">
        <v>631</v>
      </c>
      <c r="C237" t="s">
        <v>284</v>
      </c>
      <c r="D237" t="s">
        <v>494</v>
      </c>
      <c r="E237" t="s">
        <v>460</v>
      </c>
      <c r="F237" t="s">
        <v>552</v>
      </c>
      <c r="G237">
        <v>225</v>
      </c>
      <c r="I237">
        <v>240</v>
      </c>
      <c r="J237">
        <v>465</v>
      </c>
      <c r="K237">
        <v>560</v>
      </c>
      <c r="L237">
        <v>585</v>
      </c>
      <c r="M237">
        <v>750</v>
      </c>
      <c r="N237">
        <v>540</v>
      </c>
      <c r="O237">
        <v>630</v>
      </c>
      <c r="P237">
        <v>970</v>
      </c>
    </row>
    <row r="238" spans="1:16" x14ac:dyDescent="0.25">
      <c r="A238">
        <v>2026</v>
      </c>
      <c r="B238">
        <v>632</v>
      </c>
      <c r="C238" t="s">
        <v>277</v>
      </c>
      <c r="D238" t="s">
        <v>494</v>
      </c>
      <c r="E238" t="s">
        <v>460</v>
      </c>
      <c r="F238" t="s">
        <v>578</v>
      </c>
      <c r="G238">
        <v>225</v>
      </c>
      <c r="I238">
        <v>210</v>
      </c>
      <c r="J238">
        <v>435</v>
      </c>
      <c r="K238">
        <v>520</v>
      </c>
      <c r="L238">
        <v>545</v>
      </c>
      <c r="M238">
        <v>700</v>
      </c>
      <c r="N238">
        <v>505</v>
      </c>
      <c r="O238">
        <v>585</v>
      </c>
      <c r="P238">
        <v>970</v>
      </c>
    </row>
    <row r="239" spans="1:16" x14ac:dyDescent="0.25">
      <c r="A239">
        <v>2025</v>
      </c>
      <c r="B239">
        <v>745</v>
      </c>
      <c r="C239" t="s">
        <v>277</v>
      </c>
      <c r="D239" t="s">
        <v>494</v>
      </c>
      <c r="E239" t="s">
        <v>278</v>
      </c>
      <c r="F239" t="s">
        <v>582</v>
      </c>
      <c r="G239">
        <v>110</v>
      </c>
      <c r="I239">
        <v>10</v>
      </c>
      <c r="J239">
        <v>120</v>
      </c>
      <c r="K239">
        <v>145</v>
      </c>
      <c r="L239">
        <v>150</v>
      </c>
      <c r="M239">
        <v>200</v>
      </c>
      <c r="N239">
        <v>140</v>
      </c>
      <c r="O239">
        <v>165</v>
      </c>
      <c r="P239">
        <v>540</v>
      </c>
    </row>
    <row r="240" spans="1:16" x14ac:dyDescent="0.25">
      <c r="A240">
        <v>2026</v>
      </c>
      <c r="B240">
        <v>750</v>
      </c>
      <c r="C240" t="s">
        <v>277</v>
      </c>
      <c r="D240" t="s">
        <v>494</v>
      </c>
      <c r="F240" t="s">
        <v>53</v>
      </c>
      <c r="G240">
        <v>195</v>
      </c>
      <c r="I240">
        <v>25</v>
      </c>
      <c r="J240">
        <v>220</v>
      </c>
      <c r="K240">
        <v>265</v>
      </c>
      <c r="L240">
        <v>275</v>
      </c>
      <c r="M240">
        <v>350</v>
      </c>
      <c r="N240">
        <v>255</v>
      </c>
      <c r="O240">
        <v>295</v>
      </c>
      <c r="P240">
        <v>860</v>
      </c>
    </row>
    <row r="241" spans="1:16" x14ac:dyDescent="0.25">
      <c r="A241">
        <v>2025</v>
      </c>
      <c r="B241">
        <v>764</v>
      </c>
      <c r="C241" t="s">
        <v>277</v>
      </c>
      <c r="D241" t="s">
        <v>494</v>
      </c>
      <c r="E241" t="s">
        <v>483</v>
      </c>
      <c r="F241" t="s">
        <v>486</v>
      </c>
      <c r="G241">
        <v>190</v>
      </c>
      <c r="I241">
        <v>15</v>
      </c>
      <c r="J241">
        <v>205</v>
      </c>
      <c r="K241">
        <v>250</v>
      </c>
      <c r="L241">
        <v>260</v>
      </c>
      <c r="M241">
        <v>325</v>
      </c>
      <c r="N241">
        <v>240</v>
      </c>
      <c r="O241">
        <v>280</v>
      </c>
      <c r="P241">
        <v>840</v>
      </c>
    </row>
    <row r="242" spans="1:16" x14ac:dyDescent="0.25">
      <c r="A242">
        <v>2025</v>
      </c>
      <c r="B242">
        <v>765</v>
      </c>
      <c r="C242" t="s">
        <v>277</v>
      </c>
      <c r="D242" t="s">
        <v>494</v>
      </c>
      <c r="E242" t="s">
        <v>483</v>
      </c>
      <c r="F242" t="s">
        <v>487</v>
      </c>
      <c r="G242">
        <v>118</v>
      </c>
      <c r="I242">
        <v>15</v>
      </c>
      <c r="J242">
        <v>133</v>
      </c>
      <c r="K242">
        <v>165</v>
      </c>
      <c r="L242">
        <v>170</v>
      </c>
      <c r="M242">
        <v>225</v>
      </c>
      <c r="N242">
        <v>160</v>
      </c>
      <c r="O242">
        <v>185</v>
      </c>
      <c r="P242">
        <v>570</v>
      </c>
    </row>
    <row r="243" spans="1:16" x14ac:dyDescent="0.25">
      <c r="A243">
        <v>2025</v>
      </c>
      <c r="B243">
        <v>766</v>
      </c>
      <c r="C243" t="s">
        <v>277</v>
      </c>
      <c r="D243" t="s">
        <v>494</v>
      </c>
      <c r="E243" t="s">
        <v>483</v>
      </c>
      <c r="F243" t="s">
        <v>488</v>
      </c>
      <c r="G243">
        <v>135</v>
      </c>
      <c r="I243">
        <v>15</v>
      </c>
      <c r="J243">
        <v>150</v>
      </c>
      <c r="K243">
        <v>185</v>
      </c>
      <c r="L243">
        <v>190</v>
      </c>
      <c r="M243">
        <v>250</v>
      </c>
      <c r="N243">
        <v>175</v>
      </c>
      <c r="O243">
        <v>205</v>
      </c>
      <c r="P243">
        <v>640</v>
      </c>
    </row>
    <row r="244" spans="1:16" x14ac:dyDescent="0.25">
      <c r="A244">
        <v>2025</v>
      </c>
      <c r="B244">
        <v>767</v>
      </c>
      <c r="C244" t="s">
        <v>277</v>
      </c>
      <c r="D244" t="s">
        <v>494</v>
      </c>
      <c r="E244" t="s">
        <v>483</v>
      </c>
      <c r="F244" t="s">
        <v>489</v>
      </c>
      <c r="G244">
        <v>260</v>
      </c>
      <c r="I244">
        <v>15</v>
      </c>
      <c r="J244">
        <v>275</v>
      </c>
      <c r="K244">
        <v>330</v>
      </c>
      <c r="L244">
        <v>345</v>
      </c>
      <c r="M244">
        <v>450</v>
      </c>
      <c r="N244">
        <v>320</v>
      </c>
      <c r="O244">
        <v>370</v>
      </c>
      <c r="P244">
        <v>1110</v>
      </c>
    </row>
    <row r="245" spans="1:16" x14ac:dyDescent="0.25">
      <c r="A245">
        <v>2025</v>
      </c>
      <c r="B245">
        <v>772</v>
      </c>
      <c r="C245" t="s">
        <v>277</v>
      </c>
      <c r="D245" t="s">
        <v>494</v>
      </c>
      <c r="E245" t="s">
        <v>483</v>
      </c>
      <c r="F245" t="s">
        <v>490</v>
      </c>
      <c r="G245">
        <v>140</v>
      </c>
      <c r="I245">
        <v>15</v>
      </c>
      <c r="J245">
        <v>155</v>
      </c>
      <c r="K245">
        <v>190</v>
      </c>
      <c r="L245">
        <v>195</v>
      </c>
      <c r="M245">
        <v>250</v>
      </c>
      <c r="N245">
        <v>180</v>
      </c>
      <c r="O245">
        <v>210</v>
      </c>
      <c r="P245">
        <v>650</v>
      </c>
    </row>
    <row r="246" spans="1:16" x14ac:dyDescent="0.25">
      <c r="A246">
        <v>2026</v>
      </c>
      <c r="B246">
        <v>801</v>
      </c>
      <c r="C246" t="s">
        <v>277</v>
      </c>
      <c r="D246" t="s">
        <v>497</v>
      </c>
      <c r="E246" t="s">
        <v>290</v>
      </c>
      <c r="F246" t="s">
        <v>975</v>
      </c>
      <c r="G246">
        <v>1350</v>
      </c>
      <c r="I246">
        <v>25</v>
      </c>
      <c r="J246">
        <v>1375</v>
      </c>
      <c r="K246">
        <v>1705</v>
      </c>
      <c r="L246">
        <v>1790</v>
      </c>
      <c r="M246">
        <v>2175</v>
      </c>
      <c r="N246">
        <v>1650</v>
      </c>
      <c r="O246">
        <v>1920</v>
      </c>
      <c r="P246">
        <v>5220</v>
      </c>
    </row>
    <row r="247" spans="1:16" x14ac:dyDescent="0.25">
      <c r="A247">
        <v>2026</v>
      </c>
      <c r="B247">
        <v>802</v>
      </c>
      <c r="C247" t="s">
        <v>277</v>
      </c>
      <c r="D247" t="s">
        <v>497</v>
      </c>
      <c r="E247" t="s">
        <v>290</v>
      </c>
      <c r="F247" t="s">
        <v>977</v>
      </c>
      <c r="G247">
        <v>2210</v>
      </c>
      <c r="I247">
        <v>25</v>
      </c>
      <c r="J247">
        <v>2235</v>
      </c>
      <c r="K247">
        <v>2765</v>
      </c>
      <c r="L247">
        <v>2910</v>
      </c>
      <c r="M247">
        <v>4000</v>
      </c>
      <c r="N247">
        <v>2680</v>
      </c>
      <c r="O247">
        <v>3115</v>
      </c>
      <c r="P247">
        <v>9510</v>
      </c>
    </row>
    <row r="248" spans="1:16" x14ac:dyDescent="0.25">
      <c r="A248">
        <v>2026</v>
      </c>
      <c r="B248">
        <v>803</v>
      </c>
      <c r="C248" t="s">
        <v>277</v>
      </c>
      <c r="D248" t="s">
        <v>497</v>
      </c>
      <c r="E248" t="s">
        <v>527</v>
      </c>
      <c r="F248" t="s">
        <v>932</v>
      </c>
      <c r="G248">
        <v>1600</v>
      </c>
      <c r="I248">
        <v>25</v>
      </c>
      <c r="J248">
        <v>1625</v>
      </c>
      <c r="K248">
        <v>2010</v>
      </c>
      <c r="L248">
        <v>2115</v>
      </c>
      <c r="M248">
        <v>2600</v>
      </c>
      <c r="N248">
        <v>1950</v>
      </c>
      <c r="O248">
        <v>2265</v>
      </c>
      <c r="P248">
        <v>6920</v>
      </c>
    </row>
    <row r="249" spans="1:16" x14ac:dyDescent="0.25">
      <c r="A249">
        <v>2026</v>
      </c>
      <c r="B249">
        <v>804</v>
      </c>
      <c r="C249" t="s">
        <v>277</v>
      </c>
      <c r="D249" t="s">
        <v>497</v>
      </c>
      <c r="E249" t="s">
        <v>290</v>
      </c>
      <c r="F249" t="s">
        <v>978</v>
      </c>
      <c r="G249">
        <v>2300</v>
      </c>
      <c r="I249">
        <v>25</v>
      </c>
      <c r="J249">
        <v>2325</v>
      </c>
      <c r="K249">
        <v>2875</v>
      </c>
      <c r="L249">
        <v>3025</v>
      </c>
      <c r="M249">
        <v>4150</v>
      </c>
      <c r="N249">
        <v>2785</v>
      </c>
      <c r="O249">
        <v>3240</v>
      </c>
      <c r="P249">
        <v>9890</v>
      </c>
    </row>
    <row r="250" spans="1:16" x14ac:dyDescent="0.25">
      <c r="A250">
        <v>2025</v>
      </c>
      <c r="B250">
        <v>805</v>
      </c>
      <c r="C250" t="s">
        <v>277</v>
      </c>
      <c r="D250" t="s">
        <v>497</v>
      </c>
      <c r="E250" t="s">
        <v>80</v>
      </c>
      <c r="F250" t="s">
        <v>68</v>
      </c>
      <c r="G250">
        <v>1375</v>
      </c>
      <c r="I250">
        <v>25</v>
      </c>
      <c r="J250">
        <v>1400</v>
      </c>
      <c r="K250">
        <v>1730</v>
      </c>
      <c r="L250">
        <v>1820</v>
      </c>
      <c r="M250">
        <v>2225</v>
      </c>
      <c r="N250">
        <v>1675</v>
      </c>
      <c r="O250">
        <v>1950</v>
      </c>
      <c r="P250">
        <v>5970</v>
      </c>
    </row>
    <row r="251" spans="1:16" x14ac:dyDescent="0.25">
      <c r="A251">
        <v>2025</v>
      </c>
      <c r="B251">
        <v>806</v>
      </c>
      <c r="C251" t="s">
        <v>277</v>
      </c>
      <c r="D251" t="s">
        <v>497</v>
      </c>
      <c r="E251" t="s">
        <v>328</v>
      </c>
      <c r="F251" t="s">
        <v>329</v>
      </c>
      <c r="G251">
        <v>3525</v>
      </c>
      <c r="I251">
        <v>25</v>
      </c>
      <c r="J251">
        <v>3550</v>
      </c>
      <c r="K251">
        <v>4385</v>
      </c>
      <c r="L251">
        <v>4615</v>
      </c>
      <c r="M251">
        <v>6300</v>
      </c>
      <c r="N251">
        <v>4250</v>
      </c>
      <c r="O251">
        <v>4940</v>
      </c>
      <c r="P251">
        <v>15090</v>
      </c>
    </row>
    <row r="252" spans="1:16" x14ac:dyDescent="0.25">
      <c r="A252">
        <v>2026</v>
      </c>
      <c r="B252">
        <v>807</v>
      </c>
      <c r="C252" t="s">
        <v>277</v>
      </c>
      <c r="D252" t="s">
        <v>497</v>
      </c>
      <c r="E252" t="s">
        <v>290</v>
      </c>
      <c r="F252" t="s">
        <v>974</v>
      </c>
      <c r="G252">
        <v>1040</v>
      </c>
      <c r="I252">
        <v>25</v>
      </c>
      <c r="J252">
        <v>1065</v>
      </c>
      <c r="K252">
        <v>1320</v>
      </c>
      <c r="L252">
        <v>1385</v>
      </c>
      <c r="M252">
        <v>1700</v>
      </c>
      <c r="N252">
        <v>1275</v>
      </c>
      <c r="O252">
        <v>1485</v>
      </c>
      <c r="P252">
        <v>4050</v>
      </c>
    </row>
    <row r="253" spans="1:16" x14ac:dyDescent="0.25">
      <c r="B253">
        <v>808</v>
      </c>
      <c r="C253" t="s">
        <v>277</v>
      </c>
      <c r="D253" t="s">
        <v>497</v>
      </c>
      <c r="E253" t="s">
        <v>345</v>
      </c>
      <c r="F253" t="s">
        <v>347</v>
      </c>
      <c r="G253">
        <v>1250</v>
      </c>
      <c r="I253">
        <v>25</v>
      </c>
      <c r="J253">
        <v>1275</v>
      </c>
      <c r="K253">
        <v>1580</v>
      </c>
      <c r="L253">
        <v>1660</v>
      </c>
      <c r="M253">
        <v>2025</v>
      </c>
      <c r="N253">
        <v>1530</v>
      </c>
      <c r="O253">
        <v>1780</v>
      </c>
      <c r="P253">
        <v>4840</v>
      </c>
    </row>
    <row r="254" spans="1:16" x14ac:dyDescent="0.25">
      <c r="A254">
        <v>2026</v>
      </c>
      <c r="B254">
        <v>809</v>
      </c>
      <c r="C254" t="s">
        <v>277</v>
      </c>
      <c r="D254" t="s">
        <v>497</v>
      </c>
      <c r="E254" t="s">
        <v>290</v>
      </c>
      <c r="F254" t="s">
        <v>979</v>
      </c>
      <c r="G254">
        <v>2000</v>
      </c>
      <c r="I254">
        <v>25</v>
      </c>
      <c r="J254">
        <v>2025</v>
      </c>
      <c r="K254">
        <v>2505</v>
      </c>
      <c r="L254">
        <v>2635</v>
      </c>
      <c r="M254">
        <v>3600</v>
      </c>
      <c r="N254">
        <v>2425</v>
      </c>
      <c r="O254">
        <v>2820</v>
      </c>
      <c r="P254">
        <v>8620</v>
      </c>
    </row>
    <row r="255" spans="1:16" x14ac:dyDescent="0.25">
      <c r="B255">
        <v>810</v>
      </c>
      <c r="C255" t="s">
        <v>277</v>
      </c>
      <c r="D255" t="s">
        <v>497</v>
      </c>
      <c r="F255" t="s">
        <v>70</v>
      </c>
      <c r="G255">
        <v>2100</v>
      </c>
      <c r="I255">
        <v>25</v>
      </c>
      <c r="J255">
        <v>2125</v>
      </c>
      <c r="K255">
        <v>2630</v>
      </c>
      <c r="L255">
        <v>2765</v>
      </c>
      <c r="M255">
        <v>3800</v>
      </c>
      <c r="N255">
        <v>2545</v>
      </c>
      <c r="O255">
        <v>2960</v>
      </c>
      <c r="P255">
        <v>9040</v>
      </c>
    </row>
    <row r="256" spans="1:16" x14ac:dyDescent="0.25">
      <c r="A256">
        <v>2026</v>
      </c>
      <c r="B256">
        <v>811</v>
      </c>
      <c r="C256" t="s">
        <v>277</v>
      </c>
      <c r="D256" t="s">
        <v>497</v>
      </c>
      <c r="E256" t="s">
        <v>136</v>
      </c>
      <c r="F256" t="s">
        <v>936</v>
      </c>
      <c r="G256">
        <v>1200</v>
      </c>
      <c r="I256">
        <v>25</v>
      </c>
      <c r="J256">
        <v>1225</v>
      </c>
      <c r="K256">
        <v>1520</v>
      </c>
      <c r="L256">
        <v>1595</v>
      </c>
      <c r="M256">
        <v>1950</v>
      </c>
      <c r="N256">
        <v>1470</v>
      </c>
      <c r="O256">
        <v>1710</v>
      </c>
      <c r="P256">
        <v>4650</v>
      </c>
    </row>
    <row r="257" spans="1:16" x14ac:dyDescent="0.25">
      <c r="A257">
        <v>2026</v>
      </c>
      <c r="B257">
        <v>812</v>
      </c>
      <c r="C257" t="s">
        <v>277</v>
      </c>
      <c r="D257" t="s">
        <v>497</v>
      </c>
      <c r="F257" t="s">
        <v>73</v>
      </c>
      <c r="G257">
        <v>810</v>
      </c>
      <c r="I257">
        <v>25</v>
      </c>
      <c r="J257">
        <v>835</v>
      </c>
      <c r="K257">
        <v>1040</v>
      </c>
      <c r="L257">
        <v>1090</v>
      </c>
      <c r="M257">
        <v>1325</v>
      </c>
      <c r="N257">
        <v>1005</v>
      </c>
      <c r="O257">
        <v>1170</v>
      </c>
      <c r="P257">
        <v>3180</v>
      </c>
    </row>
    <row r="258" spans="1:16" x14ac:dyDescent="0.25">
      <c r="A258">
        <v>2026</v>
      </c>
      <c r="B258">
        <v>813</v>
      </c>
      <c r="C258" t="s">
        <v>277</v>
      </c>
      <c r="D258" t="s">
        <v>497</v>
      </c>
      <c r="E258" t="s">
        <v>290</v>
      </c>
      <c r="F258" t="s">
        <v>982</v>
      </c>
      <c r="G258">
        <v>2875</v>
      </c>
      <c r="I258">
        <v>25</v>
      </c>
      <c r="J258">
        <v>2900</v>
      </c>
      <c r="K258">
        <v>3585</v>
      </c>
      <c r="L258">
        <v>3770</v>
      </c>
      <c r="M258">
        <v>5150</v>
      </c>
      <c r="N258">
        <v>3470</v>
      </c>
      <c r="O258">
        <v>4035</v>
      </c>
      <c r="P258">
        <v>12330</v>
      </c>
    </row>
    <row r="259" spans="1:16" x14ac:dyDescent="0.25">
      <c r="A259">
        <v>2026</v>
      </c>
      <c r="B259">
        <v>814</v>
      </c>
      <c r="C259" t="s">
        <v>277</v>
      </c>
      <c r="D259" t="s">
        <v>497</v>
      </c>
      <c r="E259" t="s">
        <v>290</v>
      </c>
      <c r="F259" t="s">
        <v>980</v>
      </c>
      <c r="G259">
        <v>1275</v>
      </c>
      <c r="I259">
        <v>25</v>
      </c>
      <c r="J259">
        <v>1300</v>
      </c>
      <c r="K259">
        <v>1610</v>
      </c>
      <c r="L259">
        <v>1690</v>
      </c>
      <c r="M259">
        <v>2050</v>
      </c>
      <c r="N259">
        <v>1555</v>
      </c>
      <c r="O259">
        <v>1810</v>
      </c>
      <c r="P259">
        <v>4940</v>
      </c>
    </row>
    <row r="260" spans="1:16" x14ac:dyDescent="0.25">
      <c r="A260">
        <v>2026</v>
      </c>
      <c r="B260">
        <v>815</v>
      </c>
      <c r="C260" t="s">
        <v>277</v>
      </c>
      <c r="D260" t="s">
        <v>497</v>
      </c>
      <c r="E260" t="s">
        <v>174</v>
      </c>
      <c r="F260" t="s">
        <v>177</v>
      </c>
      <c r="G260">
        <v>1150</v>
      </c>
      <c r="I260">
        <v>25</v>
      </c>
      <c r="J260">
        <v>1175</v>
      </c>
      <c r="K260">
        <v>1455</v>
      </c>
      <c r="L260">
        <v>1530</v>
      </c>
      <c r="M260">
        <v>1875</v>
      </c>
      <c r="N260">
        <v>1410</v>
      </c>
      <c r="O260">
        <v>1640</v>
      </c>
      <c r="P260">
        <v>4460</v>
      </c>
    </row>
    <row r="261" spans="1:16" x14ac:dyDescent="0.25">
      <c r="A261">
        <v>2025</v>
      </c>
      <c r="B261">
        <v>816</v>
      </c>
      <c r="C261" t="s">
        <v>284</v>
      </c>
      <c r="D261" t="s">
        <v>497</v>
      </c>
      <c r="E261" t="s">
        <v>527</v>
      </c>
      <c r="F261" t="s">
        <v>528</v>
      </c>
      <c r="G261">
        <v>850</v>
      </c>
      <c r="I261">
        <v>25</v>
      </c>
      <c r="J261">
        <v>875</v>
      </c>
      <c r="K261">
        <v>1085</v>
      </c>
      <c r="L261">
        <v>1140</v>
      </c>
      <c r="M261">
        <v>1400</v>
      </c>
      <c r="N261">
        <v>1050</v>
      </c>
      <c r="O261">
        <v>1220</v>
      </c>
      <c r="P261">
        <v>3330</v>
      </c>
    </row>
    <row r="262" spans="1:16" x14ac:dyDescent="0.25">
      <c r="B262">
        <v>817</v>
      </c>
      <c r="C262" t="s">
        <v>277</v>
      </c>
      <c r="D262" t="s">
        <v>497</v>
      </c>
      <c r="E262" t="s">
        <v>345</v>
      </c>
      <c r="F262" t="s">
        <v>346</v>
      </c>
      <c r="G262">
        <v>1650</v>
      </c>
      <c r="I262">
        <v>25</v>
      </c>
      <c r="J262">
        <v>1675</v>
      </c>
      <c r="K262">
        <v>2075</v>
      </c>
      <c r="L262">
        <v>2180</v>
      </c>
      <c r="M262">
        <v>3000</v>
      </c>
      <c r="N262">
        <v>2010</v>
      </c>
      <c r="O262">
        <v>2335</v>
      </c>
      <c r="P262">
        <v>7140</v>
      </c>
    </row>
    <row r="263" spans="1:16" x14ac:dyDescent="0.25">
      <c r="A263">
        <v>2025</v>
      </c>
      <c r="B263">
        <v>818</v>
      </c>
      <c r="C263" t="s">
        <v>277</v>
      </c>
      <c r="D263" t="s">
        <v>497</v>
      </c>
      <c r="E263" t="s">
        <v>527</v>
      </c>
      <c r="F263" t="s">
        <v>530</v>
      </c>
      <c r="G263">
        <v>850</v>
      </c>
      <c r="I263">
        <v>25</v>
      </c>
      <c r="J263">
        <v>875</v>
      </c>
      <c r="K263">
        <v>1085</v>
      </c>
      <c r="L263">
        <v>1140</v>
      </c>
      <c r="M263">
        <v>1400</v>
      </c>
      <c r="N263">
        <v>1050</v>
      </c>
      <c r="O263">
        <v>1220</v>
      </c>
      <c r="P263">
        <v>3330</v>
      </c>
    </row>
    <row r="264" spans="1:16" x14ac:dyDescent="0.25">
      <c r="A264">
        <v>2025</v>
      </c>
      <c r="B264">
        <v>819</v>
      </c>
      <c r="C264" t="s">
        <v>277</v>
      </c>
      <c r="D264" t="s">
        <v>497</v>
      </c>
      <c r="E264" t="s">
        <v>527</v>
      </c>
      <c r="F264" t="s">
        <v>531</v>
      </c>
      <c r="G264">
        <v>790</v>
      </c>
      <c r="I264">
        <v>25</v>
      </c>
      <c r="J264">
        <v>815</v>
      </c>
      <c r="K264">
        <v>1010</v>
      </c>
      <c r="L264">
        <v>1060</v>
      </c>
      <c r="M264">
        <v>1300</v>
      </c>
      <c r="N264">
        <v>980</v>
      </c>
      <c r="O264">
        <v>1135</v>
      </c>
      <c r="P264">
        <v>3110</v>
      </c>
    </row>
    <row r="265" spans="1:16" x14ac:dyDescent="0.25">
      <c r="A265">
        <v>2025</v>
      </c>
      <c r="B265">
        <v>820</v>
      </c>
      <c r="C265" t="s">
        <v>277</v>
      </c>
      <c r="D265" t="s">
        <v>497</v>
      </c>
      <c r="E265" t="s">
        <v>527</v>
      </c>
      <c r="F265" t="s">
        <v>532</v>
      </c>
      <c r="G265">
        <v>790</v>
      </c>
      <c r="I265">
        <v>25</v>
      </c>
      <c r="J265">
        <v>815</v>
      </c>
      <c r="K265">
        <v>1010</v>
      </c>
      <c r="L265">
        <v>1060</v>
      </c>
      <c r="M265">
        <v>1300</v>
      </c>
      <c r="N265">
        <v>980</v>
      </c>
      <c r="O265">
        <v>1135</v>
      </c>
      <c r="P265">
        <v>3110</v>
      </c>
    </row>
    <row r="266" spans="1:16" x14ac:dyDescent="0.25">
      <c r="A266">
        <v>2025</v>
      </c>
      <c r="B266">
        <v>821</v>
      </c>
      <c r="C266" t="s">
        <v>277</v>
      </c>
      <c r="D266" t="s">
        <v>497</v>
      </c>
      <c r="E266" t="s">
        <v>527</v>
      </c>
      <c r="F266" t="s">
        <v>533</v>
      </c>
      <c r="G266">
        <v>750</v>
      </c>
      <c r="I266">
        <v>25</v>
      </c>
      <c r="J266">
        <v>775</v>
      </c>
      <c r="K266">
        <v>960</v>
      </c>
      <c r="L266">
        <v>1010</v>
      </c>
      <c r="M266">
        <v>1225</v>
      </c>
      <c r="N266">
        <v>930</v>
      </c>
      <c r="O266">
        <v>1085</v>
      </c>
      <c r="P266">
        <v>2960</v>
      </c>
    </row>
    <row r="267" spans="1:16" x14ac:dyDescent="0.25">
      <c r="A267">
        <v>2025</v>
      </c>
      <c r="B267">
        <v>822</v>
      </c>
      <c r="C267" t="s">
        <v>277</v>
      </c>
      <c r="D267" t="s">
        <v>497</v>
      </c>
      <c r="E267" t="s">
        <v>527</v>
      </c>
      <c r="F267" t="s">
        <v>534</v>
      </c>
      <c r="G267">
        <v>790</v>
      </c>
      <c r="I267">
        <v>25</v>
      </c>
      <c r="J267">
        <v>815</v>
      </c>
      <c r="K267">
        <v>1010</v>
      </c>
      <c r="L267">
        <v>1060</v>
      </c>
      <c r="M267">
        <v>1300</v>
      </c>
      <c r="N267">
        <v>980</v>
      </c>
      <c r="O267">
        <v>1135</v>
      </c>
      <c r="P267">
        <v>3110</v>
      </c>
    </row>
    <row r="268" spans="1:16" x14ac:dyDescent="0.25">
      <c r="A268">
        <v>2026</v>
      </c>
      <c r="B268">
        <v>823</v>
      </c>
      <c r="C268" t="s">
        <v>277</v>
      </c>
      <c r="D268" t="s">
        <v>497</v>
      </c>
      <c r="E268" t="s">
        <v>290</v>
      </c>
      <c r="F268" t="s">
        <v>637</v>
      </c>
      <c r="G268">
        <v>900</v>
      </c>
      <c r="I268">
        <v>25</v>
      </c>
      <c r="J268">
        <v>925</v>
      </c>
      <c r="K268">
        <v>1145</v>
      </c>
      <c r="L268">
        <v>1205</v>
      </c>
      <c r="M268">
        <v>1475</v>
      </c>
      <c r="N268">
        <v>1110</v>
      </c>
      <c r="O268">
        <v>1290</v>
      </c>
      <c r="P268">
        <v>3520</v>
      </c>
    </row>
    <row r="269" spans="1:16" x14ac:dyDescent="0.25">
      <c r="A269">
        <v>2026</v>
      </c>
      <c r="B269">
        <v>824</v>
      </c>
      <c r="C269" t="s">
        <v>277</v>
      </c>
      <c r="D269" t="s">
        <v>497</v>
      </c>
      <c r="E269" t="s">
        <v>290</v>
      </c>
      <c r="F269" t="s">
        <v>983</v>
      </c>
      <c r="G269">
        <v>925</v>
      </c>
      <c r="I269">
        <v>25</v>
      </c>
      <c r="J269">
        <v>950</v>
      </c>
      <c r="K269">
        <v>1175</v>
      </c>
      <c r="L269">
        <v>1235</v>
      </c>
      <c r="M269">
        <v>1500</v>
      </c>
      <c r="N269">
        <v>1140</v>
      </c>
      <c r="O269">
        <v>1325</v>
      </c>
      <c r="P269">
        <v>3620</v>
      </c>
    </row>
    <row r="270" spans="1:16" x14ac:dyDescent="0.25">
      <c r="A270">
        <v>2026</v>
      </c>
      <c r="B270">
        <v>825</v>
      </c>
      <c r="C270" t="s">
        <v>277</v>
      </c>
      <c r="D270" t="s">
        <v>497</v>
      </c>
      <c r="E270" t="s">
        <v>290</v>
      </c>
      <c r="F270" t="s">
        <v>981</v>
      </c>
      <c r="G270">
        <v>1000</v>
      </c>
      <c r="I270">
        <v>25</v>
      </c>
      <c r="J270">
        <v>1025</v>
      </c>
      <c r="K270">
        <v>1270</v>
      </c>
      <c r="L270">
        <v>1335</v>
      </c>
      <c r="M270">
        <v>1625</v>
      </c>
      <c r="N270">
        <v>1230</v>
      </c>
      <c r="O270">
        <v>1430</v>
      </c>
      <c r="P270">
        <v>3900</v>
      </c>
    </row>
    <row r="271" spans="1:16" x14ac:dyDescent="0.25">
      <c r="B271">
        <v>826</v>
      </c>
      <c r="C271" t="s">
        <v>277</v>
      </c>
      <c r="D271" t="s">
        <v>497</v>
      </c>
      <c r="E271" t="s">
        <v>328</v>
      </c>
      <c r="F271" t="s">
        <v>330</v>
      </c>
      <c r="G271">
        <v>2175</v>
      </c>
      <c r="I271">
        <v>25</v>
      </c>
      <c r="J271">
        <v>2200</v>
      </c>
      <c r="K271">
        <v>2720</v>
      </c>
      <c r="L271">
        <v>2860</v>
      </c>
      <c r="M271">
        <v>3900</v>
      </c>
      <c r="N271">
        <v>2635</v>
      </c>
      <c r="O271">
        <v>3065</v>
      </c>
      <c r="P271">
        <v>9360</v>
      </c>
    </row>
    <row r="272" spans="1:16" x14ac:dyDescent="0.25">
      <c r="A272">
        <v>2026</v>
      </c>
      <c r="B272">
        <v>827</v>
      </c>
      <c r="C272" t="s">
        <v>277</v>
      </c>
      <c r="D272" t="s">
        <v>497</v>
      </c>
      <c r="E272" t="s">
        <v>290</v>
      </c>
      <c r="F272" t="s">
        <v>976</v>
      </c>
      <c r="G272">
        <v>1700</v>
      </c>
      <c r="I272">
        <v>25</v>
      </c>
      <c r="J272">
        <v>1725</v>
      </c>
      <c r="K272">
        <v>2135</v>
      </c>
      <c r="L272">
        <v>2245</v>
      </c>
      <c r="M272">
        <v>3100</v>
      </c>
      <c r="N272">
        <v>2070</v>
      </c>
      <c r="O272">
        <v>2405</v>
      </c>
      <c r="P272">
        <v>7350</v>
      </c>
    </row>
    <row r="273" spans="1:16" x14ac:dyDescent="0.25">
      <c r="A273">
        <v>2026</v>
      </c>
      <c r="B273">
        <v>828</v>
      </c>
      <c r="C273" t="s">
        <v>277</v>
      </c>
      <c r="D273" t="s">
        <v>497</v>
      </c>
      <c r="E273" t="s">
        <v>136</v>
      </c>
      <c r="F273" t="s">
        <v>924</v>
      </c>
      <c r="G273">
        <v>975</v>
      </c>
      <c r="I273">
        <v>25</v>
      </c>
      <c r="J273">
        <v>1000</v>
      </c>
      <c r="K273">
        <v>1235</v>
      </c>
      <c r="L273">
        <v>1300</v>
      </c>
      <c r="M273">
        <v>1575</v>
      </c>
      <c r="N273">
        <v>1200</v>
      </c>
      <c r="O273">
        <v>1395</v>
      </c>
      <c r="P273">
        <v>3800</v>
      </c>
    </row>
    <row r="274" spans="1:16" x14ac:dyDescent="0.25">
      <c r="A274">
        <v>2025</v>
      </c>
      <c r="B274">
        <v>829</v>
      </c>
      <c r="C274" t="s">
        <v>277</v>
      </c>
      <c r="D274" t="s">
        <v>497</v>
      </c>
      <c r="E274" t="s">
        <v>290</v>
      </c>
      <c r="F274" t="s">
        <v>636</v>
      </c>
      <c r="G274">
        <v>2500</v>
      </c>
      <c r="I274">
        <v>25</v>
      </c>
      <c r="J274">
        <v>2525</v>
      </c>
      <c r="K274">
        <v>3125</v>
      </c>
      <c r="L274">
        <v>3285</v>
      </c>
      <c r="M274">
        <v>4500</v>
      </c>
      <c r="N274">
        <v>3025</v>
      </c>
      <c r="O274">
        <v>3515</v>
      </c>
      <c r="P274">
        <v>10740</v>
      </c>
    </row>
    <row r="275" spans="1:16" x14ac:dyDescent="0.25">
      <c r="A275">
        <v>2026</v>
      </c>
      <c r="B275">
        <v>830</v>
      </c>
      <c r="C275" t="s">
        <v>277</v>
      </c>
      <c r="D275" t="s">
        <v>497</v>
      </c>
      <c r="E275" t="s">
        <v>290</v>
      </c>
      <c r="F275" t="s">
        <v>984</v>
      </c>
      <c r="G275">
        <v>975</v>
      </c>
      <c r="I275">
        <v>25</v>
      </c>
      <c r="J275">
        <v>1000</v>
      </c>
      <c r="K275">
        <v>1235</v>
      </c>
      <c r="L275">
        <v>1300</v>
      </c>
      <c r="M275">
        <v>1575</v>
      </c>
      <c r="N275">
        <v>1200</v>
      </c>
      <c r="O275">
        <v>1395</v>
      </c>
      <c r="P275">
        <v>3800</v>
      </c>
    </row>
    <row r="276" spans="1:16" x14ac:dyDescent="0.25">
      <c r="A276">
        <v>2026</v>
      </c>
      <c r="B276">
        <v>831</v>
      </c>
      <c r="C276" t="s">
        <v>277</v>
      </c>
      <c r="D276" t="s">
        <v>497</v>
      </c>
      <c r="E276" t="s">
        <v>136</v>
      </c>
      <c r="F276" t="s">
        <v>940</v>
      </c>
      <c r="G276">
        <v>1250</v>
      </c>
      <c r="I276">
        <v>25</v>
      </c>
      <c r="J276">
        <v>1275</v>
      </c>
      <c r="K276">
        <v>1580</v>
      </c>
      <c r="L276">
        <v>1660</v>
      </c>
      <c r="M276">
        <v>2025</v>
      </c>
      <c r="N276">
        <v>1530</v>
      </c>
      <c r="O276">
        <v>1780</v>
      </c>
      <c r="P276">
        <v>4840</v>
      </c>
    </row>
    <row r="277" spans="1:16" x14ac:dyDescent="0.25">
      <c r="A277">
        <v>2025</v>
      </c>
      <c r="B277">
        <v>832</v>
      </c>
      <c r="C277" t="s">
        <v>277</v>
      </c>
      <c r="D277" t="s">
        <v>497</v>
      </c>
      <c r="F277" t="s">
        <v>65</v>
      </c>
      <c r="G277">
        <v>1050</v>
      </c>
      <c r="I277">
        <v>25</v>
      </c>
      <c r="J277">
        <v>1075</v>
      </c>
      <c r="K277">
        <v>1330</v>
      </c>
      <c r="L277">
        <v>1400</v>
      </c>
      <c r="M277">
        <v>1700</v>
      </c>
      <c r="N277">
        <v>1290</v>
      </c>
      <c r="O277">
        <v>1500</v>
      </c>
      <c r="P277">
        <v>4090</v>
      </c>
    </row>
    <row r="278" spans="1:16" x14ac:dyDescent="0.25">
      <c r="B278">
        <v>833</v>
      </c>
      <c r="C278" t="s">
        <v>277</v>
      </c>
      <c r="D278" t="s">
        <v>497</v>
      </c>
      <c r="E278" t="s">
        <v>290</v>
      </c>
      <c r="F278" t="s">
        <v>109</v>
      </c>
      <c r="G278">
        <v>770</v>
      </c>
      <c r="I278">
        <v>25</v>
      </c>
      <c r="J278">
        <v>795</v>
      </c>
      <c r="K278">
        <v>985</v>
      </c>
      <c r="L278">
        <v>1035</v>
      </c>
      <c r="M278">
        <v>1275</v>
      </c>
      <c r="N278">
        <v>955</v>
      </c>
      <c r="O278">
        <v>1110</v>
      </c>
      <c r="P278">
        <v>3030</v>
      </c>
    </row>
    <row r="279" spans="1:16" x14ac:dyDescent="0.25">
      <c r="A279">
        <v>2026</v>
      </c>
      <c r="B279">
        <v>834</v>
      </c>
      <c r="C279" t="s">
        <v>277</v>
      </c>
      <c r="D279" t="s">
        <v>497</v>
      </c>
      <c r="E279" t="s">
        <v>527</v>
      </c>
      <c r="F279" t="s">
        <v>931</v>
      </c>
      <c r="G279">
        <v>1000</v>
      </c>
      <c r="I279">
        <v>25</v>
      </c>
      <c r="J279">
        <v>1025</v>
      </c>
      <c r="K279">
        <v>1270</v>
      </c>
      <c r="L279">
        <v>1335</v>
      </c>
      <c r="M279">
        <v>1625</v>
      </c>
      <c r="N279">
        <v>1230</v>
      </c>
      <c r="O279">
        <v>1430</v>
      </c>
      <c r="P279">
        <v>3900</v>
      </c>
    </row>
    <row r="280" spans="1:16" x14ac:dyDescent="0.25">
      <c r="B280">
        <v>835</v>
      </c>
      <c r="C280" t="s">
        <v>277</v>
      </c>
      <c r="D280" t="s">
        <v>497</v>
      </c>
      <c r="E280" t="s">
        <v>174</v>
      </c>
      <c r="F280" t="s">
        <v>55</v>
      </c>
      <c r="G280">
        <v>1100</v>
      </c>
      <c r="I280">
        <v>25</v>
      </c>
      <c r="J280">
        <v>1125</v>
      </c>
      <c r="K280">
        <v>1395</v>
      </c>
      <c r="L280">
        <v>1465</v>
      </c>
      <c r="M280">
        <v>1775</v>
      </c>
      <c r="N280">
        <v>1350</v>
      </c>
      <c r="O280">
        <v>1570</v>
      </c>
      <c r="P280">
        <v>4280</v>
      </c>
    </row>
    <row r="281" spans="1:16" x14ac:dyDescent="0.25">
      <c r="A281">
        <v>2025</v>
      </c>
      <c r="B281">
        <v>836</v>
      </c>
      <c r="C281" t="s">
        <v>277</v>
      </c>
      <c r="D281" t="s">
        <v>497</v>
      </c>
      <c r="E281" t="s">
        <v>527</v>
      </c>
      <c r="F281" t="s">
        <v>529</v>
      </c>
      <c r="G281">
        <v>850</v>
      </c>
      <c r="I281">
        <v>25</v>
      </c>
      <c r="J281">
        <v>875</v>
      </c>
      <c r="K281">
        <v>1085</v>
      </c>
      <c r="L281">
        <v>1140</v>
      </c>
      <c r="M281">
        <v>1400</v>
      </c>
      <c r="N281">
        <v>1050</v>
      </c>
      <c r="O281">
        <v>1220</v>
      </c>
      <c r="P281">
        <v>3330</v>
      </c>
    </row>
    <row r="282" spans="1:16" x14ac:dyDescent="0.25">
      <c r="A282">
        <v>2026</v>
      </c>
      <c r="B282">
        <v>837</v>
      </c>
      <c r="C282" t="s">
        <v>277</v>
      </c>
      <c r="D282" t="s">
        <v>497</v>
      </c>
      <c r="E282" t="s">
        <v>527</v>
      </c>
      <c r="F282" t="s">
        <v>1020</v>
      </c>
      <c r="G282">
        <v>950</v>
      </c>
      <c r="I282">
        <v>25</v>
      </c>
      <c r="J282">
        <v>975</v>
      </c>
      <c r="K282">
        <v>1210</v>
      </c>
      <c r="L282">
        <v>1270</v>
      </c>
      <c r="M282">
        <v>1550</v>
      </c>
      <c r="N282">
        <v>1170</v>
      </c>
      <c r="O282">
        <v>1360</v>
      </c>
      <c r="P282">
        <v>3710</v>
      </c>
    </row>
    <row r="283" spans="1:16" x14ac:dyDescent="0.25">
      <c r="A283">
        <v>2025</v>
      </c>
      <c r="B283">
        <v>838</v>
      </c>
      <c r="C283" t="s">
        <v>277</v>
      </c>
      <c r="D283" t="s">
        <v>497</v>
      </c>
      <c r="E283" t="s">
        <v>290</v>
      </c>
      <c r="F283" t="s">
        <v>61</v>
      </c>
      <c r="G283">
        <v>595</v>
      </c>
      <c r="I283">
        <v>25</v>
      </c>
      <c r="J283">
        <v>620</v>
      </c>
      <c r="K283">
        <v>770</v>
      </c>
      <c r="L283">
        <v>810</v>
      </c>
      <c r="M283">
        <v>1000</v>
      </c>
      <c r="N283">
        <v>750</v>
      </c>
      <c r="O283">
        <v>870</v>
      </c>
      <c r="P283">
        <v>2370</v>
      </c>
    </row>
    <row r="284" spans="1:16" x14ac:dyDescent="0.25">
      <c r="A284">
        <v>2026</v>
      </c>
      <c r="B284">
        <v>839</v>
      </c>
      <c r="C284" t="s">
        <v>277</v>
      </c>
      <c r="D284" t="s">
        <v>497</v>
      </c>
      <c r="E284" t="s">
        <v>80</v>
      </c>
      <c r="F284" t="s">
        <v>67</v>
      </c>
      <c r="G284">
        <v>765</v>
      </c>
      <c r="I284">
        <v>25</v>
      </c>
      <c r="J284">
        <v>790</v>
      </c>
      <c r="K284">
        <v>980</v>
      </c>
      <c r="L284">
        <v>1030</v>
      </c>
      <c r="M284">
        <v>1250</v>
      </c>
      <c r="N284">
        <v>950</v>
      </c>
      <c r="O284">
        <v>1105</v>
      </c>
      <c r="P284">
        <v>3010</v>
      </c>
    </row>
    <row r="285" spans="1:16" x14ac:dyDescent="0.25">
      <c r="A285">
        <v>2025</v>
      </c>
      <c r="B285">
        <v>840</v>
      </c>
      <c r="C285" t="s">
        <v>277</v>
      </c>
      <c r="D285" t="s">
        <v>497</v>
      </c>
      <c r="E285" t="s">
        <v>80</v>
      </c>
      <c r="F285" t="s">
        <v>58</v>
      </c>
      <c r="G285">
        <v>725</v>
      </c>
      <c r="I285">
        <v>25</v>
      </c>
      <c r="J285">
        <v>750</v>
      </c>
      <c r="K285">
        <v>930</v>
      </c>
      <c r="L285">
        <v>975</v>
      </c>
      <c r="M285">
        <v>1200</v>
      </c>
      <c r="N285">
        <v>900</v>
      </c>
      <c r="O285">
        <v>1045</v>
      </c>
      <c r="P285">
        <v>2860</v>
      </c>
    </row>
    <row r="286" spans="1:16" x14ac:dyDescent="0.25">
      <c r="B286">
        <v>907</v>
      </c>
      <c r="C286" t="s">
        <v>277</v>
      </c>
      <c r="D286" t="s">
        <v>497</v>
      </c>
      <c r="F286" t="s">
        <v>257</v>
      </c>
      <c r="G286">
        <v>1050</v>
      </c>
      <c r="I286">
        <v>900</v>
      </c>
      <c r="J286">
        <v>1950</v>
      </c>
      <c r="K286">
        <v>2410</v>
      </c>
      <c r="L286">
        <v>2535</v>
      </c>
      <c r="M286">
        <v>3500</v>
      </c>
      <c r="N286">
        <v>2335</v>
      </c>
      <c r="O286">
        <v>2715</v>
      </c>
      <c r="P286">
        <v>4090</v>
      </c>
    </row>
    <row r="287" spans="1:16" x14ac:dyDescent="0.25">
      <c r="B287">
        <v>948</v>
      </c>
      <c r="C287" t="s">
        <v>284</v>
      </c>
      <c r="D287" t="s">
        <v>493</v>
      </c>
      <c r="F287" t="s">
        <v>4</v>
      </c>
      <c r="G287">
        <v>390</v>
      </c>
      <c r="I287">
        <v>215</v>
      </c>
      <c r="J287">
        <v>605</v>
      </c>
      <c r="K287">
        <v>780</v>
      </c>
      <c r="L287">
        <v>820</v>
      </c>
      <c r="M287">
        <v>975</v>
      </c>
      <c r="N287">
        <v>755</v>
      </c>
      <c r="O287">
        <v>880</v>
      </c>
      <c r="P287">
        <v>1600</v>
      </c>
    </row>
    <row r="288" spans="1:16" x14ac:dyDescent="0.25">
      <c r="B288">
        <v>949</v>
      </c>
      <c r="C288" t="s">
        <v>284</v>
      </c>
      <c r="D288" t="s">
        <v>493</v>
      </c>
      <c r="F288" t="s">
        <v>12</v>
      </c>
      <c r="G288">
        <v>460</v>
      </c>
      <c r="I288">
        <v>215</v>
      </c>
      <c r="J288">
        <v>675</v>
      </c>
      <c r="K288">
        <v>870</v>
      </c>
      <c r="L288">
        <v>915</v>
      </c>
      <c r="M288">
        <v>1075</v>
      </c>
      <c r="N288">
        <v>845</v>
      </c>
      <c r="O288">
        <v>980</v>
      </c>
      <c r="P288">
        <v>1860</v>
      </c>
    </row>
    <row r="289" spans="1:16" x14ac:dyDescent="0.25">
      <c r="B289">
        <v>951</v>
      </c>
      <c r="C289" t="s">
        <v>284</v>
      </c>
      <c r="D289" t="s">
        <v>493</v>
      </c>
      <c r="F289" t="s">
        <v>89</v>
      </c>
      <c r="G289">
        <v>390</v>
      </c>
      <c r="I289">
        <v>300</v>
      </c>
      <c r="J289">
        <v>690</v>
      </c>
      <c r="K289">
        <v>890</v>
      </c>
      <c r="L289">
        <v>935</v>
      </c>
      <c r="M289">
        <v>1100</v>
      </c>
      <c r="N289">
        <v>865</v>
      </c>
      <c r="O289">
        <v>1005</v>
      </c>
      <c r="P289">
        <v>1600</v>
      </c>
    </row>
    <row r="290" spans="1:16" x14ac:dyDescent="0.25">
      <c r="A290">
        <v>2026</v>
      </c>
      <c r="B290">
        <v>959</v>
      </c>
      <c r="C290" t="s">
        <v>284</v>
      </c>
      <c r="D290" t="s">
        <v>493</v>
      </c>
      <c r="E290" t="s">
        <v>995</v>
      </c>
      <c r="F290" t="s">
        <v>34</v>
      </c>
      <c r="G290">
        <v>390</v>
      </c>
      <c r="I290">
        <v>265</v>
      </c>
      <c r="J290">
        <v>655</v>
      </c>
      <c r="K290">
        <v>845</v>
      </c>
      <c r="L290">
        <v>885</v>
      </c>
      <c r="M290">
        <v>1050</v>
      </c>
      <c r="N290">
        <v>815</v>
      </c>
      <c r="O290">
        <v>950</v>
      </c>
      <c r="P290">
        <v>1600</v>
      </c>
    </row>
    <row r="291" spans="1:16" x14ac:dyDescent="0.25">
      <c r="B291">
        <v>960</v>
      </c>
      <c r="C291" t="s">
        <v>284</v>
      </c>
      <c r="D291" t="s">
        <v>493</v>
      </c>
      <c r="F291" t="s">
        <v>88</v>
      </c>
      <c r="G291">
        <v>460</v>
      </c>
      <c r="I291">
        <v>325</v>
      </c>
      <c r="J291">
        <v>785</v>
      </c>
      <c r="K291">
        <v>1010</v>
      </c>
      <c r="L291">
        <v>1060</v>
      </c>
      <c r="M291">
        <v>1250</v>
      </c>
      <c r="N291">
        <v>980</v>
      </c>
      <c r="O291">
        <v>1135</v>
      </c>
      <c r="P291">
        <v>1860</v>
      </c>
    </row>
    <row r="292" spans="1:16" x14ac:dyDescent="0.25">
      <c r="B292">
        <v>962</v>
      </c>
      <c r="C292" t="s">
        <v>284</v>
      </c>
      <c r="D292" t="s">
        <v>493</v>
      </c>
      <c r="F292" t="s">
        <v>1</v>
      </c>
      <c r="G292">
        <v>460</v>
      </c>
      <c r="I292">
        <v>310</v>
      </c>
      <c r="J292">
        <v>770</v>
      </c>
      <c r="K292">
        <v>990</v>
      </c>
      <c r="L292">
        <v>1040</v>
      </c>
      <c r="M292">
        <v>1225</v>
      </c>
      <c r="N292">
        <v>960</v>
      </c>
      <c r="O292">
        <v>1115</v>
      </c>
      <c r="P292">
        <v>1860</v>
      </c>
    </row>
    <row r="293" spans="1:16" x14ac:dyDescent="0.25">
      <c r="B293">
        <v>965</v>
      </c>
      <c r="C293" t="s">
        <v>284</v>
      </c>
      <c r="D293" t="s">
        <v>493</v>
      </c>
      <c r="F293" t="s">
        <v>3</v>
      </c>
      <c r="G293">
        <v>390</v>
      </c>
      <c r="I293">
        <v>165</v>
      </c>
      <c r="J293">
        <v>555</v>
      </c>
      <c r="K293">
        <v>715</v>
      </c>
      <c r="L293">
        <v>750</v>
      </c>
      <c r="M293">
        <v>875</v>
      </c>
      <c r="N293">
        <v>690</v>
      </c>
      <c r="O293">
        <v>805</v>
      </c>
      <c r="P293">
        <v>1600</v>
      </c>
    </row>
    <row r="294" spans="1:16" x14ac:dyDescent="0.25">
      <c r="B294">
        <v>968</v>
      </c>
      <c r="C294" t="s">
        <v>284</v>
      </c>
      <c r="D294" t="s">
        <v>493</v>
      </c>
      <c r="F294" t="s">
        <v>1</v>
      </c>
      <c r="G294">
        <v>460</v>
      </c>
      <c r="I294">
        <v>310</v>
      </c>
      <c r="J294">
        <v>770</v>
      </c>
      <c r="K294">
        <v>990</v>
      </c>
      <c r="L294">
        <v>1040</v>
      </c>
      <c r="M294">
        <v>1225</v>
      </c>
      <c r="N294">
        <v>960</v>
      </c>
      <c r="O294">
        <v>1115</v>
      </c>
      <c r="P294">
        <v>1860</v>
      </c>
    </row>
    <row r="295" spans="1:16" x14ac:dyDescent="0.25">
      <c r="B295">
        <v>969</v>
      </c>
      <c r="C295" t="s">
        <v>284</v>
      </c>
      <c r="D295" t="s">
        <v>493</v>
      </c>
      <c r="F295" t="s">
        <v>11</v>
      </c>
      <c r="G295">
        <v>390</v>
      </c>
      <c r="I295">
        <v>210</v>
      </c>
      <c r="J295">
        <v>600</v>
      </c>
      <c r="K295">
        <v>770</v>
      </c>
      <c r="L295">
        <v>810</v>
      </c>
      <c r="M295">
        <v>950</v>
      </c>
      <c r="N295">
        <v>750</v>
      </c>
      <c r="O295">
        <v>870</v>
      </c>
      <c r="P295">
        <v>1600</v>
      </c>
    </row>
    <row r="296" spans="1:16" x14ac:dyDescent="0.25">
      <c r="B296">
        <v>970</v>
      </c>
      <c r="C296" t="s">
        <v>284</v>
      </c>
      <c r="D296" t="s">
        <v>493</v>
      </c>
      <c r="F296" t="s">
        <v>10</v>
      </c>
      <c r="G296">
        <v>460</v>
      </c>
      <c r="I296">
        <v>375</v>
      </c>
      <c r="J296">
        <v>835</v>
      </c>
      <c r="K296">
        <v>1075</v>
      </c>
      <c r="L296">
        <v>1130</v>
      </c>
      <c r="M296">
        <v>1325</v>
      </c>
      <c r="N296">
        <v>1040</v>
      </c>
      <c r="O296">
        <v>1210</v>
      </c>
      <c r="P296">
        <v>1860</v>
      </c>
    </row>
    <row r="297" spans="1:16" x14ac:dyDescent="0.25">
      <c r="B297">
        <v>971</v>
      </c>
      <c r="C297" t="s">
        <v>284</v>
      </c>
      <c r="D297" t="s">
        <v>493</v>
      </c>
      <c r="F297" t="s">
        <v>2</v>
      </c>
      <c r="G297">
        <v>425</v>
      </c>
      <c r="I297">
        <v>210</v>
      </c>
      <c r="J297">
        <v>635</v>
      </c>
      <c r="K297">
        <v>820</v>
      </c>
      <c r="L297">
        <v>860</v>
      </c>
      <c r="M297">
        <v>1025</v>
      </c>
      <c r="N297">
        <v>795</v>
      </c>
      <c r="O297">
        <v>925</v>
      </c>
      <c r="P297">
        <v>1730</v>
      </c>
    </row>
    <row r="298" spans="1:16" x14ac:dyDescent="0.25">
      <c r="B298">
        <v>973</v>
      </c>
      <c r="C298" t="s">
        <v>284</v>
      </c>
      <c r="D298" t="s">
        <v>493</v>
      </c>
      <c r="F298" t="s">
        <v>9</v>
      </c>
      <c r="G298">
        <v>460</v>
      </c>
      <c r="I298">
        <v>340</v>
      </c>
      <c r="J298">
        <v>800</v>
      </c>
      <c r="K298">
        <v>1030</v>
      </c>
      <c r="L298">
        <v>1080</v>
      </c>
      <c r="M298">
        <v>1275</v>
      </c>
      <c r="N298">
        <v>995</v>
      </c>
      <c r="O298">
        <v>1160</v>
      </c>
      <c r="P298">
        <v>1860</v>
      </c>
    </row>
    <row r="299" spans="1:16" x14ac:dyDescent="0.25">
      <c r="B299">
        <v>1004</v>
      </c>
      <c r="C299" t="s">
        <v>284</v>
      </c>
      <c r="D299" t="s">
        <v>493</v>
      </c>
      <c r="F299" t="s">
        <v>8</v>
      </c>
      <c r="G299">
        <v>560</v>
      </c>
      <c r="I299">
        <v>145</v>
      </c>
      <c r="J299">
        <v>705</v>
      </c>
      <c r="K299">
        <v>910</v>
      </c>
      <c r="L299">
        <v>955</v>
      </c>
      <c r="M299">
        <v>1125</v>
      </c>
      <c r="N299">
        <v>880</v>
      </c>
      <c r="O299">
        <v>1025</v>
      </c>
      <c r="P299">
        <v>2240</v>
      </c>
    </row>
    <row r="300" spans="1:16" x14ac:dyDescent="0.25">
      <c r="A300">
        <v>2026</v>
      </c>
      <c r="B300">
        <v>1005</v>
      </c>
      <c r="C300" t="s">
        <v>284</v>
      </c>
      <c r="D300" t="s">
        <v>493</v>
      </c>
      <c r="E300" t="s">
        <v>995</v>
      </c>
      <c r="F300" t="s">
        <v>106</v>
      </c>
      <c r="G300">
        <v>460</v>
      </c>
      <c r="I300">
        <v>300</v>
      </c>
      <c r="J300">
        <v>760</v>
      </c>
      <c r="K300">
        <v>980</v>
      </c>
      <c r="L300">
        <v>1030</v>
      </c>
      <c r="M300">
        <v>1200</v>
      </c>
      <c r="N300">
        <v>950</v>
      </c>
      <c r="O300">
        <v>1105</v>
      </c>
      <c r="P300">
        <v>1860</v>
      </c>
    </row>
    <row r="301" spans="1:16" x14ac:dyDescent="0.25">
      <c r="A301">
        <v>2026</v>
      </c>
      <c r="B301">
        <v>1006</v>
      </c>
      <c r="C301" t="s">
        <v>284</v>
      </c>
      <c r="D301" t="s">
        <v>493</v>
      </c>
      <c r="F301" t="s">
        <v>90</v>
      </c>
      <c r="G301">
        <v>550</v>
      </c>
      <c r="I301">
        <v>400</v>
      </c>
      <c r="J301">
        <v>950</v>
      </c>
      <c r="K301">
        <v>1225</v>
      </c>
      <c r="L301">
        <v>1285</v>
      </c>
      <c r="M301">
        <v>1500</v>
      </c>
      <c r="N301">
        <v>1185</v>
      </c>
      <c r="O301">
        <v>1375</v>
      </c>
      <c r="P301">
        <v>2200</v>
      </c>
    </row>
    <row r="302" spans="1:16" x14ac:dyDescent="0.25">
      <c r="B302">
        <v>1007</v>
      </c>
      <c r="C302" t="s">
        <v>284</v>
      </c>
      <c r="D302" t="s">
        <v>493</v>
      </c>
      <c r="F302" t="s">
        <v>13</v>
      </c>
      <c r="G302">
        <v>560</v>
      </c>
      <c r="I302">
        <v>210</v>
      </c>
      <c r="J302">
        <v>770</v>
      </c>
      <c r="K302">
        <v>990</v>
      </c>
      <c r="L302">
        <v>1040</v>
      </c>
      <c r="M302">
        <v>1225</v>
      </c>
      <c r="N302">
        <v>960</v>
      </c>
      <c r="O302">
        <v>1115</v>
      </c>
      <c r="P302">
        <v>2240</v>
      </c>
    </row>
    <row r="303" spans="1:16" x14ac:dyDescent="0.25">
      <c r="B303">
        <v>1008</v>
      </c>
      <c r="C303" t="s">
        <v>284</v>
      </c>
      <c r="D303" t="s">
        <v>493</v>
      </c>
      <c r="F303" t="s">
        <v>107</v>
      </c>
      <c r="G303">
        <v>460</v>
      </c>
      <c r="I303">
        <v>400</v>
      </c>
      <c r="J303">
        <v>860</v>
      </c>
      <c r="K303">
        <v>1110</v>
      </c>
      <c r="L303">
        <v>1165</v>
      </c>
      <c r="M303">
        <v>1375</v>
      </c>
      <c r="N303">
        <v>1075</v>
      </c>
      <c r="O303">
        <v>1250</v>
      </c>
      <c r="P303">
        <v>1860</v>
      </c>
    </row>
    <row r="304" spans="1:16" x14ac:dyDescent="0.25">
      <c r="B304">
        <v>1009</v>
      </c>
      <c r="C304" t="s">
        <v>284</v>
      </c>
      <c r="D304" t="s">
        <v>493</v>
      </c>
      <c r="F304" t="s">
        <v>14</v>
      </c>
      <c r="G304">
        <v>470</v>
      </c>
      <c r="I304">
        <v>165</v>
      </c>
      <c r="J304">
        <v>635</v>
      </c>
      <c r="K304">
        <v>820</v>
      </c>
      <c r="L304">
        <v>860</v>
      </c>
      <c r="M304">
        <v>1025</v>
      </c>
      <c r="N304">
        <v>795</v>
      </c>
      <c r="O304">
        <v>925</v>
      </c>
      <c r="P304">
        <v>1900</v>
      </c>
    </row>
    <row r="305" spans="1:16" x14ac:dyDescent="0.25">
      <c r="B305">
        <v>1011</v>
      </c>
      <c r="C305" t="s">
        <v>284</v>
      </c>
      <c r="D305" t="s">
        <v>493</v>
      </c>
      <c r="F305" t="s">
        <v>17</v>
      </c>
      <c r="G305">
        <v>630</v>
      </c>
      <c r="I305">
        <v>130</v>
      </c>
      <c r="J305">
        <v>760</v>
      </c>
      <c r="K305">
        <v>980</v>
      </c>
      <c r="L305">
        <v>1030</v>
      </c>
      <c r="M305">
        <v>1200</v>
      </c>
      <c r="N305">
        <v>950</v>
      </c>
      <c r="O305">
        <v>1105</v>
      </c>
      <c r="P305">
        <v>2500</v>
      </c>
    </row>
    <row r="306" spans="1:16" x14ac:dyDescent="0.25">
      <c r="A306">
        <v>2026</v>
      </c>
      <c r="B306">
        <v>1012</v>
      </c>
      <c r="C306" t="s">
        <v>284</v>
      </c>
      <c r="D306" t="s">
        <v>493</v>
      </c>
      <c r="E306" t="s">
        <v>995</v>
      </c>
      <c r="F306" t="s">
        <v>173</v>
      </c>
      <c r="G306">
        <v>550</v>
      </c>
      <c r="I306">
        <v>300</v>
      </c>
      <c r="J306">
        <v>850</v>
      </c>
      <c r="K306">
        <v>1095</v>
      </c>
      <c r="L306">
        <v>1150</v>
      </c>
      <c r="M306">
        <v>1350</v>
      </c>
      <c r="N306">
        <v>1060</v>
      </c>
      <c r="O306">
        <v>1235</v>
      </c>
      <c r="P306">
        <v>2200</v>
      </c>
    </row>
    <row r="307" spans="1:16" x14ac:dyDescent="0.25">
      <c r="A307">
        <v>2026</v>
      </c>
      <c r="B307">
        <v>1016</v>
      </c>
      <c r="C307" t="s">
        <v>284</v>
      </c>
      <c r="D307" t="s">
        <v>493</v>
      </c>
      <c r="F307" t="s">
        <v>996</v>
      </c>
      <c r="G307">
        <v>550</v>
      </c>
      <c r="I307">
        <v>300</v>
      </c>
      <c r="J307">
        <v>850</v>
      </c>
      <c r="K307">
        <v>1095</v>
      </c>
      <c r="L307">
        <v>1150</v>
      </c>
      <c r="M307">
        <v>1350</v>
      </c>
      <c r="N307">
        <v>1060</v>
      </c>
      <c r="O307">
        <v>1235</v>
      </c>
      <c r="P307">
        <v>2200</v>
      </c>
    </row>
    <row r="308" spans="1:16" x14ac:dyDescent="0.25">
      <c r="B308">
        <v>1017</v>
      </c>
      <c r="C308" t="s">
        <v>284</v>
      </c>
      <c r="D308" t="s">
        <v>493</v>
      </c>
      <c r="F308" t="s">
        <v>15</v>
      </c>
      <c r="G308">
        <v>470</v>
      </c>
      <c r="I308">
        <v>175</v>
      </c>
      <c r="J308">
        <v>645</v>
      </c>
      <c r="K308">
        <v>835</v>
      </c>
      <c r="L308">
        <v>875</v>
      </c>
      <c r="M308">
        <v>1025</v>
      </c>
      <c r="N308">
        <v>805</v>
      </c>
      <c r="O308">
        <v>940</v>
      </c>
      <c r="P308">
        <v>1900</v>
      </c>
    </row>
    <row r="309" spans="1:16" x14ac:dyDescent="0.25">
      <c r="B309">
        <v>1018</v>
      </c>
      <c r="C309" t="s">
        <v>284</v>
      </c>
      <c r="D309" t="s">
        <v>493</v>
      </c>
      <c r="F309" t="s">
        <v>18</v>
      </c>
      <c r="G309">
        <v>470</v>
      </c>
      <c r="I309">
        <v>120</v>
      </c>
      <c r="J309">
        <v>590</v>
      </c>
      <c r="K309">
        <v>760</v>
      </c>
      <c r="L309">
        <v>800</v>
      </c>
      <c r="M309">
        <v>950</v>
      </c>
      <c r="N309">
        <v>740</v>
      </c>
      <c r="O309">
        <v>860</v>
      </c>
      <c r="P309">
        <v>1900</v>
      </c>
    </row>
    <row r="310" spans="1:16" x14ac:dyDescent="0.25">
      <c r="B310">
        <v>1019</v>
      </c>
      <c r="C310" t="s">
        <v>284</v>
      </c>
      <c r="D310" t="s">
        <v>493</v>
      </c>
      <c r="F310" t="s">
        <v>5</v>
      </c>
      <c r="G310">
        <v>600</v>
      </c>
      <c r="I310">
        <v>15</v>
      </c>
      <c r="J310">
        <v>615</v>
      </c>
      <c r="K310">
        <v>795</v>
      </c>
      <c r="L310">
        <v>835</v>
      </c>
      <c r="M310">
        <v>975</v>
      </c>
      <c r="N310">
        <v>770</v>
      </c>
      <c r="O310">
        <v>895</v>
      </c>
      <c r="P310">
        <v>2390</v>
      </c>
    </row>
    <row r="311" spans="1:16" x14ac:dyDescent="0.25">
      <c r="A311">
        <v>2026</v>
      </c>
      <c r="B311">
        <v>1020</v>
      </c>
      <c r="C311" t="s">
        <v>284</v>
      </c>
      <c r="D311" t="s">
        <v>493</v>
      </c>
      <c r="E311" t="s">
        <v>995</v>
      </c>
      <c r="F311" t="s">
        <v>35</v>
      </c>
      <c r="G311">
        <v>460</v>
      </c>
      <c r="I311">
        <v>300</v>
      </c>
      <c r="J311">
        <v>760</v>
      </c>
      <c r="K311">
        <v>980</v>
      </c>
      <c r="L311">
        <v>1030</v>
      </c>
      <c r="M311">
        <v>1200</v>
      </c>
      <c r="N311">
        <v>950</v>
      </c>
      <c r="O311">
        <v>1105</v>
      </c>
      <c r="P311">
        <v>1860</v>
      </c>
    </row>
    <row r="312" spans="1:16" x14ac:dyDescent="0.25">
      <c r="B312">
        <v>1021</v>
      </c>
      <c r="C312" t="s">
        <v>284</v>
      </c>
      <c r="D312" t="s">
        <v>493</v>
      </c>
      <c r="F312" t="s">
        <v>19</v>
      </c>
      <c r="G312">
        <v>720</v>
      </c>
      <c r="I312">
        <v>300</v>
      </c>
      <c r="J312">
        <v>1020</v>
      </c>
      <c r="K312">
        <v>1315</v>
      </c>
      <c r="L312">
        <v>1380</v>
      </c>
      <c r="M312">
        <v>1625</v>
      </c>
      <c r="N312">
        <v>1270</v>
      </c>
      <c r="O312">
        <v>1480</v>
      </c>
      <c r="P312">
        <v>2840</v>
      </c>
    </row>
    <row r="313" spans="1:16" x14ac:dyDescent="0.25">
      <c r="B313">
        <v>1030</v>
      </c>
      <c r="C313" t="s">
        <v>284</v>
      </c>
      <c r="D313" t="s">
        <v>493</v>
      </c>
      <c r="F313" t="s">
        <v>20</v>
      </c>
      <c r="G313">
        <v>560</v>
      </c>
      <c r="I313">
        <v>130</v>
      </c>
      <c r="J313">
        <v>690</v>
      </c>
      <c r="K313">
        <v>890</v>
      </c>
      <c r="L313">
        <v>935</v>
      </c>
      <c r="M313">
        <v>1100</v>
      </c>
      <c r="N313">
        <v>865</v>
      </c>
      <c r="O313">
        <v>1005</v>
      </c>
      <c r="P313">
        <v>2240</v>
      </c>
    </row>
    <row r="314" spans="1:16" x14ac:dyDescent="0.25">
      <c r="B314">
        <v>2241</v>
      </c>
      <c r="C314" t="s">
        <v>277</v>
      </c>
      <c r="D314" t="s">
        <v>497</v>
      </c>
      <c r="E314" t="s">
        <v>127</v>
      </c>
      <c r="F314" t="s">
        <v>99</v>
      </c>
      <c r="G314">
        <v>1000</v>
      </c>
      <c r="I314">
        <v>25</v>
      </c>
      <c r="J314">
        <v>1025</v>
      </c>
      <c r="K314">
        <v>1270</v>
      </c>
      <c r="L314">
        <v>1335</v>
      </c>
      <c r="M314">
        <v>1625</v>
      </c>
      <c r="N314">
        <v>1230</v>
      </c>
      <c r="O314">
        <v>1430</v>
      </c>
      <c r="P314">
        <v>3900</v>
      </c>
    </row>
    <row r="315" spans="1:16" x14ac:dyDescent="0.25">
      <c r="A315">
        <v>2026</v>
      </c>
      <c r="B315">
        <v>2251</v>
      </c>
      <c r="C315" t="s">
        <v>284</v>
      </c>
      <c r="D315" t="s">
        <v>497</v>
      </c>
      <c r="E315" t="s">
        <v>779</v>
      </c>
      <c r="F315" t="s">
        <v>800</v>
      </c>
      <c r="G315">
        <v>550</v>
      </c>
      <c r="I315">
        <v>25</v>
      </c>
      <c r="J315">
        <v>575</v>
      </c>
      <c r="K315">
        <v>715</v>
      </c>
      <c r="L315">
        <v>750</v>
      </c>
      <c r="M315">
        <v>925</v>
      </c>
      <c r="N315">
        <v>690</v>
      </c>
      <c r="O315">
        <v>805</v>
      </c>
      <c r="P315">
        <v>2200</v>
      </c>
    </row>
    <row r="316" spans="1:16" x14ac:dyDescent="0.25">
      <c r="A316">
        <v>2026</v>
      </c>
      <c r="B316">
        <v>2291</v>
      </c>
      <c r="C316" t="s">
        <v>277</v>
      </c>
      <c r="D316" t="s">
        <v>494</v>
      </c>
      <c r="E316" t="s">
        <v>195</v>
      </c>
      <c r="F316" t="s">
        <v>992</v>
      </c>
      <c r="G316">
        <v>260</v>
      </c>
      <c r="I316">
        <v>15</v>
      </c>
      <c r="J316">
        <v>275</v>
      </c>
      <c r="K316">
        <v>330</v>
      </c>
      <c r="L316">
        <v>345</v>
      </c>
      <c r="M316">
        <v>450</v>
      </c>
      <c r="N316">
        <v>320</v>
      </c>
      <c r="O316">
        <v>370</v>
      </c>
      <c r="P316">
        <v>1110</v>
      </c>
    </row>
    <row r="317" spans="1:16" x14ac:dyDescent="0.25">
      <c r="A317">
        <v>2025</v>
      </c>
      <c r="B317">
        <v>2292</v>
      </c>
      <c r="C317" t="s">
        <v>277</v>
      </c>
      <c r="D317" t="s">
        <v>494</v>
      </c>
      <c r="E317" t="s">
        <v>186</v>
      </c>
      <c r="F317" t="s">
        <v>431</v>
      </c>
      <c r="G317">
        <v>225</v>
      </c>
      <c r="H317">
        <v>10</v>
      </c>
      <c r="I317">
        <v>15</v>
      </c>
      <c r="J317">
        <v>250</v>
      </c>
      <c r="K317">
        <v>300</v>
      </c>
      <c r="L317">
        <v>315</v>
      </c>
      <c r="M317">
        <v>400</v>
      </c>
      <c r="N317">
        <v>290</v>
      </c>
      <c r="O317">
        <v>340</v>
      </c>
      <c r="P317">
        <v>970</v>
      </c>
    </row>
    <row r="318" spans="1:16" x14ac:dyDescent="0.25">
      <c r="B318">
        <v>2301</v>
      </c>
      <c r="C318" t="s">
        <v>277</v>
      </c>
      <c r="D318" t="s">
        <v>494</v>
      </c>
      <c r="E318" t="s">
        <v>379</v>
      </c>
      <c r="F318" t="s">
        <v>380</v>
      </c>
      <c r="G318">
        <v>310</v>
      </c>
      <c r="I318">
        <v>15</v>
      </c>
      <c r="J318">
        <v>325</v>
      </c>
      <c r="K318">
        <v>390</v>
      </c>
      <c r="L318">
        <v>410</v>
      </c>
      <c r="M318">
        <v>525</v>
      </c>
      <c r="N318">
        <v>380</v>
      </c>
      <c r="O318">
        <v>440</v>
      </c>
      <c r="P318">
        <v>1300</v>
      </c>
    </row>
    <row r="319" spans="1:16" x14ac:dyDescent="0.25">
      <c r="B319">
        <v>2302</v>
      </c>
      <c r="C319" t="s">
        <v>277</v>
      </c>
      <c r="D319" t="s">
        <v>494</v>
      </c>
      <c r="E319" t="s">
        <v>379</v>
      </c>
      <c r="F319" t="s">
        <v>381</v>
      </c>
      <c r="G319">
        <v>325</v>
      </c>
      <c r="I319">
        <v>15</v>
      </c>
      <c r="J319">
        <v>340</v>
      </c>
      <c r="K319">
        <v>405</v>
      </c>
      <c r="L319">
        <v>425</v>
      </c>
      <c r="M319">
        <v>550</v>
      </c>
      <c r="N319">
        <v>395</v>
      </c>
      <c r="O319">
        <v>455</v>
      </c>
      <c r="P319">
        <v>1350</v>
      </c>
    </row>
    <row r="320" spans="1:16" x14ac:dyDescent="0.25">
      <c r="B320">
        <v>2311</v>
      </c>
      <c r="C320" t="s">
        <v>277</v>
      </c>
      <c r="D320" t="s">
        <v>494</v>
      </c>
      <c r="F320" t="s">
        <v>54</v>
      </c>
      <c r="G320">
        <v>225</v>
      </c>
      <c r="I320">
        <v>65</v>
      </c>
      <c r="J320">
        <v>290</v>
      </c>
      <c r="K320">
        <v>350</v>
      </c>
      <c r="L320">
        <v>365</v>
      </c>
      <c r="M320">
        <v>475</v>
      </c>
      <c r="N320">
        <v>340</v>
      </c>
      <c r="O320">
        <v>395</v>
      </c>
      <c r="P320">
        <v>970</v>
      </c>
    </row>
    <row r="321" spans="1:16" x14ac:dyDescent="0.25">
      <c r="A321">
        <v>2025</v>
      </c>
      <c r="B321">
        <v>2312</v>
      </c>
      <c r="C321" t="s">
        <v>277</v>
      </c>
      <c r="D321" t="s">
        <v>494</v>
      </c>
      <c r="E321" t="s">
        <v>191</v>
      </c>
      <c r="F321" t="s">
        <v>433</v>
      </c>
      <c r="G321">
        <v>220</v>
      </c>
      <c r="H321">
        <v>5</v>
      </c>
      <c r="I321">
        <v>345</v>
      </c>
      <c r="J321">
        <v>570</v>
      </c>
      <c r="K321">
        <v>680</v>
      </c>
      <c r="L321">
        <v>715</v>
      </c>
      <c r="M321">
        <v>900</v>
      </c>
      <c r="N321">
        <v>660</v>
      </c>
      <c r="O321">
        <v>770</v>
      </c>
      <c r="P321">
        <v>960</v>
      </c>
    </row>
    <row r="322" spans="1:16" x14ac:dyDescent="0.25">
      <c r="A322">
        <v>2026</v>
      </c>
      <c r="B322">
        <v>2313</v>
      </c>
      <c r="C322" t="s">
        <v>277</v>
      </c>
      <c r="D322" t="s">
        <v>494</v>
      </c>
      <c r="E322" t="s">
        <v>190</v>
      </c>
      <c r="F322" t="s">
        <v>956</v>
      </c>
      <c r="G322">
        <v>225</v>
      </c>
      <c r="I322">
        <v>135</v>
      </c>
      <c r="J322">
        <v>360</v>
      </c>
      <c r="K322">
        <v>430</v>
      </c>
      <c r="L322">
        <v>450</v>
      </c>
      <c r="M322">
        <v>575</v>
      </c>
      <c r="N322">
        <v>415</v>
      </c>
      <c r="O322">
        <v>485</v>
      </c>
      <c r="P322">
        <v>970</v>
      </c>
    </row>
    <row r="323" spans="1:16" x14ac:dyDescent="0.25">
      <c r="A323">
        <v>2026</v>
      </c>
      <c r="B323">
        <v>2314</v>
      </c>
      <c r="C323" t="s">
        <v>277</v>
      </c>
      <c r="D323" t="s">
        <v>494</v>
      </c>
      <c r="E323" t="s">
        <v>190</v>
      </c>
      <c r="F323" t="s">
        <v>958</v>
      </c>
      <c r="G323">
        <v>225</v>
      </c>
      <c r="I323">
        <v>105</v>
      </c>
      <c r="J323">
        <v>330</v>
      </c>
      <c r="K323">
        <v>395</v>
      </c>
      <c r="L323">
        <v>415</v>
      </c>
      <c r="M323">
        <v>525</v>
      </c>
      <c r="N323">
        <v>385</v>
      </c>
      <c r="O323">
        <v>445</v>
      </c>
      <c r="P323">
        <v>970</v>
      </c>
    </row>
    <row r="324" spans="1:16" x14ac:dyDescent="0.25">
      <c r="A324">
        <v>2026</v>
      </c>
      <c r="B324">
        <v>2315</v>
      </c>
      <c r="C324" t="s">
        <v>277</v>
      </c>
      <c r="D324" t="s">
        <v>494</v>
      </c>
      <c r="E324" t="s">
        <v>190</v>
      </c>
      <c r="F324" t="s">
        <v>959</v>
      </c>
      <c r="G324">
        <v>225</v>
      </c>
      <c r="I324">
        <v>145</v>
      </c>
      <c r="J324">
        <v>370</v>
      </c>
      <c r="K324">
        <v>445</v>
      </c>
      <c r="L324">
        <v>465</v>
      </c>
      <c r="M324">
        <v>600</v>
      </c>
      <c r="N324">
        <v>430</v>
      </c>
      <c r="O324">
        <v>500</v>
      </c>
      <c r="P324">
        <v>970</v>
      </c>
    </row>
    <row r="325" spans="1:16" x14ac:dyDescent="0.25">
      <c r="A325">
        <v>2026</v>
      </c>
      <c r="B325">
        <v>2316</v>
      </c>
      <c r="C325" t="s">
        <v>277</v>
      </c>
      <c r="D325" t="s">
        <v>494</v>
      </c>
      <c r="E325" t="s">
        <v>190</v>
      </c>
      <c r="F325" t="s">
        <v>905</v>
      </c>
      <c r="G325">
        <v>230</v>
      </c>
      <c r="I325">
        <v>225</v>
      </c>
      <c r="J325">
        <v>455</v>
      </c>
      <c r="K325">
        <v>545</v>
      </c>
      <c r="L325">
        <v>570</v>
      </c>
      <c r="M325">
        <v>725</v>
      </c>
      <c r="N325">
        <v>525</v>
      </c>
      <c r="O325">
        <v>610</v>
      </c>
      <c r="P325">
        <v>990</v>
      </c>
    </row>
    <row r="326" spans="1:16" x14ac:dyDescent="0.25">
      <c r="A326">
        <v>2025</v>
      </c>
      <c r="B326">
        <v>2317</v>
      </c>
      <c r="C326" t="s">
        <v>277</v>
      </c>
      <c r="D326" t="s">
        <v>494</v>
      </c>
      <c r="E326" t="s">
        <v>178</v>
      </c>
      <c r="F326" t="s">
        <v>288</v>
      </c>
      <c r="G326">
        <v>220</v>
      </c>
      <c r="H326">
        <v>5</v>
      </c>
      <c r="I326">
        <v>215</v>
      </c>
      <c r="J326">
        <v>440</v>
      </c>
      <c r="K326">
        <v>525</v>
      </c>
      <c r="L326">
        <v>550</v>
      </c>
      <c r="M326">
        <v>700</v>
      </c>
      <c r="N326">
        <v>510</v>
      </c>
      <c r="O326">
        <v>590</v>
      </c>
      <c r="P326">
        <v>960</v>
      </c>
    </row>
    <row r="327" spans="1:16" x14ac:dyDescent="0.25">
      <c r="A327">
        <v>2025</v>
      </c>
      <c r="B327">
        <v>2318</v>
      </c>
      <c r="C327" t="s">
        <v>277</v>
      </c>
      <c r="D327" t="s">
        <v>494</v>
      </c>
      <c r="E327" t="s">
        <v>190</v>
      </c>
      <c r="F327" t="s">
        <v>448</v>
      </c>
      <c r="G327">
        <v>220</v>
      </c>
      <c r="H327">
        <v>5</v>
      </c>
      <c r="I327">
        <v>215</v>
      </c>
      <c r="J327">
        <v>440</v>
      </c>
      <c r="K327">
        <v>525</v>
      </c>
      <c r="L327">
        <v>550</v>
      </c>
      <c r="M327">
        <v>700</v>
      </c>
      <c r="N327">
        <v>510</v>
      </c>
      <c r="O327">
        <v>590</v>
      </c>
      <c r="P327">
        <v>960</v>
      </c>
    </row>
    <row r="328" spans="1:16" x14ac:dyDescent="0.25">
      <c r="A328">
        <v>2026</v>
      </c>
      <c r="B328">
        <v>2320</v>
      </c>
      <c r="C328" t="s">
        <v>277</v>
      </c>
      <c r="D328" t="s">
        <v>494</v>
      </c>
      <c r="E328" t="s">
        <v>190</v>
      </c>
      <c r="F328" t="s">
        <v>960</v>
      </c>
      <c r="G328">
        <v>225</v>
      </c>
      <c r="I328">
        <v>160</v>
      </c>
      <c r="J328">
        <v>385</v>
      </c>
      <c r="K328">
        <v>465</v>
      </c>
      <c r="L328">
        <v>485</v>
      </c>
      <c r="M328">
        <v>625</v>
      </c>
      <c r="N328">
        <v>450</v>
      </c>
      <c r="O328">
        <v>520</v>
      </c>
      <c r="P328">
        <v>970</v>
      </c>
    </row>
    <row r="329" spans="1:16" x14ac:dyDescent="0.25">
      <c r="B329">
        <v>2331</v>
      </c>
      <c r="C329" t="s">
        <v>277</v>
      </c>
      <c r="D329" t="s">
        <v>494</v>
      </c>
      <c r="F329" t="s">
        <v>285</v>
      </c>
      <c r="G329">
        <v>225</v>
      </c>
      <c r="I329">
        <v>40</v>
      </c>
      <c r="J329">
        <v>265</v>
      </c>
      <c r="K329">
        <v>320</v>
      </c>
      <c r="L329">
        <v>335</v>
      </c>
      <c r="M329">
        <v>425</v>
      </c>
      <c r="N329">
        <v>310</v>
      </c>
      <c r="O329">
        <v>360</v>
      </c>
      <c r="P329">
        <v>970</v>
      </c>
    </row>
    <row r="330" spans="1:16" x14ac:dyDescent="0.25">
      <c r="A330">
        <v>2026</v>
      </c>
      <c r="B330">
        <v>2332</v>
      </c>
      <c r="C330" t="s">
        <v>277</v>
      </c>
      <c r="D330" t="s">
        <v>494</v>
      </c>
      <c r="E330" t="s">
        <v>190</v>
      </c>
      <c r="F330" t="s">
        <v>1004</v>
      </c>
      <c r="G330">
        <v>225</v>
      </c>
      <c r="I330">
        <v>85</v>
      </c>
      <c r="J330">
        <v>310</v>
      </c>
      <c r="K330">
        <v>375</v>
      </c>
      <c r="L330">
        <v>390</v>
      </c>
      <c r="M330">
        <v>500</v>
      </c>
      <c r="N330">
        <v>360</v>
      </c>
      <c r="O330">
        <v>425</v>
      </c>
      <c r="P330">
        <v>970</v>
      </c>
    </row>
    <row r="331" spans="1:16" x14ac:dyDescent="0.25">
      <c r="A331">
        <v>2026</v>
      </c>
      <c r="B331">
        <v>2334</v>
      </c>
      <c r="C331" t="s">
        <v>277</v>
      </c>
      <c r="D331" t="s">
        <v>494</v>
      </c>
      <c r="E331" t="s">
        <v>190</v>
      </c>
      <c r="F331" t="s">
        <v>971</v>
      </c>
      <c r="G331">
        <v>225</v>
      </c>
      <c r="I331">
        <v>160</v>
      </c>
      <c r="J331">
        <v>385</v>
      </c>
      <c r="K331">
        <v>465</v>
      </c>
      <c r="L331">
        <v>485</v>
      </c>
      <c r="M331">
        <v>625</v>
      </c>
      <c r="N331">
        <v>450</v>
      </c>
      <c r="O331">
        <v>520</v>
      </c>
      <c r="P331">
        <v>970</v>
      </c>
    </row>
    <row r="332" spans="1:16" x14ac:dyDescent="0.25">
      <c r="A332">
        <v>2026</v>
      </c>
      <c r="B332">
        <v>2335</v>
      </c>
      <c r="C332" t="s">
        <v>277</v>
      </c>
      <c r="D332" t="s">
        <v>494</v>
      </c>
      <c r="E332" t="s">
        <v>129</v>
      </c>
      <c r="F332" t="s">
        <v>456</v>
      </c>
      <c r="G332">
        <v>155</v>
      </c>
      <c r="H332">
        <v>5</v>
      </c>
      <c r="I332">
        <v>75</v>
      </c>
      <c r="J332">
        <v>235</v>
      </c>
      <c r="K332">
        <v>285</v>
      </c>
      <c r="L332">
        <v>295</v>
      </c>
      <c r="M332">
        <v>375</v>
      </c>
      <c r="N332">
        <v>275</v>
      </c>
      <c r="O332">
        <v>320</v>
      </c>
      <c r="P332">
        <v>710</v>
      </c>
    </row>
    <row r="333" spans="1:16" x14ac:dyDescent="0.25">
      <c r="A333">
        <v>2025</v>
      </c>
      <c r="B333">
        <v>2336</v>
      </c>
      <c r="C333" t="s">
        <v>284</v>
      </c>
      <c r="D333" t="s">
        <v>494</v>
      </c>
      <c r="E333" t="s">
        <v>190</v>
      </c>
      <c r="F333" t="s">
        <v>502</v>
      </c>
      <c r="G333">
        <v>220</v>
      </c>
      <c r="H333">
        <v>5</v>
      </c>
      <c r="I333">
        <v>220</v>
      </c>
      <c r="J333">
        <v>445</v>
      </c>
      <c r="K333">
        <v>535</v>
      </c>
      <c r="L333">
        <v>560</v>
      </c>
      <c r="M333">
        <v>725</v>
      </c>
      <c r="N333">
        <v>520</v>
      </c>
      <c r="O333">
        <v>600</v>
      </c>
      <c r="P333">
        <v>960</v>
      </c>
    </row>
    <row r="334" spans="1:16" x14ac:dyDescent="0.25">
      <c r="A334">
        <v>2026</v>
      </c>
      <c r="B334">
        <v>2337</v>
      </c>
      <c r="C334" t="s">
        <v>277</v>
      </c>
      <c r="D334" t="s">
        <v>494</v>
      </c>
      <c r="E334" t="s">
        <v>190</v>
      </c>
      <c r="F334" t="s">
        <v>972</v>
      </c>
      <c r="G334">
        <v>225</v>
      </c>
      <c r="I334">
        <v>185</v>
      </c>
      <c r="J334">
        <v>410</v>
      </c>
      <c r="K334">
        <v>490</v>
      </c>
      <c r="L334">
        <v>515</v>
      </c>
      <c r="M334">
        <v>650</v>
      </c>
      <c r="N334">
        <v>475</v>
      </c>
      <c r="O334">
        <v>555</v>
      </c>
      <c r="P334">
        <v>970</v>
      </c>
    </row>
    <row r="335" spans="1:16" x14ac:dyDescent="0.25">
      <c r="A335">
        <v>2026</v>
      </c>
      <c r="B335">
        <v>2351</v>
      </c>
      <c r="C335" t="s">
        <v>277</v>
      </c>
      <c r="D335" t="s">
        <v>494</v>
      </c>
      <c r="E335" t="s">
        <v>186</v>
      </c>
      <c r="F335" t="s">
        <v>917</v>
      </c>
      <c r="G335">
        <v>245</v>
      </c>
      <c r="H335">
        <v>5</v>
      </c>
      <c r="I335">
        <v>90</v>
      </c>
      <c r="J335">
        <v>340</v>
      </c>
      <c r="K335">
        <v>405</v>
      </c>
      <c r="L335">
        <v>425</v>
      </c>
      <c r="M335">
        <v>550</v>
      </c>
      <c r="N335">
        <v>395</v>
      </c>
      <c r="O335">
        <v>455</v>
      </c>
      <c r="P335">
        <v>1050</v>
      </c>
    </row>
    <row r="336" spans="1:16" x14ac:dyDescent="0.25">
      <c r="A336">
        <v>2025</v>
      </c>
      <c r="B336">
        <v>2391</v>
      </c>
      <c r="C336" t="s">
        <v>277</v>
      </c>
      <c r="D336" t="s">
        <v>497</v>
      </c>
      <c r="E336" t="s">
        <v>461</v>
      </c>
      <c r="F336" t="s">
        <v>468</v>
      </c>
      <c r="G336">
        <v>795</v>
      </c>
      <c r="H336">
        <v>-80</v>
      </c>
      <c r="I336">
        <v>25</v>
      </c>
      <c r="J336">
        <v>740</v>
      </c>
      <c r="K336">
        <v>920</v>
      </c>
      <c r="L336">
        <v>965</v>
      </c>
      <c r="M336">
        <v>1175</v>
      </c>
      <c r="N336">
        <v>890</v>
      </c>
      <c r="O336">
        <v>1035</v>
      </c>
      <c r="P336">
        <v>3120</v>
      </c>
    </row>
    <row r="337" spans="1:16" x14ac:dyDescent="0.25">
      <c r="A337">
        <v>2025</v>
      </c>
      <c r="B337">
        <v>2392</v>
      </c>
      <c r="C337" t="s">
        <v>277</v>
      </c>
      <c r="D337" t="s">
        <v>497</v>
      </c>
      <c r="E337" t="s">
        <v>461</v>
      </c>
      <c r="F337" t="s">
        <v>469</v>
      </c>
      <c r="G337">
        <v>795</v>
      </c>
      <c r="H337">
        <v>-80</v>
      </c>
      <c r="I337">
        <v>25</v>
      </c>
      <c r="J337">
        <v>740</v>
      </c>
      <c r="K337">
        <v>920</v>
      </c>
      <c r="L337">
        <v>965</v>
      </c>
      <c r="M337">
        <v>1175</v>
      </c>
      <c r="N337">
        <v>890</v>
      </c>
      <c r="O337">
        <v>1035</v>
      </c>
      <c r="P337">
        <v>3120</v>
      </c>
    </row>
    <row r="338" spans="1:16" x14ac:dyDescent="0.25">
      <c r="A338">
        <v>2025</v>
      </c>
      <c r="B338">
        <v>2393</v>
      </c>
      <c r="C338" t="s">
        <v>277</v>
      </c>
      <c r="D338" t="s">
        <v>497</v>
      </c>
      <c r="E338" t="s">
        <v>461</v>
      </c>
      <c r="F338" t="s">
        <v>463</v>
      </c>
      <c r="G338">
        <v>595</v>
      </c>
      <c r="H338">
        <v>-60</v>
      </c>
      <c r="I338">
        <v>25</v>
      </c>
      <c r="J338">
        <v>560</v>
      </c>
      <c r="K338">
        <v>695</v>
      </c>
      <c r="L338">
        <v>730</v>
      </c>
      <c r="M338">
        <v>900</v>
      </c>
      <c r="N338">
        <v>675</v>
      </c>
      <c r="O338">
        <v>785</v>
      </c>
      <c r="P338">
        <v>2370</v>
      </c>
    </row>
    <row r="339" spans="1:16" x14ac:dyDescent="0.25">
      <c r="A339">
        <v>2025</v>
      </c>
      <c r="B339">
        <v>2394</v>
      </c>
      <c r="C339" t="s">
        <v>277</v>
      </c>
      <c r="D339" t="s">
        <v>497</v>
      </c>
      <c r="E339" t="s">
        <v>461</v>
      </c>
      <c r="F339" t="s">
        <v>464</v>
      </c>
      <c r="G339">
        <v>595</v>
      </c>
      <c r="H339">
        <v>-60</v>
      </c>
      <c r="I339">
        <v>25</v>
      </c>
      <c r="J339">
        <v>560</v>
      </c>
      <c r="K339">
        <v>695</v>
      </c>
      <c r="L339">
        <v>730</v>
      </c>
      <c r="M339">
        <v>900</v>
      </c>
      <c r="N339">
        <v>675</v>
      </c>
      <c r="O339">
        <v>785</v>
      </c>
      <c r="P339">
        <v>2370</v>
      </c>
    </row>
    <row r="340" spans="1:16" x14ac:dyDescent="0.25">
      <c r="A340">
        <v>2025</v>
      </c>
      <c r="B340">
        <v>2395</v>
      </c>
      <c r="C340" t="s">
        <v>277</v>
      </c>
      <c r="D340" t="s">
        <v>497</v>
      </c>
      <c r="E340" t="s">
        <v>461</v>
      </c>
      <c r="F340" t="s">
        <v>465</v>
      </c>
      <c r="G340">
        <v>595</v>
      </c>
      <c r="H340">
        <v>-60</v>
      </c>
      <c r="I340">
        <v>25</v>
      </c>
      <c r="J340">
        <v>560</v>
      </c>
      <c r="K340">
        <v>695</v>
      </c>
      <c r="L340">
        <v>730</v>
      </c>
      <c r="M340">
        <v>900</v>
      </c>
      <c r="N340">
        <v>675</v>
      </c>
      <c r="O340">
        <v>785</v>
      </c>
      <c r="P340">
        <v>2370</v>
      </c>
    </row>
    <row r="341" spans="1:16" x14ac:dyDescent="0.25">
      <c r="A341">
        <v>2025</v>
      </c>
      <c r="B341">
        <v>2396</v>
      </c>
      <c r="C341" t="s">
        <v>277</v>
      </c>
      <c r="D341" t="s">
        <v>497</v>
      </c>
      <c r="E341" t="s">
        <v>461</v>
      </c>
      <c r="F341" t="s">
        <v>462</v>
      </c>
      <c r="G341">
        <v>485</v>
      </c>
      <c r="H341">
        <v>-45</v>
      </c>
      <c r="I341">
        <v>25</v>
      </c>
      <c r="J341">
        <v>465</v>
      </c>
      <c r="K341">
        <v>575</v>
      </c>
      <c r="L341">
        <v>605</v>
      </c>
      <c r="M341">
        <v>750</v>
      </c>
      <c r="N341">
        <v>560</v>
      </c>
      <c r="O341">
        <v>650</v>
      </c>
      <c r="P341">
        <v>1960</v>
      </c>
    </row>
    <row r="342" spans="1:16" x14ac:dyDescent="0.25">
      <c r="B342">
        <v>2397</v>
      </c>
      <c r="C342" t="s">
        <v>277</v>
      </c>
      <c r="D342" t="s">
        <v>497</v>
      </c>
      <c r="E342" t="s">
        <v>461</v>
      </c>
      <c r="G342">
        <v>325</v>
      </c>
      <c r="I342">
        <v>25</v>
      </c>
      <c r="J342">
        <v>350</v>
      </c>
      <c r="K342">
        <v>435</v>
      </c>
      <c r="L342">
        <v>455</v>
      </c>
      <c r="M342">
        <v>575</v>
      </c>
      <c r="N342">
        <v>425</v>
      </c>
      <c r="O342">
        <v>490</v>
      </c>
      <c r="P342">
        <v>1350</v>
      </c>
    </row>
    <row r="343" spans="1:16" x14ac:dyDescent="0.25">
      <c r="A343">
        <v>2025</v>
      </c>
      <c r="B343">
        <v>2398</v>
      </c>
      <c r="C343" t="s">
        <v>277</v>
      </c>
      <c r="D343" t="s">
        <v>497</v>
      </c>
      <c r="E343" t="s">
        <v>461</v>
      </c>
      <c r="F343" t="s">
        <v>466</v>
      </c>
      <c r="G343">
        <v>595</v>
      </c>
      <c r="H343">
        <v>-60</v>
      </c>
      <c r="I343">
        <v>25</v>
      </c>
      <c r="J343">
        <v>560</v>
      </c>
      <c r="K343">
        <v>695</v>
      </c>
      <c r="L343">
        <v>730</v>
      </c>
      <c r="M343">
        <v>900</v>
      </c>
      <c r="N343">
        <v>675</v>
      </c>
      <c r="O343">
        <v>785</v>
      </c>
      <c r="P343">
        <v>2370</v>
      </c>
    </row>
    <row r="344" spans="1:16" x14ac:dyDescent="0.25">
      <c r="A344">
        <v>2025</v>
      </c>
      <c r="B344">
        <v>2399</v>
      </c>
      <c r="C344" t="s">
        <v>277</v>
      </c>
      <c r="D344" t="s">
        <v>497</v>
      </c>
      <c r="E344" t="s">
        <v>461</v>
      </c>
      <c r="F344" t="s">
        <v>467</v>
      </c>
      <c r="G344">
        <v>595</v>
      </c>
      <c r="H344">
        <v>-60</v>
      </c>
      <c r="I344">
        <v>25</v>
      </c>
      <c r="J344">
        <v>560</v>
      </c>
      <c r="K344">
        <v>695</v>
      </c>
      <c r="L344">
        <v>730</v>
      </c>
      <c r="M344">
        <v>900</v>
      </c>
      <c r="N344">
        <v>675</v>
      </c>
      <c r="O344">
        <v>785</v>
      </c>
      <c r="P344">
        <v>2370</v>
      </c>
    </row>
    <row r="345" spans="1:16" x14ac:dyDescent="0.25">
      <c r="B345">
        <v>2401</v>
      </c>
      <c r="C345" t="s">
        <v>277</v>
      </c>
      <c r="D345" t="s">
        <v>498</v>
      </c>
      <c r="E345" t="s">
        <v>241</v>
      </c>
      <c r="F345" t="s">
        <v>243</v>
      </c>
      <c r="G345">
        <v>130</v>
      </c>
      <c r="I345">
        <v>10</v>
      </c>
      <c r="J345">
        <v>140</v>
      </c>
      <c r="K345">
        <v>170</v>
      </c>
      <c r="L345">
        <v>175</v>
      </c>
      <c r="M345">
        <v>225</v>
      </c>
      <c r="N345">
        <v>165</v>
      </c>
      <c r="O345">
        <v>190</v>
      </c>
      <c r="P345">
        <v>620</v>
      </c>
    </row>
    <row r="346" spans="1:16" x14ac:dyDescent="0.25">
      <c r="A346">
        <v>2025</v>
      </c>
      <c r="B346">
        <v>2402</v>
      </c>
      <c r="C346" t="s">
        <v>277</v>
      </c>
      <c r="D346" t="s">
        <v>498</v>
      </c>
      <c r="E346" t="s">
        <v>241</v>
      </c>
      <c r="F346" t="s">
        <v>156</v>
      </c>
      <c r="G346">
        <v>95</v>
      </c>
      <c r="I346">
        <v>10</v>
      </c>
      <c r="J346">
        <v>105</v>
      </c>
      <c r="K346">
        <v>130</v>
      </c>
      <c r="L346">
        <v>135</v>
      </c>
      <c r="M346">
        <v>175</v>
      </c>
      <c r="N346">
        <v>125</v>
      </c>
      <c r="O346">
        <v>145</v>
      </c>
      <c r="P346">
        <v>480</v>
      </c>
    </row>
    <row r="347" spans="1:16" x14ac:dyDescent="0.25">
      <c r="A347">
        <v>2025</v>
      </c>
      <c r="B347">
        <v>2403</v>
      </c>
      <c r="C347" t="s">
        <v>277</v>
      </c>
      <c r="D347" t="s">
        <v>498</v>
      </c>
      <c r="E347" t="s">
        <v>241</v>
      </c>
      <c r="F347" t="s">
        <v>434</v>
      </c>
      <c r="G347">
        <v>115</v>
      </c>
      <c r="I347">
        <v>10</v>
      </c>
      <c r="J347">
        <v>125</v>
      </c>
      <c r="K347">
        <v>155</v>
      </c>
      <c r="L347">
        <v>160</v>
      </c>
      <c r="M347">
        <v>200</v>
      </c>
      <c r="N347">
        <v>150</v>
      </c>
      <c r="O347">
        <v>175</v>
      </c>
      <c r="P347">
        <v>560</v>
      </c>
    </row>
    <row r="348" spans="1:16" x14ac:dyDescent="0.25">
      <c r="A348">
        <v>2025</v>
      </c>
      <c r="B348">
        <v>2404</v>
      </c>
      <c r="C348" t="s">
        <v>277</v>
      </c>
      <c r="D348" t="s">
        <v>498</v>
      </c>
      <c r="E348" t="s">
        <v>241</v>
      </c>
      <c r="F348" t="s">
        <v>435</v>
      </c>
      <c r="G348">
        <v>115</v>
      </c>
      <c r="I348">
        <v>10</v>
      </c>
      <c r="J348">
        <v>125</v>
      </c>
      <c r="K348">
        <v>155</v>
      </c>
      <c r="L348">
        <v>160</v>
      </c>
      <c r="M348">
        <v>200</v>
      </c>
      <c r="N348">
        <v>150</v>
      </c>
      <c r="O348">
        <v>175</v>
      </c>
      <c r="P348">
        <v>560</v>
      </c>
    </row>
    <row r="349" spans="1:16" x14ac:dyDescent="0.25">
      <c r="A349">
        <v>2026</v>
      </c>
      <c r="B349">
        <v>2405</v>
      </c>
      <c r="C349" t="s">
        <v>277</v>
      </c>
      <c r="D349" t="s">
        <v>498</v>
      </c>
      <c r="E349" t="s">
        <v>241</v>
      </c>
      <c r="F349" t="s">
        <v>966</v>
      </c>
      <c r="G349">
        <v>140</v>
      </c>
      <c r="I349">
        <v>10</v>
      </c>
      <c r="J349">
        <v>150</v>
      </c>
      <c r="K349">
        <v>185</v>
      </c>
      <c r="L349">
        <v>190</v>
      </c>
      <c r="M349">
        <v>250</v>
      </c>
      <c r="N349">
        <v>175</v>
      </c>
      <c r="O349">
        <v>205</v>
      </c>
      <c r="P349">
        <v>650</v>
      </c>
    </row>
    <row r="350" spans="1:16" x14ac:dyDescent="0.25">
      <c r="A350">
        <v>2026</v>
      </c>
      <c r="B350">
        <v>2406</v>
      </c>
      <c r="C350" t="s">
        <v>277</v>
      </c>
      <c r="D350" t="s">
        <v>498</v>
      </c>
      <c r="E350" t="s">
        <v>241</v>
      </c>
      <c r="F350" t="s">
        <v>244</v>
      </c>
      <c r="G350">
        <v>165</v>
      </c>
      <c r="I350">
        <v>10</v>
      </c>
      <c r="J350">
        <v>175</v>
      </c>
      <c r="K350">
        <v>210</v>
      </c>
      <c r="L350">
        <v>220</v>
      </c>
      <c r="M350">
        <v>300</v>
      </c>
      <c r="N350">
        <v>205</v>
      </c>
      <c r="O350">
        <v>240</v>
      </c>
      <c r="P350">
        <v>750</v>
      </c>
    </row>
    <row r="351" spans="1:16" x14ac:dyDescent="0.25">
      <c r="A351">
        <v>2026</v>
      </c>
      <c r="B351">
        <v>2407</v>
      </c>
      <c r="C351" t="s">
        <v>277</v>
      </c>
      <c r="D351" t="s">
        <v>498</v>
      </c>
      <c r="E351" t="s">
        <v>241</v>
      </c>
      <c r="F351" t="s">
        <v>155</v>
      </c>
      <c r="G351">
        <v>125</v>
      </c>
      <c r="I351">
        <v>10</v>
      </c>
      <c r="J351">
        <v>135</v>
      </c>
      <c r="K351">
        <v>165</v>
      </c>
      <c r="L351">
        <v>170</v>
      </c>
      <c r="M351">
        <v>225</v>
      </c>
      <c r="N351">
        <v>160</v>
      </c>
      <c r="O351">
        <v>185</v>
      </c>
      <c r="P351">
        <v>600</v>
      </c>
    </row>
    <row r="352" spans="1:16" x14ac:dyDescent="0.25">
      <c r="A352">
        <v>2026</v>
      </c>
      <c r="B352">
        <v>2408</v>
      </c>
      <c r="C352" t="s">
        <v>277</v>
      </c>
      <c r="D352" t="s">
        <v>498</v>
      </c>
      <c r="E352" t="s">
        <v>241</v>
      </c>
      <c r="F352" t="s">
        <v>968</v>
      </c>
      <c r="G352">
        <v>145</v>
      </c>
      <c r="I352">
        <v>10</v>
      </c>
      <c r="J352">
        <v>155</v>
      </c>
      <c r="K352">
        <v>190</v>
      </c>
      <c r="L352">
        <v>195</v>
      </c>
      <c r="M352">
        <v>250</v>
      </c>
      <c r="N352">
        <v>180</v>
      </c>
      <c r="O352">
        <v>210</v>
      </c>
      <c r="P352">
        <v>670</v>
      </c>
    </row>
    <row r="353" spans="1:16" x14ac:dyDescent="0.25">
      <c r="B353">
        <v>2409</v>
      </c>
      <c r="C353" t="s">
        <v>277</v>
      </c>
      <c r="D353" t="s">
        <v>498</v>
      </c>
      <c r="E353" t="s">
        <v>241</v>
      </c>
      <c r="F353" t="s">
        <v>421</v>
      </c>
      <c r="G353">
        <v>135</v>
      </c>
      <c r="I353">
        <v>10</v>
      </c>
      <c r="J353">
        <v>145</v>
      </c>
      <c r="K353">
        <v>180</v>
      </c>
      <c r="L353">
        <v>185</v>
      </c>
      <c r="M353">
        <v>250</v>
      </c>
      <c r="N353">
        <v>175</v>
      </c>
      <c r="O353">
        <v>200</v>
      </c>
      <c r="P353">
        <v>640</v>
      </c>
    </row>
    <row r="354" spans="1:16" x14ac:dyDescent="0.25">
      <c r="A354">
        <v>2025</v>
      </c>
      <c r="B354">
        <v>2410</v>
      </c>
      <c r="C354" t="s">
        <v>277</v>
      </c>
      <c r="D354" t="s">
        <v>498</v>
      </c>
      <c r="E354" t="s">
        <v>241</v>
      </c>
      <c r="F354" t="s">
        <v>439</v>
      </c>
      <c r="G354">
        <v>100</v>
      </c>
      <c r="I354">
        <v>10</v>
      </c>
      <c r="J354">
        <v>110</v>
      </c>
      <c r="K354">
        <v>135</v>
      </c>
      <c r="L354">
        <v>140</v>
      </c>
      <c r="M354">
        <v>175</v>
      </c>
      <c r="N354">
        <v>130</v>
      </c>
      <c r="O354">
        <v>150</v>
      </c>
      <c r="P354">
        <v>500</v>
      </c>
    </row>
    <row r="355" spans="1:16" x14ac:dyDescent="0.25">
      <c r="B355">
        <v>2411</v>
      </c>
      <c r="C355" t="s">
        <v>277</v>
      </c>
      <c r="D355" t="s">
        <v>498</v>
      </c>
      <c r="E355" t="s">
        <v>129</v>
      </c>
      <c r="F355" t="s">
        <v>158</v>
      </c>
      <c r="G355">
        <v>85</v>
      </c>
      <c r="I355">
        <v>10</v>
      </c>
      <c r="J355">
        <v>95</v>
      </c>
      <c r="K355">
        <v>115</v>
      </c>
      <c r="L355">
        <v>120</v>
      </c>
      <c r="M355">
        <v>150</v>
      </c>
      <c r="N355">
        <v>115</v>
      </c>
      <c r="O355">
        <v>130</v>
      </c>
      <c r="P355">
        <v>450</v>
      </c>
    </row>
    <row r="356" spans="1:16" x14ac:dyDescent="0.25">
      <c r="A356">
        <v>2025</v>
      </c>
      <c r="B356">
        <v>2412</v>
      </c>
      <c r="C356" t="s">
        <v>277</v>
      </c>
      <c r="D356" t="s">
        <v>498</v>
      </c>
      <c r="E356" t="s">
        <v>241</v>
      </c>
      <c r="F356" t="s">
        <v>436</v>
      </c>
      <c r="G356">
        <v>105</v>
      </c>
      <c r="I356">
        <v>10</v>
      </c>
      <c r="J356">
        <v>115</v>
      </c>
      <c r="K356">
        <v>140</v>
      </c>
      <c r="L356">
        <v>145</v>
      </c>
      <c r="M356">
        <v>200</v>
      </c>
      <c r="N356">
        <v>135</v>
      </c>
      <c r="O356">
        <v>160</v>
      </c>
      <c r="P356">
        <v>520</v>
      </c>
    </row>
    <row r="357" spans="1:16" x14ac:dyDescent="0.25">
      <c r="A357">
        <v>2025</v>
      </c>
      <c r="B357">
        <v>2413</v>
      </c>
      <c r="C357" t="s">
        <v>277</v>
      </c>
      <c r="D357" t="s">
        <v>498</v>
      </c>
      <c r="E357" t="s">
        <v>241</v>
      </c>
      <c r="F357" t="s">
        <v>437</v>
      </c>
      <c r="G357">
        <v>83</v>
      </c>
      <c r="I357">
        <v>10</v>
      </c>
      <c r="J357">
        <v>93</v>
      </c>
      <c r="K357">
        <v>115</v>
      </c>
      <c r="L357">
        <v>120</v>
      </c>
      <c r="M357">
        <v>150</v>
      </c>
      <c r="N357">
        <v>115</v>
      </c>
      <c r="O357">
        <v>130</v>
      </c>
      <c r="P357">
        <v>440</v>
      </c>
    </row>
    <row r="358" spans="1:16" x14ac:dyDescent="0.25">
      <c r="A358">
        <v>2025</v>
      </c>
      <c r="B358">
        <v>2414</v>
      </c>
      <c r="C358" t="s">
        <v>277</v>
      </c>
      <c r="D358" t="s">
        <v>498</v>
      </c>
      <c r="E358" t="s">
        <v>241</v>
      </c>
      <c r="F358" t="s">
        <v>438</v>
      </c>
      <c r="G358">
        <v>90</v>
      </c>
      <c r="I358">
        <v>10</v>
      </c>
      <c r="J358">
        <v>100</v>
      </c>
      <c r="K358">
        <v>120</v>
      </c>
      <c r="L358">
        <v>125</v>
      </c>
      <c r="M358">
        <v>175</v>
      </c>
      <c r="N358">
        <v>115</v>
      </c>
      <c r="O358">
        <v>135</v>
      </c>
      <c r="P358">
        <v>470</v>
      </c>
    </row>
    <row r="359" spans="1:16" x14ac:dyDescent="0.25">
      <c r="A359">
        <v>2026</v>
      </c>
      <c r="B359">
        <v>2415</v>
      </c>
      <c r="C359" t="s">
        <v>284</v>
      </c>
      <c r="D359" t="s">
        <v>498</v>
      </c>
      <c r="E359" t="s">
        <v>539</v>
      </c>
      <c r="F359" t="s">
        <v>540</v>
      </c>
      <c r="G359">
        <v>195</v>
      </c>
      <c r="I359">
        <v>15</v>
      </c>
      <c r="J359">
        <v>210</v>
      </c>
      <c r="K359">
        <v>255</v>
      </c>
      <c r="L359">
        <v>265</v>
      </c>
      <c r="M359">
        <v>350</v>
      </c>
      <c r="N359">
        <v>245</v>
      </c>
      <c r="O359">
        <v>285</v>
      </c>
      <c r="P359">
        <v>860</v>
      </c>
    </row>
    <row r="360" spans="1:16" x14ac:dyDescent="0.25">
      <c r="A360">
        <v>2026</v>
      </c>
      <c r="B360">
        <v>2421</v>
      </c>
      <c r="C360" t="s">
        <v>284</v>
      </c>
      <c r="D360" t="s">
        <v>498</v>
      </c>
      <c r="E360" t="s">
        <v>879</v>
      </c>
      <c r="F360" t="s">
        <v>881</v>
      </c>
      <c r="G360">
        <v>105</v>
      </c>
      <c r="I360">
        <v>10</v>
      </c>
      <c r="J360">
        <v>115</v>
      </c>
      <c r="K360">
        <v>140</v>
      </c>
      <c r="L360">
        <v>145</v>
      </c>
      <c r="M360">
        <v>200</v>
      </c>
      <c r="N360">
        <v>135</v>
      </c>
      <c r="O360">
        <v>160</v>
      </c>
      <c r="P360">
        <v>520</v>
      </c>
    </row>
    <row r="361" spans="1:16" x14ac:dyDescent="0.25">
      <c r="A361">
        <v>2026</v>
      </c>
      <c r="B361">
        <v>2422</v>
      </c>
      <c r="C361" t="s">
        <v>284</v>
      </c>
      <c r="D361" t="s">
        <v>498</v>
      </c>
      <c r="E361" t="s">
        <v>879</v>
      </c>
      <c r="F361" t="s">
        <v>882</v>
      </c>
      <c r="G361">
        <v>108</v>
      </c>
      <c r="I361">
        <v>10</v>
      </c>
      <c r="J361">
        <v>118</v>
      </c>
      <c r="K361">
        <v>145</v>
      </c>
      <c r="L361">
        <v>150</v>
      </c>
      <c r="M361">
        <v>200</v>
      </c>
      <c r="N361">
        <v>140</v>
      </c>
      <c r="O361">
        <v>165</v>
      </c>
      <c r="P361">
        <v>530</v>
      </c>
    </row>
    <row r="362" spans="1:16" x14ac:dyDescent="0.25">
      <c r="A362">
        <v>2026</v>
      </c>
      <c r="B362">
        <v>2423</v>
      </c>
      <c r="C362" t="s">
        <v>284</v>
      </c>
      <c r="D362" t="s">
        <v>498</v>
      </c>
      <c r="E362" t="s">
        <v>879</v>
      </c>
      <c r="F362" t="s">
        <v>883</v>
      </c>
      <c r="G362">
        <v>108</v>
      </c>
      <c r="I362">
        <v>10</v>
      </c>
      <c r="J362">
        <v>118</v>
      </c>
      <c r="K362">
        <v>145</v>
      </c>
      <c r="L362">
        <v>150</v>
      </c>
      <c r="M362">
        <v>200</v>
      </c>
      <c r="N362">
        <v>140</v>
      </c>
      <c r="O362">
        <v>165</v>
      </c>
      <c r="P362">
        <v>530</v>
      </c>
    </row>
    <row r="363" spans="1:16" x14ac:dyDescent="0.25">
      <c r="A363">
        <v>2026</v>
      </c>
      <c r="B363">
        <v>2424</v>
      </c>
      <c r="C363" t="s">
        <v>284</v>
      </c>
      <c r="D363" t="s">
        <v>498</v>
      </c>
      <c r="E363" t="s">
        <v>879</v>
      </c>
      <c r="F363" t="s">
        <v>884</v>
      </c>
      <c r="G363">
        <v>92</v>
      </c>
      <c r="I363">
        <v>10</v>
      </c>
      <c r="J363">
        <v>102</v>
      </c>
      <c r="K363">
        <v>125</v>
      </c>
      <c r="L363">
        <v>130</v>
      </c>
      <c r="M363">
        <v>175</v>
      </c>
      <c r="N363">
        <v>120</v>
      </c>
      <c r="O363">
        <v>140</v>
      </c>
      <c r="P363">
        <v>470</v>
      </c>
    </row>
    <row r="364" spans="1:16" x14ac:dyDescent="0.25">
      <c r="A364">
        <v>2026</v>
      </c>
      <c r="B364">
        <v>2425</v>
      </c>
      <c r="C364" t="s">
        <v>284</v>
      </c>
      <c r="D364" t="s">
        <v>498</v>
      </c>
      <c r="E364" t="s">
        <v>879</v>
      </c>
      <c r="F364" t="s">
        <v>885</v>
      </c>
      <c r="G364">
        <v>93</v>
      </c>
      <c r="I364">
        <v>10</v>
      </c>
      <c r="J364">
        <v>103</v>
      </c>
      <c r="K364">
        <v>125</v>
      </c>
      <c r="L364">
        <v>130</v>
      </c>
      <c r="M364">
        <v>175</v>
      </c>
      <c r="N364">
        <v>120</v>
      </c>
      <c r="O364">
        <v>140</v>
      </c>
      <c r="P364">
        <v>480</v>
      </c>
    </row>
    <row r="365" spans="1:16" x14ac:dyDescent="0.25">
      <c r="A365">
        <v>2026</v>
      </c>
      <c r="B365">
        <v>2426</v>
      </c>
      <c r="C365" t="s">
        <v>284</v>
      </c>
      <c r="D365" t="s">
        <v>498</v>
      </c>
      <c r="E365" t="s">
        <v>879</v>
      </c>
      <c r="F365" t="s">
        <v>886</v>
      </c>
      <c r="G365">
        <v>102</v>
      </c>
      <c r="I365">
        <v>10</v>
      </c>
      <c r="J365">
        <v>112</v>
      </c>
      <c r="K365">
        <v>135</v>
      </c>
      <c r="L365">
        <v>140</v>
      </c>
      <c r="M365">
        <v>200</v>
      </c>
      <c r="N365">
        <v>130</v>
      </c>
      <c r="O365">
        <v>150</v>
      </c>
      <c r="P365">
        <v>510</v>
      </c>
    </row>
    <row r="366" spans="1:16" x14ac:dyDescent="0.25">
      <c r="A366">
        <v>2026</v>
      </c>
      <c r="B366">
        <v>2427</v>
      </c>
      <c r="C366" t="s">
        <v>284</v>
      </c>
      <c r="D366" t="s">
        <v>498</v>
      </c>
      <c r="E366" t="s">
        <v>963</v>
      </c>
      <c r="F366" t="s">
        <v>887</v>
      </c>
      <c r="G366">
        <v>105</v>
      </c>
      <c r="I366">
        <v>10</v>
      </c>
      <c r="J366">
        <v>115</v>
      </c>
      <c r="K366">
        <v>140</v>
      </c>
      <c r="L366">
        <v>145</v>
      </c>
      <c r="M366">
        <v>200</v>
      </c>
      <c r="N366">
        <v>135</v>
      </c>
      <c r="O366">
        <v>160</v>
      </c>
      <c r="P366">
        <v>520</v>
      </c>
    </row>
    <row r="367" spans="1:16" x14ac:dyDescent="0.25">
      <c r="A367">
        <v>2026</v>
      </c>
      <c r="B367">
        <v>2428</v>
      </c>
      <c r="C367" t="s">
        <v>284</v>
      </c>
      <c r="D367" t="s">
        <v>498</v>
      </c>
      <c r="E367" t="s">
        <v>879</v>
      </c>
      <c r="F367" t="s">
        <v>888</v>
      </c>
      <c r="G367">
        <v>102</v>
      </c>
      <c r="I367">
        <v>10</v>
      </c>
      <c r="J367">
        <v>112</v>
      </c>
      <c r="K367">
        <v>135</v>
      </c>
      <c r="L367">
        <v>140</v>
      </c>
      <c r="M367">
        <v>200</v>
      </c>
      <c r="N367">
        <v>130</v>
      </c>
      <c r="O367">
        <v>150</v>
      </c>
      <c r="P367">
        <v>510</v>
      </c>
    </row>
    <row r="368" spans="1:16" x14ac:dyDescent="0.25">
      <c r="A368">
        <v>2026</v>
      </c>
      <c r="B368">
        <v>2441</v>
      </c>
      <c r="C368" t="s">
        <v>277</v>
      </c>
      <c r="D368" t="s">
        <v>498</v>
      </c>
      <c r="E368" t="s">
        <v>241</v>
      </c>
      <c r="F368" t="s">
        <v>965</v>
      </c>
      <c r="G368">
        <v>110</v>
      </c>
      <c r="I368">
        <v>10</v>
      </c>
      <c r="J368">
        <v>120</v>
      </c>
      <c r="K368">
        <v>145</v>
      </c>
      <c r="L368">
        <v>150</v>
      </c>
      <c r="M368">
        <v>200</v>
      </c>
      <c r="N368">
        <v>140</v>
      </c>
      <c r="O368">
        <v>165</v>
      </c>
      <c r="P368">
        <v>540</v>
      </c>
    </row>
    <row r="369" spans="1:16" x14ac:dyDescent="0.25">
      <c r="A369">
        <v>2025</v>
      </c>
      <c r="B369">
        <v>2442</v>
      </c>
      <c r="C369" t="s">
        <v>277</v>
      </c>
      <c r="D369" t="s">
        <v>498</v>
      </c>
      <c r="E369" t="s">
        <v>241</v>
      </c>
      <c r="F369" t="s">
        <v>422</v>
      </c>
      <c r="G369">
        <v>105</v>
      </c>
      <c r="I369">
        <v>10</v>
      </c>
      <c r="J369">
        <v>115</v>
      </c>
      <c r="K369">
        <v>140</v>
      </c>
      <c r="L369">
        <v>145</v>
      </c>
      <c r="M369">
        <v>200</v>
      </c>
      <c r="N369">
        <v>135</v>
      </c>
      <c r="O369">
        <v>160</v>
      </c>
      <c r="P369">
        <v>520</v>
      </c>
    </row>
    <row r="370" spans="1:16" x14ac:dyDescent="0.25">
      <c r="A370">
        <v>2026</v>
      </c>
      <c r="B370">
        <v>2443</v>
      </c>
      <c r="C370" t="s">
        <v>277</v>
      </c>
      <c r="D370" t="s">
        <v>498</v>
      </c>
      <c r="E370" t="s">
        <v>241</v>
      </c>
      <c r="F370" t="s">
        <v>967</v>
      </c>
      <c r="G370">
        <v>115</v>
      </c>
      <c r="I370">
        <v>10</v>
      </c>
      <c r="J370">
        <v>125</v>
      </c>
      <c r="K370">
        <v>155</v>
      </c>
      <c r="L370">
        <v>160</v>
      </c>
      <c r="M370">
        <v>200</v>
      </c>
      <c r="N370">
        <v>150</v>
      </c>
      <c r="O370">
        <v>175</v>
      </c>
      <c r="P370">
        <v>560</v>
      </c>
    </row>
    <row r="371" spans="1:16" x14ac:dyDescent="0.25">
      <c r="A371">
        <v>2026</v>
      </c>
      <c r="B371">
        <v>2444</v>
      </c>
      <c r="C371" t="s">
        <v>277</v>
      </c>
      <c r="D371" t="s">
        <v>498</v>
      </c>
      <c r="E371" t="s">
        <v>241</v>
      </c>
      <c r="F371" t="s">
        <v>969</v>
      </c>
      <c r="G371">
        <v>165</v>
      </c>
      <c r="I371">
        <v>10</v>
      </c>
      <c r="J371">
        <v>175</v>
      </c>
      <c r="K371">
        <v>210</v>
      </c>
      <c r="L371">
        <v>220</v>
      </c>
      <c r="M371">
        <v>300</v>
      </c>
      <c r="N371">
        <v>205</v>
      </c>
      <c r="O371">
        <v>240</v>
      </c>
      <c r="P371">
        <v>750</v>
      </c>
    </row>
    <row r="372" spans="1:16" x14ac:dyDescent="0.25">
      <c r="A372">
        <v>2026</v>
      </c>
      <c r="B372">
        <v>2445</v>
      </c>
      <c r="C372" t="s">
        <v>277</v>
      </c>
      <c r="D372" t="s">
        <v>498</v>
      </c>
      <c r="E372" t="s">
        <v>241</v>
      </c>
      <c r="F372" t="s">
        <v>970</v>
      </c>
      <c r="G372">
        <v>160</v>
      </c>
      <c r="I372">
        <v>10</v>
      </c>
      <c r="J372">
        <v>170</v>
      </c>
      <c r="K372">
        <v>205</v>
      </c>
      <c r="L372">
        <v>215</v>
      </c>
      <c r="M372">
        <v>275</v>
      </c>
      <c r="N372">
        <v>200</v>
      </c>
      <c r="O372">
        <v>235</v>
      </c>
      <c r="P372">
        <v>730</v>
      </c>
    </row>
    <row r="373" spans="1:16" x14ac:dyDescent="0.25">
      <c r="B373">
        <v>2452</v>
      </c>
      <c r="C373" t="s">
        <v>277</v>
      </c>
      <c r="D373" t="s">
        <v>167</v>
      </c>
      <c r="F373" t="s">
        <v>76</v>
      </c>
      <c r="G373">
        <v>200</v>
      </c>
      <c r="I373">
        <v>110</v>
      </c>
      <c r="J373">
        <v>310</v>
      </c>
      <c r="K373">
        <v>375</v>
      </c>
      <c r="L373">
        <v>390</v>
      </c>
      <c r="M373">
        <v>500</v>
      </c>
      <c r="N373">
        <v>360</v>
      </c>
      <c r="O373">
        <v>425</v>
      </c>
      <c r="P373">
        <v>880</v>
      </c>
    </row>
    <row r="374" spans="1:16" x14ac:dyDescent="0.25">
      <c r="A374">
        <v>2025</v>
      </c>
      <c r="B374">
        <v>2461</v>
      </c>
      <c r="C374" t="s">
        <v>277</v>
      </c>
      <c r="D374" t="s">
        <v>167</v>
      </c>
      <c r="E374" t="s">
        <v>342</v>
      </c>
      <c r="F374" t="s">
        <v>523</v>
      </c>
      <c r="G374">
        <v>204</v>
      </c>
      <c r="I374">
        <v>15</v>
      </c>
      <c r="J374">
        <v>219</v>
      </c>
      <c r="K374">
        <v>265</v>
      </c>
      <c r="L374">
        <v>275</v>
      </c>
      <c r="M374">
        <v>350</v>
      </c>
      <c r="N374">
        <v>255</v>
      </c>
      <c r="O374">
        <v>295</v>
      </c>
      <c r="P374">
        <v>900</v>
      </c>
    </row>
    <row r="375" spans="1:16" x14ac:dyDescent="0.25">
      <c r="A375">
        <v>2025</v>
      </c>
      <c r="B375">
        <v>2462</v>
      </c>
      <c r="C375" t="s">
        <v>277</v>
      </c>
      <c r="D375" t="s">
        <v>167</v>
      </c>
      <c r="E375" t="s">
        <v>342</v>
      </c>
      <c r="F375" t="s">
        <v>524</v>
      </c>
      <c r="G375">
        <v>177</v>
      </c>
      <c r="I375">
        <v>15</v>
      </c>
      <c r="J375">
        <v>192</v>
      </c>
      <c r="K375">
        <v>230</v>
      </c>
      <c r="L375">
        <v>240</v>
      </c>
      <c r="M375">
        <v>325</v>
      </c>
      <c r="N375">
        <v>225</v>
      </c>
      <c r="O375">
        <v>260</v>
      </c>
      <c r="P375">
        <v>790</v>
      </c>
    </row>
    <row r="376" spans="1:16" x14ac:dyDescent="0.25">
      <c r="A376">
        <v>2025</v>
      </c>
      <c r="B376">
        <v>2463</v>
      </c>
      <c r="C376" t="s">
        <v>277</v>
      </c>
      <c r="D376" t="s">
        <v>167</v>
      </c>
      <c r="E376" t="s">
        <v>342</v>
      </c>
      <c r="F376" t="s">
        <v>525</v>
      </c>
      <c r="G376">
        <v>160</v>
      </c>
      <c r="I376">
        <v>15</v>
      </c>
      <c r="J376">
        <v>175</v>
      </c>
      <c r="K376">
        <v>210</v>
      </c>
      <c r="L376">
        <v>220</v>
      </c>
      <c r="M376">
        <v>300</v>
      </c>
      <c r="N376">
        <v>205</v>
      </c>
      <c r="O376">
        <v>240</v>
      </c>
      <c r="P376">
        <v>730</v>
      </c>
    </row>
    <row r="377" spans="1:16" x14ac:dyDescent="0.25">
      <c r="A377">
        <v>2025</v>
      </c>
      <c r="B377">
        <v>2492</v>
      </c>
      <c r="C377" t="s">
        <v>277</v>
      </c>
      <c r="D377" t="s">
        <v>494</v>
      </c>
      <c r="E377" t="s">
        <v>249</v>
      </c>
      <c r="F377" t="s">
        <v>429</v>
      </c>
      <c r="G377">
        <v>205</v>
      </c>
      <c r="I377">
        <v>15</v>
      </c>
      <c r="J377">
        <v>220</v>
      </c>
      <c r="K377">
        <v>265</v>
      </c>
      <c r="L377">
        <v>275</v>
      </c>
      <c r="M377">
        <v>350</v>
      </c>
      <c r="N377">
        <v>255</v>
      </c>
      <c r="O377">
        <v>295</v>
      </c>
      <c r="P377">
        <v>900</v>
      </c>
    </row>
    <row r="378" spans="1:16" x14ac:dyDescent="0.25">
      <c r="A378">
        <v>2025</v>
      </c>
      <c r="B378">
        <v>2571</v>
      </c>
      <c r="C378" t="s">
        <v>277</v>
      </c>
      <c r="D378" t="s">
        <v>497</v>
      </c>
      <c r="E378" t="s">
        <v>233</v>
      </c>
      <c r="F378" t="s">
        <v>236</v>
      </c>
      <c r="G378">
        <v>455</v>
      </c>
      <c r="H378">
        <v>-45</v>
      </c>
      <c r="I378">
        <v>100</v>
      </c>
      <c r="J378">
        <v>510</v>
      </c>
      <c r="K378">
        <v>635</v>
      </c>
      <c r="L378">
        <v>665</v>
      </c>
      <c r="M378">
        <v>825</v>
      </c>
      <c r="N378">
        <v>615</v>
      </c>
      <c r="O378">
        <v>715</v>
      </c>
      <c r="P378">
        <v>1840</v>
      </c>
    </row>
    <row r="379" spans="1:16" x14ac:dyDescent="0.25">
      <c r="A379">
        <v>2025</v>
      </c>
      <c r="B379">
        <v>2572</v>
      </c>
      <c r="C379" t="s">
        <v>277</v>
      </c>
      <c r="D379" t="s">
        <v>497</v>
      </c>
      <c r="E379" t="s">
        <v>461</v>
      </c>
      <c r="F379" t="s">
        <v>470</v>
      </c>
      <c r="G379">
        <v>485</v>
      </c>
      <c r="H379">
        <v>-45</v>
      </c>
      <c r="I379">
        <v>25</v>
      </c>
      <c r="J379">
        <v>465</v>
      </c>
      <c r="K379">
        <v>575</v>
      </c>
      <c r="L379">
        <v>605</v>
      </c>
      <c r="M379">
        <v>750</v>
      </c>
      <c r="N379">
        <v>560</v>
      </c>
      <c r="O379">
        <v>650</v>
      </c>
      <c r="P379">
        <v>1960</v>
      </c>
    </row>
    <row r="380" spans="1:16" x14ac:dyDescent="0.25">
      <c r="A380">
        <v>2025</v>
      </c>
      <c r="B380">
        <v>2573</v>
      </c>
      <c r="C380" t="s">
        <v>277</v>
      </c>
      <c r="D380" t="s">
        <v>497</v>
      </c>
      <c r="E380" t="s">
        <v>461</v>
      </c>
      <c r="F380" t="s">
        <v>471</v>
      </c>
      <c r="G380">
        <v>485</v>
      </c>
      <c r="H380">
        <v>-45</v>
      </c>
      <c r="I380">
        <v>25</v>
      </c>
      <c r="J380">
        <v>465</v>
      </c>
      <c r="K380">
        <v>575</v>
      </c>
      <c r="L380">
        <v>605</v>
      </c>
      <c r="M380">
        <v>750</v>
      </c>
      <c r="N380">
        <v>560</v>
      </c>
      <c r="O380">
        <v>650</v>
      </c>
      <c r="P380">
        <v>1960</v>
      </c>
    </row>
    <row r="381" spans="1:16" x14ac:dyDescent="0.25">
      <c r="A381">
        <v>2025</v>
      </c>
      <c r="B381">
        <v>2574</v>
      </c>
      <c r="C381" t="s">
        <v>277</v>
      </c>
      <c r="D381" t="s">
        <v>497</v>
      </c>
      <c r="E381" t="s">
        <v>461</v>
      </c>
      <c r="F381" t="s">
        <v>472</v>
      </c>
      <c r="G381">
        <v>430</v>
      </c>
      <c r="H381">
        <v>-40</v>
      </c>
      <c r="I381">
        <v>25</v>
      </c>
      <c r="J381">
        <v>415</v>
      </c>
      <c r="K381">
        <v>515</v>
      </c>
      <c r="L381">
        <v>540</v>
      </c>
      <c r="M381">
        <v>675</v>
      </c>
      <c r="N381">
        <v>500</v>
      </c>
      <c r="O381">
        <v>580</v>
      </c>
      <c r="P381">
        <v>1750</v>
      </c>
    </row>
    <row r="382" spans="1:16" x14ac:dyDescent="0.25">
      <c r="A382">
        <v>2026</v>
      </c>
      <c r="B382">
        <v>2575</v>
      </c>
      <c r="C382" t="s">
        <v>277</v>
      </c>
      <c r="D382" t="s">
        <v>497</v>
      </c>
      <c r="E382" t="s">
        <v>233</v>
      </c>
      <c r="F382" t="s">
        <v>878</v>
      </c>
      <c r="G382">
        <v>650</v>
      </c>
      <c r="H382">
        <v>-65</v>
      </c>
      <c r="I382">
        <v>30</v>
      </c>
      <c r="J382">
        <v>615</v>
      </c>
      <c r="K382">
        <v>760</v>
      </c>
      <c r="L382">
        <v>800</v>
      </c>
      <c r="M382">
        <v>975</v>
      </c>
      <c r="N382">
        <v>740</v>
      </c>
      <c r="O382">
        <v>860</v>
      </c>
      <c r="P382">
        <v>2580</v>
      </c>
    </row>
    <row r="383" spans="1:16" x14ac:dyDescent="0.25">
      <c r="A383">
        <v>2025</v>
      </c>
      <c r="B383">
        <v>2576</v>
      </c>
      <c r="C383" t="s">
        <v>277</v>
      </c>
      <c r="D383" t="s">
        <v>497</v>
      </c>
      <c r="E383" t="s">
        <v>461</v>
      </c>
      <c r="F383" t="s">
        <v>473</v>
      </c>
      <c r="G383">
        <v>425</v>
      </c>
      <c r="H383">
        <v>-40</v>
      </c>
      <c r="I383">
        <v>25</v>
      </c>
      <c r="J383">
        <v>410</v>
      </c>
      <c r="K383">
        <v>510</v>
      </c>
      <c r="L383">
        <v>535</v>
      </c>
      <c r="M383">
        <v>650</v>
      </c>
      <c r="N383">
        <v>495</v>
      </c>
      <c r="O383">
        <v>575</v>
      </c>
      <c r="P383">
        <v>1730</v>
      </c>
    </row>
    <row r="384" spans="1:16" x14ac:dyDescent="0.25">
      <c r="A384">
        <v>2025</v>
      </c>
      <c r="B384">
        <v>2577</v>
      </c>
      <c r="C384" t="s">
        <v>277</v>
      </c>
      <c r="D384" t="s">
        <v>497</v>
      </c>
      <c r="E384" t="s">
        <v>461</v>
      </c>
      <c r="F384" t="s">
        <v>474</v>
      </c>
      <c r="G384">
        <v>760</v>
      </c>
      <c r="H384">
        <v>-75</v>
      </c>
      <c r="I384">
        <v>25</v>
      </c>
      <c r="J384">
        <v>710</v>
      </c>
      <c r="K384">
        <v>880</v>
      </c>
      <c r="L384">
        <v>925</v>
      </c>
      <c r="M384">
        <v>1125</v>
      </c>
      <c r="N384">
        <v>855</v>
      </c>
      <c r="O384">
        <v>990</v>
      </c>
      <c r="P384">
        <v>2990</v>
      </c>
    </row>
    <row r="385" spans="1:16" x14ac:dyDescent="0.25">
      <c r="A385">
        <v>2025</v>
      </c>
      <c r="B385">
        <v>2578</v>
      </c>
      <c r="C385" t="s">
        <v>277</v>
      </c>
      <c r="D385" t="s">
        <v>497</v>
      </c>
      <c r="E385" t="s">
        <v>461</v>
      </c>
      <c r="F385" t="s">
        <v>475</v>
      </c>
      <c r="G385">
        <v>940</v>
      </c>
      <c r="H385">
        <v>-95</v>
      </c>
      <c r="I385">
        <v>25</v>
      </c>
      <c r="J385">
        <v>870</v>
      </c>
      <c r="K385">
        <v>1080</v>
      </c>
      <c r="L385">
        <v>1135</v>
      </c>
      <c r="M385">
        <v>1375</v>
      </c>
      <c r="N385">
        <v>1045</v>
      </c>
      <c r="O385">
        <v>1215</v>
      </c>
      <c r="P385">
        <v>3670</v>
      </c>
    </row>
    <row r="386" spans="1:16" x14ac:dyDescent="0.25">
      <c r="A386">
        <v>2025</v>
      </c>
      <c r="B386">
        <v>2579</v>
      </c>
      <c r="C386" t="s">
        <v>277</v>
      </c>
      <c r="D386" t="s">
        <v>497</v>
      </c>
      <c r="E386" t="s">
        <v>461</v>
      </c>
      <c r="F386" t="s">
        <v>476</v>
      </c>
      <c r="G386">
        <v>940</v>
      </c>
      <c r="H386">
        <v>-95</v>
      </c>
      <c r="I386">
        <v>25</v>
      </c>
      <c r="J386">
        <v>870</v>
      </c>
      <c r="K386">
        <v>1080</v>
      </c>
      <c r="L386">
        <v>1135</v>
      </c>
      <c r="M386">
        <v>1375</v>
      </c>
      <c r="N386">
        <v>1045</v>
      </c>
      <c r="O386">
        <v>1215</v>
      </c>
      <c r="P386">
        <v>3670</v>
      </c>
    </row>
    <row r="387" spans="1:16" x14ac:dyDescent="0.25">
      <c r="B387">
        <v>2621</v>
      </c>
      <c r="C387" t="s">
        <v>277</v>
      </c>
      <c r="D387" t="s">
        <v>497</v>
      </c>
      <c r="E387" t="s">
        <v>135</v>
      </c>
      <c r="F387" t="s">
        <v>180</v>
      </c>
      <c r="G387">
        <v>595</v>
      </c>
      <c r="I387">
        <v>25</v>
      </c>
      <c r="J387">
        <v>620</v>
      </c>
      <c r="K387">
        <v>770</v>
      </c>
      <c r="L387">
        <v>810</v>
      </c>
      <c r="M387">
        <v>1000</v>
      </c>
      <c r="N387">
        <v>750</v>
      </c>
      <c r="O387">
        <v>870</v>
      </c>
      <c r="P387">
        <v>2370</v>
      </c>
    </row>
    <row r="388" spans="1:16" x14ac:dyDescent="0.25">
      <c r="A388">
        <v>2025</v>
      </c>
      <c r="B388">
        <v>2622</v>
      </c>
      <c r="C388" t="s">
        <v>277</v>
      </c>
      <c r="D388" t="s">
        <v>497</v>
      </c>
      <c r="E388" t="s">
        <v>461</v>
      </c>
      <c r="F388" t="s">
        <v>477</v>
      </c>
      <c r="G388">
        <v>940</v>
      </c>
      <c r="H388">
        <v>-95</v>
      </c>
      <c r="I388">
        <v>25</v>
      </c>
      <c r="J388">
        <v>870</v>
      </c>
      <c r="K388">
        <v>1080</v>
      </c>
      <c r="L388">
        <v>1135</v>
      </c>
      <c r="M388">
        <v>1375</v>
      </c>
      <c r="N388">
        <v>1045</v>
      </c>
      <c r="O388">
        <v>1215</v>
      </c>
      <c r="P388">
        <v>3670</v>
      </c>
    </row>
    <row r="389" spans="1:16" x14ac:dyDescent="0.25">
      <c r="B389">
        <v>2623</v>
      </c>
      <c r="C389" t="s">
        <v>277</v>
      </c>
      <c r="D389" t="s">
        <v>497</v>
      </c>
      <c r="F389" t="s">
        <v>91</v>
      </c>
      <c r="G389">
        <v>925</v>
      </c>
      <c r="I389">
        <v>25</v>
      </c>
      <c r="J389">
        <v>950</v>
      </c>
      <c r="K389">
        <v>1175</v>
      </c>
      <c r="L389">
        <v>1235</v>
      </c>
      <c r="M389">
        <v>1500</v>
      </c>
      <c r="N389">
        <v>1140</v>
      </c>
      <c r="O389">
        <v>1325</v>
      </c>
      <c r="P389">
        <v>3620</v>
      </c>
    </row>
    <row r="390" spans="1:16" x14ac:dyDescent="0.25">
      <c r="B390">
        <v>2624</v>
      </c>
      <c r="C390" t="s">
        <v>277</v>
      </c>
      <c r="D390" t="s">
        <v>497</v>
      </c>
      <c r="F390" t="s">
        <v>92</v>
      </c>
      <c r="G390">
        <v>925</v>
      </c>
      <c r="I390">
        <v>25</v>
      </c>
      <c r="J390">
        <v>950</v>
      </c>
      <c r="K390">
        <v>1175</v>
      </c>
      <c r="L390">
        <v>1235</v>
      </c>
      <c r="M390">
        <v>1500</v>
      </c>
      <c r="N390">
        <v>1140</v>
      </c>
      <c r="O390">
        <v>1325</v>
      </c>
      <c r="P390">
        <v>3620</v>
      </c>
    </row>
    <row r="391" spans="1:16" x14ac:dyDescent="0.25">
      <c r="B391">
        <v>2625</v>
      </c>
      <c r="C391" t="s">
        <v>277</v>
      </c>
      <c r="D391" t="s">
        <v>497</v>
      </c>
      <c r="F391" t="s">
        <v>93</v>
      </c>
      <c r="G391">
        <v>825</v>
      </c>
      <c r="I391">
        <v>25</v>
      </c>
      <c r="J391">
        <v>850</v>
      </c>
      <c r="K391">
        <v>1050</v>
      </c>
      <c r="L391">
        <v>1105</v>
      </c>
      <c r="M391">
        <v>1350</v>
      </c>
      <c r="N391">
        <v>1020</v>
      </c>
      <c r="O391">
        <v>1185</v>
      </c>
      <c r="P391">
        <v>3240</v>
      </c>
    </row>
    <row r="392" spans="1:16" x14ac:dyDescent="0.25">
      <c r="B392">
        <v>2626</v>
      </c>
      <c r="C392" t="s">
        <v>277</v>
      </c>
      <c r="D392" t="s">
        <v>497</v>
      </c>
      <c r="E392" t="s">
        <v>135</v>
      </c>
      <c r="F392" t="s">
        <v>182</v>
      </c>
      <c r="G392">
        <v>445</v>
      </c>
      <c r="I392">
        <v>25</v>
      </c>
      <c r="J392">
        <v>470</v>
      </c>
      <c r="K392">
        <v>585</v>
      </c>
      <c r="L392">
        <v>615</v>
      </c>
      <c r="M392">
        <v>750</v>
      </c>
      <c r="N392">
        <v>570</v>
      </c>
      <c r="O392">
        <v>660</v>
      </c>
      <c r="P392">
        <v>1800</v>
      </c>
    </row>
    <row r="393" spans="1:16" x14ac:dyDescent="0.25">
      <c r="B393">
        <v>2731</v>
      </c>
      <c r="C393" t="s">
        <v>277</v>
      </c>
      <c r="D393" t="s">
        <v>494</v>
      </c>
      <c r="E393" t="s">
        <v>138</v>
      </c>
      <c r="F393" t="s">
        <v>715</v>
      </c>
      <c r="G393">
        <v>68</v>
      </c>
      <c r="I393">
        <v>10</v>
      </c>
      <c r="J393">
        <v>78</v>
      </c>
      <c r="K393">
        <v>95</v>
      </c>
      <c r="L393">
        <v>100</v>
      </c>
      <c r="M393">
        <v>125</v>
      </c>
      <c r="N393">
        <v>95</v>
      </c>
      <c r="O393">
        <v>110</v>
      </c>
      <c r="P393">
        <v>380</v>
      </c>
    </row>
    <row r="394" spans="1:16" x14ac:dyDescent="0.25">
      <c r="B394">
        <v>2732</v>
      </c>
      <c r="C394" t="s">
        <v>277</v>
      </c>
      <c r="D394" t="s">
        <v>494</v>
      </c>
      <c r="E394" t="s">
        <v>138</v>
      </c>
      <c r="F394" t="s">
        <v>712</v>
      </c>
      <c r="G394">
        <v>105</v>
      </c>
      <c r="I394">
        <v>10</v>
      </c>
      <c r="J394">
        <v>115</v>
      </c>
      <c r="K394">
        <v>140</v>
      </c>
      <c r="L394">
        <v>145</v>
      </c>
      <c r="M394">
        <v>200</v>
      </c>
      <c r="N394">
        <v>135</v>
      </c>
      <c r="O394">
        <v>160</v>
      </c>
      <c r="P394">
        <v>520</v>
      </c>
    </row>
    <row r="395" spans="1:16" x14ac:dyDescent="0.25">
      <c r="B395">
        <v>2733</v>
      </c>
      <c r="C395" t="s">
        <v>277</v>
      </c>
      <c r="D395" t="s">
        <v>494</v>
      </c>
      <c r="E395" t="s">
        <v>138</v>
      </c>
      <c r="F395" t="s">
        <v>711</v>
      </c>
      <c r="G395">
        <v>85</v>
      </c>
      <c r="I395">
        <v>10</v>
      </c>
      <c r="J395">
        <v>95</v>
      </c>
      <c r="K395">
        <v>115</v>
      </c>
      <c r="L395">
        <v>120</v>
      </c>
      <c r="M395">
        <v>150</v>
      </c>
      <c r="N395">
        <v>115</v>
      </c>
      <c r="O395">
        <v>130</v>
      </c>
      <c r="P395">
        <v>450</v>
      </c>
    </row>
    <row r="396" spans="1:16" x14ac:dyDescent="0.25">
      <c r="B396">
        <v>2734</v>
      </c>
      <c r="C396" t="s">
        <v>277</v>
      </c>
      <c r="D396" t="s">
        <v>494</v>
      </c>
      <c r="E396" t="s">
        <v>138</v>
      </c>
      <c r="F396" t="s">
        <v>710</v>
      </c>
      <c r="G396">
        <v>150</v>
      </c>
      <c r="I396">
        <v>10</v>
      </c>
      <c r="J396">
        <v>160</v>
      </c>
      <c r="K396">
        <v>190</v>
      </c>
      <c r="L396">
        <v>200</v>
      </c>
      <c r="M396">
        <v>275</v>
      </c>
      <c r="N396">
        <v>185</v>
      </c>
      <c r="O396">
        <v>215</v>
      </c>
      <c r="P396">
        <v>690</v>
      </c>
    </row>
    <row r="397" spans="1:16" x14ac:dyDescent="0.25">
      <c r="B397">
        <v>2735</v>
      </c>
      <c r="C397" t="s">
        <v>277</v>
      </c>
      <c r="D397" t="s">
        <v>494</v>
      </c>
      <c r="E397" t="s">
        <v>138</v>
      </c>
      <c r="F397" t="s">
        <v>714</v>
      </c>
      <c r="G397">
        <v>150</v>
      </c>
      <c r="I397">
        <v>10</v>
      </c>
      <c r="J397">
        <v>160</v>
      </c>
      <c r="K397">
        <v>190</v>
      </c>
      <c r="L397">
        <v>200</v>
      </c>
      <c r="M397">
        <v>275</v>
      </c>
      <c r="N397">
        <v>185</v>
      </c>
      <c r="O397">
        <v>215</v>
      </c>
      <c r="P397">
        <v>690</v>
      </c>
    </row>
    <row r="398" spans="1:16" x14ac:dyDescent="0.25">
      <c r="B398">
        <v>2736</v>
      </c>
      <c r="C398" t="s">
        <v>277</v>
      </c>
      <c r="D398" t="s">
        <v>494</v>
      </c>
      <c r="E398" t="s">
        <v>138</v>
      </c>
      <c r="F398" t="s">
        <v>709</v>
      </c>
      <c r="G398">
        <v>148</v>
      </c>
      <c r="I398">
        <v>10</v>
      </c>
      <c r="J398">
        <v>158</v>
      </c>
      <c r="K398">
        <v>190</v>
      </c>
      <c r="L398">
        <v>200</v>
      </c>
      <c r="M398">
        <v>250</v>
      </c>
      <c r="N398">
        <v>185</v>
      </c>
      <c r="O398">
        <v>215</v>
      </c>
      <c r="P398">
        <v>680</v>
      </c>
    </row>
    <row r="399" spans="1:16" x14ac:dyDescent="0.25">
      <c r="B399">
        <v>2737</v>
      </c>
      <c r="C399" t="s">
        <v>277</v>
      </c>
      <c r="D399" t="s">
        <v>494</v>
      </c>
      <c r="E399" t="s">
        <v>138</v>
      </c>
      <c r="F399" t="s">
        <v>713</v>
      </c>
      <c r="G399">
        <v>115</v>
      </c>
      <c r="I399">
        <v>10</v>
      </c>
      <c r="J399">
        <v>125</v>
      </c>
      <c r="K399">
        <v>155</v>
      </c>
      <c r="L399">
        <v>160</v>
      </c>
      <c r="M399">
        <v>200</v>
      </c>
      <c r="N399">
        <v>150</v>
      </c>
      <c r="O399">
        <v>175</v>
      </c>
      <c r="P399">
        <v>560</v>
      </c>
    </row>
    <row r="400" spans="1:16" x14ac:dyDescent="0.25">
      <c r="B400">
        <v>2738</v>
      </c>
      <c r="C400" t="s">
        <v>277</v>
      </c>
      <c r="D400" t="s">
        <v>494</v>
      </c>
      <c r="E400" t="s">
        <v>138</v>
      </c>
      <c r="F400" t="s">
        <v>708</v>
      </c>
      <c r="G400">
        <v>88</v>
      </c>
      <c r="I400">
        <v>10</v>
      </c>
      <c r="J400">
        <v>98</v>
      </c>
      <c r="K400">
        <v>120</v>
      </c>
      <c r="L400">
        <v>125</v>
      </c>
      <c r="M400">
        <v>175</v>
      </c>
      <c r="N400">
        <v>115</v>
      </c>
      <c r="O400">
        <v>135</v>
      </c>
      <c r="P400">
        <v>460</v>
      </c>
    </row>
    <row r="401" spans="1:16" x14ac:dyDescent="0.25">
      <c r="A401">
        <v>2025</v>
      </c>
      <c r="B401">
        <v>2739</v>
      </c>
      <c r="C401" t="s">
        <v>277</v>
      </c>
      <c r="D401" t="s">
        <v>494</v>
      </c>
      <c r="E401" t="s">
        <v>129</v>
      </c>
      <c r="F401" t="s">
        <v>450</v>
      </c>
      <c r="G401">
        <v>75</v>
      </c>
      <c r="I401">
        <v>10</v>
      </c>
      <c r="J401">
        <v>85</v>
      </c>
      <c r="K401">
        <v>105</v>
      </c>
      <c r="L401">
        <v>110</v>
      </c>
      <c r="M401">
        <v>150</v>
      </c>
      <c r="N401">
        <v>105</v>
      </c>
      <c r="O401">
        <v>120</v>
      </c>
      <c r="P401">
        <v>410</v>
      </c>
    </row>
    <row r="402" spans="1:16" x14ac:dyDescent="0.25">
      <c r="A402">
        <v>2026</v>
      </c>
      <c r="B402">
        <v>2740</v>
      </c>
      <c r="C402" t="s">
        <v>277</v>
      </c>
      <c r="D402" t="s">
        <v>494</v>
      </c>
      <c r="E402" t="s">
        <v>138</v>
      </c>
      <c r="F402" t="s">
        <v>716</v>
      </c>
      <c r="G402">
        <v>120</v>
      </c>
      <c r="I402">
        <v>10</v>
      </c>
      <c r="J402">
        <v>130</v>
      </c>
      <c r="K402">
        <v>160</v>
      </c>
      <c r="L402">
        <v>165</v>
      </c>
      <c r="M402">
        <v>225</v>
      </c>
      <c r="N402">
        <v>155</v>
      </c>
      <c r="O402">
        <v>180</v>
      </c>
      <c r="P402">
        <v>580</v>
      </c>
    </row>
    <row r="403" spans="1:16" x14ac:dyDescent="0.25">
      <c r="A403">
        <v>2026</v>
      </c>
      <c r="B403">
        <v>2741</v>
      </c>
      <c r="C403" t="s">
        <v>277</v>
      </c>
      <c r="D403" t="s">
        <v>494</v>
      </c>
      <c r="E403" t="s">
        <v>138</v>
      </c>
      <c r="F403" t="s">
        <v>717</v>
      </c>
      <c r="G403">
        <v>66</v>
      </c>
      <c r="I403">
        <v>10</v>
      </c>
      <c r="J403">
        <v>76</v>
      </c>
      <c r="K403">
        <v>95</v>
      </c>
      <c r="L403">
        <v>95</v>
      </c>
      <c r="M403">
        <v>125</v>
      </c>
      <c r="N403">
        <v>90</v>
      </c>
      <c r="O403">
        <v>105</v>
      </c>
      <c r="P403">
        <v>370</v>
      </c>
    </row>
    <row r="404" spans="1:16" x14ac:dyDescent="0.25">
      <c r="B404">
        <v>2742</v>
      </c>
      <c r="C404" t="s">
        <v>277</v>
      </c>
      <c r="D404" t="s">
        <v>494</v>
      </c>
      <c r="E404" t="s">
        <v>138</v>
      </c>
      <c r="F404" t="s">
        <v>733</v>
      </c>
      <c r="G404">
        <v>200</v>
      </c>
      <c r="I404">
        <v>10</v>
      </c>
      <c r="J404">
        <v>210</v>
      </c>
      <c r="K404">
        <v>255</v>
      </c>
      <c r="L404">
        <v>265</v>
      </c>
      <c r="M404">
        <v>350</v>
      </c>
      <c r="N404">
        <v>245</v>
      </c>
      <c r="O404">
        <v>285</v>
      </c>
      <c r="P404">
        <v>880</v>
      </c>
    </row>
    <row r="405" spans="1:16" x14ac:dyDescent="0.25">
      <c r="B405">
        <v>2743</v>
      </c>
      <c r="C405" t="s">
        <v>277</v>
      </c>
      <c r="D405" t="s">
        <v>494</v>
      </c>
      <c r="E405" t="s">
        <v>138</v>
      </c>
      <c r="F405" t="s">
        <v>734</v>
      </c>
      <c r="G405">
        <v>170</v>
      </c>
      <c r="I405">
        <v>10</v>
      </c>
      <c r="J405">
        <v>180</v>
      </c>
      <c r="K405">
        <v>215</v>
      </c>
      <c r="L405">
        <v>225</v>
      </c>
      <c r="M405">
        <v>300</v>
      </c>
      <c r="N405">
        <v>210</v>
      </c>
      <c r="O405">
        <v>245</v>
      </c>
      <c r="P405">
        <v>770</v>
      </c>
    </row>
    <row r="406" spans="1:16" x14ac:dyDescent="0.25">
      <c r="B406">
        <v>2744</v>
      </c>
      <c r="C406" t="s">
        <v>277</v>
      </c>
      <c r="D406" t="s">
        <v>494</v>
      </c>
      <c r="E406" t="s">
        <v>138</v>
      </c>
      <c r="F406" t="s">
        <v>735</v>
      </c>
      <c r="G406">
        <v>80</v>
      </c>
      <c r="I406">
        <v>10</v>
      </c>
      <c r="J406">
        <v>90</v>
      </c>
      <c r="K406">
        <v>110</v>
      </c>
      <c r="L406">
        <v>115</v>
      </c>
      <c r="M406">
        <v>150</v>
      </c>
      <c r="N406">
        <v>110</v>
      </c>
      <c r="O406">
        <v>125</v>
      </c>
      <c r="P406">
        <v>430</v>
      </c>
    </row>
    <row r="407" spans="1:16" x14ac:dyDescent="0.25">
      <c r="B407">
        <v>2745</v>
      </c>
      <c r="C407" t="s">
        <v>277</v>
      </c>
      <c r="D407" t="s">
        <v>494</v>
      </c>
      <c r="E407" t="s">
        <v>138</v>
      </c>
      <c r="F407" t="s">
        <v>736</v>
      </c>
      <c r="G407">
        <v>70</v>
      </c>
      <c r="I407">
        <v>10</v>
      </c>
      <c r="J407">
        <v>80</v>
      </c>
      <c r="K407">
        <v>95</v>
      </c>
      <c r="L407">
        <v>100</v>
      </c>
      <c r="M407">
        <v>150</v>
      </c>
      <c r="N407">
        <v>95</v>
      </c>
      <c r="O407">
        <v>110</v>
      </c>
      <c r="P407">
        <v>390</v>
      </c>
    </row>
    <row r="408" spans="1:16" x14ac:dyDescent="0.25">
      <c r="A408">
        <v>2026</v>
      </c>
      <c r="B408">
        <v>2746</v>
      </c>
      <c r="C408" t="s">
        <v>277</v>
      </c>
      <c r="D408" t="s">
        <v>494</v>
      </c>
      <c r="E408" t="s">
        <v>138</v>
      </c>
      <c r="F408" t="s">
        <v>737</v>
      </c>
      <c r="G408">
        <v>80</v>
      </c>
      <c r="I408">
        <v>10</v>
      </c>
      <c r="J408">
        <v>90</v>
      </c>
      <c r="K408">
        <v>110</v>
      </c>
      <c r="L408">
        <v>115</v>
      </c>
      <c r="M408">
        <v>150</v>
      </c>
      <c r="N408">
        <v>110</v>
      </c>
      <c r="O408">
        <v>125</v>
      </c>
      <c r="P408">
        <v>430</v>
      </c>
    </row>
    <row r="409" spans="1:16" x14ac:dyDescent="0.25">
      <c r="B409">
        <v>2747</v>
      </c>
      <c r="C409" t="s">
        <v>277</v>
      </c>
      <c r="D409" t="s">
        <v>494</v>
      </c>
      <c r="E409" t="s">
        <v>138</v>
      </c>
      <c r="F409" t="s">
        <v>738</v>
      </c>
      <c r="G409">
        <v>165</v>
      </c>
      <c r="I409">
        <v>10</v>
      </c>
      <c r="J409">
        <v>175</v>
      </c>
      <c r="K409">
        <v>210</v>
      </c>
      <c r="L409">
        <v>220</v>
      </c>
      <c r="M409">
        <v>300</v>
      </c>
      <c r="N409">
        <v>205</v>
      </c>
      <c r="O409">
        <v>240</v>
      </c>
      <c r="P409">
        <v>750</v>
      </c>
    </row>
    <row r="410" spans="1:16" x14ac:dyDescent="0.25">
      <c r="B410">
        <v>2748</v>
      </c>
      <c r="C410" t="s">
        <v>277</v>
      </c>
      <c r="D410" t="s">
        <v>494</v>
      </c>
      <c r="E410" t="s">
        <v>138</v>
      </c>
      <c r="F410" t="s">
        <v>739</v>
      </c>
      <c r="G410">
        <v>130</v>
      </c>
      <c r="I410">
        <v>10</v>
      </c>
      <c r="J410">
        <v>140</v>
      </c>
      <c r="K410">
        <v>170</v>
      </c>
      <c r="L410">
        <v>175</v>
      </c>
      <c r="M410">
        <v>225</v>
      </c>
      <c r="N410">
        <v>165</v>
      </c>
      <c r="O410">
        <v>190</v>
      </c>
      <c r="P410">
        <v>620</v>
      </c>
    </row>
    <row r="411" spans="1:16" x14ac:dyDescent="0.25">
      <c r="A411">
        <v>2026</v>
      </c>
      <c r="B411">
        <v>2749</v>
      </c>
      <c r="C411" t="s">
        <v>277</v>
      </c>
      <c r="D411" t="s">
        <v>494</v>
      </c>
      <c r="E411" t="s">
        <v>138</v>
      </c>
      <c r="F411" t="s">
        <v>832</v>
      </c>
      <c r="G411">
        <v>135</v>
      </c>
      <c r="I411">
        <v>10</v>
      </c>
      <c r="J411">
        <v>145</v>
      </c>
      <c r="K411">
        <v>180</v>
      </c>
      <c r="L411">
        <v>185</v>
      </c>
      <c r="M411">
        <v>250</v>
      </c>
      <c r="N411">
        <v>175</v>
      </c>
      <c r="O411">
        <v>200</v>
      </c>
      <c r="P411">
        <v>640</v>
      </c>
    </row>
    <row r="412" spans="1:16" x14ac:dyDescent="0.25">
      <c r="A412">
        <v>2026</v>
      </c>
      <c r="B412">
        <v>2761</v>
      </c>
      <c r="C412" t="s">
        <v>284</v>
      </c>
      <c r="D412" t="s">
        <v>494</v>
      </c>
      <c r="E412" t="s">
        <v>504</v>
      </c>
      <c r="F412" t="s">
        <v>517</v>
      </c>
      <c r="G412">
        <v>59</v>
      </c>
      <c r="I412">
        <v>10</v>
      </c>
      <c r="J412">
        <v>69</v>
      </c>
      <c r="K412">
        <v>90</v>
      </c>
      <c r="L412">
        <v>90</v>
      </c>
      <c r="M412">
        <v>125</v>
      </c>
      <c r="N412">
        <v>85</v>
      </c>
      <c r="O412">
        <v>100</v>
      </c>
      <c r="P412">
        <v>350</v>
      </c>
    </row>
    <row r="413" spans="1:16" x14ac:dyDescent="0.25">
      <c r="A413">
        <v>2025</v>
      </c>
      <c r="B413">
        <v>2762</v>
      </c>
      <c r="C413" t="s">
        <v>284</v>
      </c>
      <c r="D413" t="s">
        <v>494</v>
      </c>
      <c r="E413" t="s">
        <v>504</v>
      </c>
      <c r="F413" t="s">
        <v>746</v>
      </c>
      <c r="G413">
        <v>112</v>
      </c>
      <c r="I413">
        <v>10</v>
      </c>
      <c r="J413">
        <v>122</v>
      </c>
      <c r="K413">
        <v>150</v>
      </c>
      <c r="L413">
        <v>155</v>
      </c>
      <c r="M413">
        <v>200</v>
      </c>
      <c r="N413">
        <v>145</v>
      </c>
      <c r="O413">
        <v>170</v>
      </c>
      <c r="P413">
        <v>550</v>
      </c>
    </row>
    <row r="414" spans="1:16" x14ac:dyDescent="0.25">
      <c r="A414">
        <v>2026</v>
      </c>
      <c r="B414">
        <v>2763</v>
      </c>
      <c r="C414" t="s">
        <v>284</v>
      </c>
      <c r="D414" t="s">
        <v>494</v>
      </c>
      <c r="E414" t="s">
        <v>504</v>
      </c>
      <c r="F414" t="s">
        <v>518</v>
      </c>
      <c r="G414">
        <v>79</v>
      </c>
      <c r="I414">
        <v>10</v>
      </c>
      <c r="J414">
        <v>89</v>
      </c>
      <c r="K414">
        <v>110</v>
      </c>
      <c r="L414">
        <v>115</v>
      </c>
      <c r="M414">
        <v>150</v>
      </c>
      <c r="N414">
        <v>110</v>
      </c>
      <c r="O414">
        <v>125</v>
      </c>
      <c r="P414">
        <v>420</v>
      </c>
    </row>
    <row r="415" spans="1:16" x14ac:dyDescent="0.25">
      <c r="A415">
        <v>2025</v>
      </c>
      <c r="B415">
        <v>2764</v>
      </c>
      <c r="C415" t="s">
        <v>284</v>
      </c>
      <c r="D415" t="s">
        <v>494</v>
      </c>
      <c r="E415" t="s">
        <v>504</v>
      </c>
      <c r="F415" t="s">
        <v>519</v>
      </c>
      <c r="G415">
        <v>106</v>
      </c>
      <c r="I415">
        <v>10</v>
      </c>
      <c r="J415">
        <v>116</v>
      </c>
      <c r="K415">
        <v>140</v>
      </c>
      <c r="L415">
        <v>145</v>
      </c>
      <c r="M415">
        <v>200</v>
      </c>
      <c r="N415">
        <v>135</v>
      </c>
      <c r="O415">
        <v>160</v>
      </c>
      <c r="P415">
        <v>530</v>
      </c>
    </row>
    <row r="416" spans="1:16" x14ac:dyDescent="0.25">
      <c r="A416">
        <v>2026</v>
      </c>
      <c r="B416">
        <v>2765</v>
      </c>
      <c r="C416" t="s">
        <v>284</v>
      </c>
      <c r="D416" t="s">
        <v>494</v>
      </c>
      <c r="E416" t="s">
        <v>504</v>
      </c>
      <c r="F416" t="s">
        <v>520</v>
      </c>
      <c r="G416">
        <v>132</v>
      </c>
      <c r="I416">
        <v>10</v>
      </c>
      <c r="J416">
        <v>142</v>
      </c>
      <c r="K416">
        <v>175</v>
      </c>
      <c r="L416">
        <v>180</v>
      </c>
      <c r="M416">
        <v>225</v>
      </c>
      <c r="N416">
        <v>170</v>
      </c>
      <c r="O416">
        <v>195</v>
      </c>
      <c r="P416">
        <v>620</v>
      </c>
    </row>
    <row r="417" spans="1:16" x14ac:dyDescent="0.25">
      <c r="A417">
        <v>2026</v>
      </c>
      <c r="B417">
        <v>2767</v>
      </c>
      <c r="C417" t="s">
        <v>284</v>
      </c>
      <c r="D417" t="s">
        <v>494</v>
      </c>
      <c r="E417" t="s">
        <v>504</v>
      </c>
      <c r="F417" t="s">
        <v>393</v>
      </c>
      <c r="G417">
        <v>83.5</v>
      </c>
      <c r="I417">
        <v>10</v>
      </c>
      <c r="J417">
        <v>93.5</v>
      </c>
      <c r="K417">
        <v>115</v>
      </c>
      <c r="L417">
        <v>120</v>
      </c>
      <c r="M417">
        <v>150</v>
      </c>
      <c r="N417">
        <v>115</v>
      </c>
      <c r="O417">
        <v>130</v>
      </c>
      <c r="P417">
        <v>440</v>
      </c>
    </row>
    <row r="418" spans="1:16" x14ac:dyDescent="0.25">
      <c r="A418">
        <v>2025</v>
      </c>
      <c r="B418">
        <v>2768</v>
      </c>
      <c r="C418" t="s">
        <v>284</v>
      </c>
      <c r="D418" t="s">
        <v>494</v>
      </c>
      <c r="E418" t="s">
        <v>504</v>
      </c>
      <c r="F418" t="s">
        <v>579</v>
      </c>
      <c r="G418">
        <v>60</v>
      </c>
      <c r="I418">
        <v>10</v>
      </c>
      <c r="J418">
        <v>70</v>
      </c>
      <c r="K418">
        <v>90</v>
      </c>
      <c r="L418">
        <v>90</v>
      </c>
      <c r="M418">
        <v>125</v>
      </c>
      <c r="N418">
        <v>85</v>
      </c>
      <c r="O418">
        <v>100</v>
      </c>
      <c r="P418">
        <v>350</v>
      </c>
    </row>
    <row r="419" spans="1:16" x14ac:dyDescent="0.25">
      <c r="A419">
        <v>2026</v>
      </c>
      <c r="B419">
        <v>2769</v>
      </c>
      <c r="C419" t="s">
        <v>284</v>
      </c>
      <c r="D419" t="s">
        <v>494</v>
      </c>
      <c r="E419" t="s">
        <v>504</v>
      </c>
      <c r="F419" t="s">
        <v>765</v>
      </c>
      <c r="G419">
        <v>85</v>
      </c>
      <c r="I419">
        <v>10</v>
      </c>
      <c r="J419">
        <v>95</v>
      </c>
      <c r="K419">
        <v>115</v>
      </c>
      <c r="L419">
        <v>120</v>
      </c>
      <c r="M419">
        <v>150</v>
      </c>
      <c r="N419">
        <v>115</v>
      </c>
      <c r="O419">
        <v>130</v>
      </c>
      <c r="P419">
        <v>450</v>
      </c>
    </row>
    <row r="420" spans="1:16" x14ac:dyDescent="0.25">
      <c r="A420">
        <v>2026</v>
      </c>
      <c r="B420">
        <v>2770</v>
      </c>
      <c r="C420" t="s">
        <v>284</v>
      </c>
      <c r="D420" t="s">
        <v>494</v>
      </c>
      <c r="E420" t="s">
        <v>504</v>
      </c>
      <c r="F420" t="s">
        <v>766</v>
      </c>
      <c r="G420">
        <v>118</v>
      </c>
      <c r="I420">
        <v>10</v>
      </c>
      <c r="J420">
        <v>128</v>
      </c>
      <c r="K420">
        <v>155</v>
      </c>
      <c r="L420">
        <v>160</v>
      </c>
      <c r="M420">
        <v>225</v>
      </c>
      <c r="N420">
        <v>150</v>
      </c>
      <c r="O420">
        <v>175</v>
      </c>
      <c r="P420">
        <v>570</v>
      </c>
    </row>
    <row r="421" spans="1:16" x14ac:dyDescent="0.25">
      <c r="A421">
        <v>2026</v>
      </c>
      <c r="B421">
        <v>2771</v>
      </c>
      <c r="C421" t="s">
        <v>284</v>
      </c>
      <c r="D421" t="s">
        <v>494</v>
      </c>
      <c r="E421" t="s">
        <v>504</v>
      </c>
      <c r="F421" t="s">
        <v>767</v>
      </c>
      <c r="G421">
        <v>110</v>
      </c>
      <c r="I421">
        <v>10</v>
      </c>
      <c r="J421">
        <v>120</v>
      </c>
      <c r="K421">
        <v>145</v>
      </c>
      <c r="L421">
        <v>150</v>
      </c>
      <c r="M421">
        <v>200</v>
      </c>
      <c r="N421">
        <v>140</v>
      </c>
      <c r="O421">
        <v>165</v>
      </c>
      <c r="P421">
        <v>540</v>
      </c>
    </row>
    <row r="422" spans="1:16" x14ac:dyDescent="0.25">
      <c r="A422">
        <v>2026</v>
      </c>
      <c r="B422">
        <v>2772</v>
      </c>
      <c r="C422" t="s">
        <v>284</v>
      </c>
      <c r="D422" t="s">
        <v>494</v>
      </c>
      <c r="E422" t="s">
        <v>504</v>
      </c>
      <c r="F422" t="s">
        <v>768</v>
      </c>
      <c r="G422">
        <v>108</v>
      </c>
      <c r="I422">
        <v>10</v>
      </c>
      <c r="J422">
        <v>118</v>
      </c>
      <c r="K422">
        <v>145</v>
      </c>
      <c r="L422">
        <v>150</v>
      </c>
      <c r="M422">
        <v>200</v>
      </c>
      <c r="N422">
        <v>140</v>
      </c>
      <c r="O422">
        <v>165</v>
      </c>
      <c r="P422">
        <v>530</v>
      </c>
    </row>
    <row r="423" spans="1:16" x14ac:dyDescent="0.25">
      <c r="A423">
        <v>2026</v>
      </c>
      <c r="B423">
        <v>2773</v>
      </c>
      <c r="C423" t="s">
        <v>284</v>
      </c>
      <c r="D423" t="s">
        <v>494</v>
      </c>
      <c r="E423" t="s">
        <v>504</v>
      </c>
      <c r="F423" t="s">
        <v>769</v>
      </c>
      <c r="G423">
        <v>109</v>
      </c>
      <c r="I423">
        <v>10</v>
      </c>
      <c r="J423">
        <v>119</v>
      </c>
      <c r="K423">
        <v>145</v>
      </c>
      <c r="L423">
        <v>150</v>
      </c>
      <c r="M423">
        <v>200</v>
      </c>
      <c r="N423">
        <v>140</v>
      </c>
      <c r="O423">
        <v>165</v>
      </c>
      <c r="P423">
        <v>540</v>
      </c>
    </row>
    <row r="424" spans="1:16" x14ac:dyDescent="0.25">
      <c r="A424">
        <v>2026</v>
      </c>
      <c r="B424">
        <v>2774</v>
      </c>
      <c r="C424" t="s">
        <v>284</v>
      </c>
      <c r="D424" t="s">
        <v>494</v>
      </c>
      <c r="E424" t="s">
        <v>504</v>
      </c>
      <c r="F424" t="s">
        <v>770</v>
      </c>
      <c r="G424">
        <v>76</v>
      </c>
      <c r="I424">
        <v>10</v>
      </c>
      <c r="J424">
        <v>86</v>
      </c>
      <c r="K424">
        <v>105</v>
      </c>
      <c r="L424">
        <v>110</v>
      </c>
      <c r="M424">
        <v>150</v>
      </c>
      <c r="N424">
        <v>105</v>
      </c>
      <c r="O424">
        <v>120</v>
      </c>
      <c r="P424">
        <v>410</v>
      </c>
    </row>
    <row r="425" spans="1:16" x14ac:dyDescent="0.25">
      <c r="A425">
        <v>2026</v>
      </c>
      <c r="B425">
        <v>2775</v>
      </c>
      <c r="C425" t="s">
        <v>277</v>
      </c>
      <c r="D425" t="s">
        <v>494</v>
      </c>
      <c r="E425" t="s">
        <v>504</v>
      </c>
      <c r="F425" t="s">
        <v>778</v>
      </c>
      <c r="G425">
        <v>92</v>
      </c>
      <c r="I425">
        <v>10</v>
      </c>
      <c r="J425">
        <v>102</v>
      </c>
      <c r="K425">
        <v>125</v>
      </c>
      <c r="L425">
        <v>130</v>
      </c>
      <c r="M425">
        <v>175</v>
      </c>
      <c r="N425">
        <v>120</v>
      </c>
      <c r="O425">
        <v>140</v>
      </c>
      <c r="P425">
        <v>470</v>
      </c>
    </row>
    <row r="426" spans="1:16" x14ac:dyDescent="0.25">
      <c r="A426">
        <v>2026</v>
      </c>
      <c r="B426">
        <v>2801</v>
      </c>
      <c r="C426" t="s">
        <v>277</v>
      </c>
      <c r="D426" t="s">
        <v>494</v>
      </c>
      <c r="E426" t="s">
        <v>129</v>
      </c>
      <c r="F426" t="s">
        <v>785</v>
      </c>
      <c r="G426">
        <v>95</v>
      </c>
      <c r="I426">
        <v>10</v>
      </c>
      <c r="J426">
        <v>105</v>
      </c>
      <c r="K426">
        <v>130</v>
      </c>
      <c r="L426">
        <v>135</v>
      </c>
      <c r="M426">
        <v>175</v>
      </c>
      <c r="N426">
        <v>125</v>
      </c>
      <c r="O426">
        <v>145</v>
      </c>
      <c r="P426">
        <v>480</v>
      </c>
    </row>
    <row r="427" spans="1:16" x14ac:dyDescent="0.25">
      <c r="A427">
        <v>2026</v>
      </c>
      <c r="B427">
        <v>2802</v>
      </c>
      <c r="C427" t="s">
        <v>277</v>
      </c>
      <c r="D427" t="s">
        <v>494</v>
      </c>
      <c r="E427" t="s">
        <v>129</v>
      </c>
      <c r="F427" t="s">
        <v>786</v>
      </c>
      <c r="G427">
        <v>95</v>
      </c>
      <c r="I427">
        <v>10</v>
      </c>
      <c r="J427">
        <v>105</v>
      </c>
      <c r="K427">
        <v>130</v>
      </c>
      <c r="L427">
        <v>135</v>
      </c>
      <c r="M427">
        <v>175</v>
      </c>
      <c r="N427">
        <v>125</v>
      </c>
      <c r="O427">
        <v>145</v>
      </c>
      <c r="P427">
        <v>480</v>
      </c>
    </row>
    <row r="428" spans="1:16" x14ac:dyDescent="0.25">
      <c r="A428">
        <v>2026</v>
      </c>
      <c r="B428">
        <v>2803</v>
      </c>
      <c r="C428" t="s">
        <v>277</v>
      </c>
      <c r="D428" t="s">
        <v>494</v>
      </c>
      <c r="E428" t="s">
        <v>129</v>
      </c>
      <c r="F428" t="s">
        <v>787</v>
      </c>
      <c r="G428">
        <v>110</v>
      </c>
      <c r="I428">
        <v>10</v>
      </c>
      <c r="J428">
        <v>120</v>
      </c>
      <c r="K428">
        <v>145</v>
      </c>
      <c r="L428">
        <v>150</v>
      </c>
      <c r="M428">
        <v>200</v>
      </c>
      <c r="N428">
        <v>140</v>
      </c>
      <c r="O428">
        <v>165</v>
      </c>
      <c r="P428">
        <v>540</v>
      </c>
    </row>
    <row r="429" spans="1:16" x14ac:dyDescent="0.25">
      <c r="A429">
        <v>2026</v>
      </c>
      <c r="B429">
        <v>2804</v>
      </c>
      <c r="C429" t="s">
        <v>277</v>
      </c>
      <c r="D429" t="s">
        <v>494</v>
      </c>
      <c r="E429" t="s">
        <v>129</v>
      </c>
      <c r="F429" t="s">
        <v>788</v>
      </c>
      <c r="G429">
        <v>110</v>
      </c>
      <c r="I429">
        <v>10</v>
      </c>
      <c r="J429">
        <v>120</v>
      </c>
      <c r="K429">
        <v>145</v>
      </c>
      <c r="L429">
        <v>150</v>
      </c>
      <c r="M429">
        <v>200</v>
      </c>
      <c r="N429">
        <v>140</v>
      </c>
      <c r="O429">
        <v>165</v>
      </c>
      <c r="P429">
        <v>540</v>
      </c>
    </row>
    <row r="430" spans="1:16" x14ac:dyDescent="0.25">
      <c r="A430">
        <v>2026</v>
      </c>
      <c r="B430">
        <v>2805</v>
      </c>
      <c r="C430" t="s">
        <v>277</v>
      </c>
      <c r="D430" t="s">
        <v>494</v>
      </c>
      <c r="E430" t="s">
        <v>129</v>
      </c>
      <c r="F430" t="s">
        <v>789</v>
      </c>
      <c r="G430">
        <v>110</v>
      </c>
      <c r="I430">
        <v>10</v>
      </c>
      <c r="J430">
        <v>120</v>
      </c>
      <c r="K430">
        <v>145</v>
      </c>
      <c r="L430">
        <v>150</v>
      </c>
      <c r="M430">
        <v>200</v>
      </c>
      <c r="N430">
        <v>140</v>
      </c>
      <c r="O430">
        <v>165</v>
      </c>
      <c r="P430">
        <v>540</v>
      </c>
    </row>
    <row r="431" spans="1:16" x14ac:dyDescent="0.25">
      <c r="A431">
        <v>2026</v>
      </c>
      <c r="B431">
        <v>2806</v>
      </c>
      <c r="C431" t="s">
        <v>277</v>
      </c>
      <c r="D431" t="s">
        <v>494</v>
      </c>
      <c r="E431" t="s">
        <v>129</v>
      </c>
      <c r="F431" t="s">
        <v>790</v>
      </c>
      <c r="G431">
        <v>125</v>
      </c>
      <c r="I431">
        <v>10</v>
      </c>
      <c r="J431">
        <v>135</v>
      </c>
      <c r="K431">
        <v>165</v>
      </c>
      <c r="L431">
        <v>170</v>
      </c>
      <c r="M431">
        <v>225</v>
      </c>
      <c r="N431">
        <v>160</v>
      </c>
      <c r="O431">
        <v>185</v>
      </c>
      <c r="P431">
        <v>600</v>
      </c>
    </row>
    <row r="432" spans="1:16" x14ac:dyDescent="0.25">
      <c r="A432">
        <v>2026</v>
      </c>
      <c r="B432">
        <v>2807</v>
      </c>
      <c r="C432" t="s">
        <v>277</v>
      </c>
      <c r="D432" t="s">
        <v>494</v>
      </c>
      <c r="E432" t="s">
        <v>129</v>
      </c>
      <c r="F432" t="s">
        <v>791</v>
      </c>
      <c r="G432">
        <v>110</v>
      </c>
      <c r="I432">
        <v>10</v>
      </c>
      <c r="J432">
        <v>120</v>
      </c>
      <c r="K432">
        <v>145</v>
      </c>
      <c r="L432">
        <v>150</v>
      </c>
      <c r="M432">
        <v>200</v>
      </c>
      <c r="N432">
        <v>140</v>
      </c>
      <c r="O432">
        <v>165</v>
      </c>
      <c r="P432">
        <v>540</v>
      </c>
    </row>
    <row r="433" spans="1:16" x14ac:dyDescent="0.25">
      <c r="A433">
        <v>2026</v>
      </c>
      <c r="B433">
        <v>2808</v>
      </c>
      <c r="C433" t="s">
        <v>277</v>
      </c>
      <c r="D433" t="s">
        <v>494</v>
      </c>
      <c r="E433" t="s">
        <v>129</v>
      </c>
      <c r="F433" t="s">
        <v>792</v>
      </c>
      <c r="G433">
        <v>110</v>
      </c>
      <c r="I433">
        <v>10</v>
      </c>
      <c r="J433">
        <v>120</v>
      </c>
      <c r="K433">
        <v>145</v>
      </c>
      <c r="L433">
        <v>150</v>
      </c>
      <c r="M433">
        <v>200</v>
      </c>
      <c r="N433">
        <v>140</v>
      </c>
      <c r="O433">
        <v>165</v>
      </c>
      <c r="P433">
        <v>540</v>
      </c>
    </row>
    <row r="434" spans="1:16" x14ac:dyDescent="0.25">
      <c r="A434">
        <v>2026</v>
      </c>
      <c r="B434">
        <v>2809</v>
      </c>
      <c r="C434" t="s">
        <v>277</v>
      </c>
      <c r="D434" t="s">
        <v>494</v>
      </c>
      <c r="E434" t="s">
        <v>129</v>
      </c>
      <c r="F434" t="s">
        <v>793</v>
      </c>
      <c r="G434">
        <v>100</v>
      </c>
      <c r="I434">
        <v>10</v>
      </c>
      <c r="J434">
        <v>110</v>
      </c>
      <c r="K434">
        <v>135</v>
      </c>
      <c r="L434">
        <v>140</v>
      </c>
      <c r="M434">
        <v>175</v>
      </c>
      <c r="N434">
        <v>130</v>
      </c>
      <c r="O434">
        <v>150</v>
      </c>
      <c r="P434">
        <v>500</v>
      </c>
    </row>
    <row r="435" spans="1:16" x14ac:dyDescent="0.25">
      <c r="A435">
        <v>2026</v>
      </c>
      <c r="B435">
        <v>2810</v>
      </c>
      <c r="C435" t="s">
        <v>277</v>
      </c>
      <c r="D435" t="s">
        <v>494</v>
      </c>
      <c r="E435" t="s">
        <v>129</v>
      </c>
      <c r="F435" t="s">
        <v>837</v>
      </c>
      <c r="G435">
        <v>120</v>
      </c>
      <c r="I435">
        <v>10</v>
      </c>
      <c r="J435">
        <v>130</v>
      </c>
      <c r="K435">
        <v>160</v>
      </c>
      <c r="L435">
        <v>165</v>
      </c>
      <c r="M435">
        <v>225</v>
      </c>
      <c r="N435">
        <v>155</v>
      </c>
      <c r="O435">
        <v>180</v>
      </c>
      <c r="P435">
        <v>580</v>
      </c>
    </row>
    <row r="436" spans="1:16" x14ac:dyDescent="0.25">
      <c r="A436">
        <v>2026</v>
      </c>
      <c r="B436">
        <v>2811</v>
      </c>
      <c r="C436" t="s">
        <v>277</v>
      </c>
      <c r="D436" t="s">
        <v>494</v>
      </c>
      <c r="E436" t="s">
        <v>129</v>
      </c>
      <c r="F436" t="s">
        <v>796</v>
      </c>
      <c r="G436">
        <v>125</v>
      </c>
      <c r="I436">
        <v>10</v>
      </c>
      <c r="J436">
        <v>135</v>
      </c>
      <c r="K436">
        <v>165</v>
      </c>
      <c r="L436">
        <v>170</v>
      </c>
      <c r="M436">
        <v>225</v>
      </c>
      <c r="N436">
        <v>160</v>
      </c>
      <c r="O436">
        <v>185</v>
      </c>
      <c r="P436">
        <v>600</v>
      </c>
    </row>
    <row r="437" spans="1:16" x14ac:dyDescent="0.25">
      <c r="A437">
        <v>2026</v>
      </c>
      <c r="B437">
        <v>2812</v>
      </c>
      <c r="C437" t="s">
        <v>277</v>
      </c>
      <c r="D437" t="s">
        <v>494</v>
      </c>
      <c r="E437" t="s">
        <v>129</v>
      </c>
      <c r="F437" t="s">
        <v>797</v>
      </c>
      <c r="G437">
        <v>125</v>
      </c>
      <c r="I437">
        <v>10</v>
      </c>
      <c r="J437">
        <v>135</v>
      </c>
      <c r="K437">
        <v>165</v>
      </c>
      <c r="L437">
        <v>170</v>
      </c>
      <c r="M437">
        <v>225</v>
      </c>
      <c r="N437">
        <v>160</v>
      </c>
      <c r="O437">
        <v>185</v>
      </c>
      <c r="P437">
        <v>600</v>
      </c>
    </row>
    <row r="438" spans="1:16" x14ac:dyDescent="0.25">
      <c r="A438">
        <v>2026</v>
      </c>
      <c r="B438">
        <v>2813</v>
      </c>
      <c r="C438" t="s">
        <v>277</v>
      </c>
      <c r="D438" t="s">
        <v>494</v>
      </c>
      <c r="E438" t="s">
        <v>129</v>
      </c>
      <c r="F438" t="s">
        <v>798</v>
      </c>
      <c r="G438">
        <v>125</v>
      </c>
      <c r="I438">
        <v>10</v>
      </c>
      <c r="J438">
        <v>135</v>
      </c>
      <c r="K438">
        <v>165</v>
      </c>
      <c r="L438">
        <v>170</v>
      </c>
      <c r="M438">
        <v>225</v>
      </c>
      <c r="N438">
        <v>160</v>
      </c>
      <c r="O438">
        <v>185</v>
      </c>
      <c r="P438">
        <v>600</v>
      </c>
    </row>
    <row r="439" spans="1:16" x14ac:dyDescent="0.25">
      <c r="B439">
        <v>4501</v>
      </c>
      <c r="C439" t="s">
        <v>277</v>
      </c>
      <c r="D439" t="s">
        <v>494</v>
      </c>
      <c r="E439" t="s">
        <v>392</v>
      </c>
      <c r="F439" t="s">
        <v>393</v>
      </c>
      <c r="G439">
        <v>185</v>
      </c>
      <c r="I439">
        <v>10</v>
      </c>
      <c r="J439">
        <v>195</v>
      </c>
      <c r="K439">
        <v>235</v>
      </c>
      <c r="L439">
        <v>245</v>
      </c>
      <c r="M439">
        <v>325</v>
      </c>
      <c r="N439">
        <v>230</v>
      </c>
      <c r="O439">
        <v>265</v>
      </c>
      <c r="P439">
        <v>820</v>
      </c>
    </row>
    <row r="440" spans="1:16" x14ac:dyDescent="0.25">
      <c r="B440">
        <v>4504</v>
      </c>
      <c r="C440" t="s">
        <v>277</v>
      </c>
      <c r="D440" t="s">
        <v>494</v>
      </c>
      <c r="E440" t="s">
        <v>392</v>
      </c>
      <c r="F440" t="s">
        <v>396</v>
      </c>
      <c r="G440">
        <v>70</v>
      </c>
      <c r="I440">
        <v>10</v>
      </c>
      <c r="J440">
        <v>80</v>
      </c>
      <c r="K440">
        <v>95</v>
      </c>
      <c r="L440">
        <v>100</v>
      </c>
      <c r="M440">
        <v>150</v>
      </c>
      <c r="N440">
        <v>95</v>
      </c>
      <c r="O440">
        <v>110</v>
      </c>
      <c r="P440">
        <v>390</v>
      </c>
    </row>
    <row r="441" spans="1:16" x14ac:dyDescent="0.25">
      <c r="B441">
        <v>4505</v>
      </c>
      <c r="C441" t="s">
        <v>277</v>
      </c>
      <c r="D441" t="s">
        <v>494</v>
      </c>
      <c r="E441" t="s">
        <v>392</v>
      </c>
      <c r="F441" t="s">
        <v>397</v>
      </c>
      <c r="G441">
        <v>100</v>
      </c>
      <c r="I441">
        <v>10</v>
      </c>
      <c r="J441">
        <v>110</v>
      </c>
      <c r="K441">
        <v>135</v>
      </c>
      <c r="L441">
        <v>140</v>
      </c>
      <c r="M441">
        <v>175</v>
      </c>
      <c r="N441">
        <v>130</v>
      </c>
      <c r="O441">
        <v>150</v>
      </c>
      <c r="P441">
        <v>500</v>
      </c>
    </row>
    <row r="442" spans="1:16" x14ac:dyDescent="0.25">
      <c r="B442">
        <v>4506</v>
      </c>
      <c r="C442" t="s">
        <v>277</v>
      </c>
      <c r="D442" t="s">
        <v>494</v>
      </c>
      <c r="E442" t="s">
        <v>392</v>
      </c>
      <c r="F442" t="s">
        <v>398</v>
      </c>
      <c r="G442">
        <v>86</v>
      </c>
      <c r="I442">
        <v>10</v>
      </c>
      <c r="J442">
        <v>96</v>
      </c>
      <c r="K442">
        <v>115</v>
      </c>
      <c r="L442">
        <v>120</v>
      </c>
      <c r="M442">
        <v>175</v>
      </c>
      <c r="N442">
        <v>115</v>
      </c>
      <c r="O442">
        <v>130</v>
      </c>
      <c r="P442">
        <v>450</v>
      </c>
    </row>
    <row r="443" spans="1:16" x14ac:dyDescent="0.25">
      <c r="B443">
        <v>4507</v>
      </c>
      <c r="C443" t="s">
        <v>277</v>
      </c>
      <c r="D443" t="s">
        <v>494</v>
      </c>
      <c r="E443" t="s">
        <v>392</v>
      </c>
      <c r="F443" t="s">
        <v>399</v>
      </c>
      <c r="G443">
        <v>78</v>
      </c>
      <c r="I443">
        <v>10</v>
      </c>
      <c r="J443">
        <v>88</v>
      </c>
      <c r="K443">
        <v>105</v>
      </c>
      <c r="L443">
        <v>110</v>
      </c>
      <c r="M443">
        <v>150</v>
      </c>
      <c r="N443">
        <v>105</v>
      </c>
      <c r="O443">
        <v>120</v>
      </c>
      <c r="P443">
        <v>420</v>
      </c>
    </row>
    <row r="444" spans="1:16" x14ac:dyDescent="0.25">
      <c r="B444">
        <v>4508</v>
      </c>
      <c r="C444" t="s">
        <v>277</v>
      </c>
      <c r="D444" t="s">
        <v>494</v>
      </c>
      <c r="E444" t="s">
        <v>392</v>
      </c>
      <c r="F444" t="s">
        <v>400</v>
      </c>
      <c r="G444">
        <v>62</v>
      </c>
      <c r="I444">
        <v>10</v>
      </c>
      <c r="J444">
        <v>72</v>
      </c>
      <c r="K444">
        <v>90</v>
      </c>
      <c r="L444">
        <v>90</v>
      </c>
      <c r="M444">
        <v>125</v>
      </c>
      <c r="N444">
        <v>85</v>
      </c>
      <c r="O444">
        <v>100</v>
      </c>
      <c r="P444">
        <v>360</v>
      </c>
    </row>
    <row r="445" spans="1:16" x14ac:dyDescent="0.25">
      <c r="B445">
        <v>4510</v>
      </c>
      <c r="C445" t="s">
        <v>277</v>
      </c>
      <c r="D445" t="s">
        <v>494</v>
      </c>
      <c r="E445" t="s">
        <v>392</v>
      </c>
      <c r="F445" t="s">
        <v>402</v>
      </c>
      <c r="G445">
        <v>45</v>
      </c>
      <c r="I445">
        <v>10</v>
      </c>
      <c r="J445">
        <v>55</v>
      </c>
      <c r="K445">
        <v>70</v>
      </c>
      <c r="L445">
        <v>70</v>
      </c>
      <c r="M445">
        <v>100</v>
      </c>
      <c r="N445">
        <v>65</v>
      </c>
      <c r="O445">
        <v>75</v>
      </c>
      <c r="P445">
        <v>300</v>
      </c>
    </row>
    <row r="446" spans="1:16" x14ac:dyDescent="0.25">
      <c r="B446">
        <v>4711</v>
      </c>
      <c r="C446" t="s">
        <v>277</v>
      </c>
      <c r="D446" t="s">
        <v>494</v>
      </c>
      <c r="E446" t="s">
        <v>392</v>
      </c>
      <c r="F446" t="s">
        <v>403</v>
      </c>
      <c r="G446">
        <v>29</v>
      </c>
      <c r="I446">
        <v>5</v>
      </c>
      <c r="J446">
        <v>34</v>
      </c>
      <c r="K446">
        <v>45</v>
      </c>
      <c r="L446">
        <v>45</v>
      </c>
      <c r="M446">
        <v>75</v>
      </c>
      <c r="N446">
        <v>45</v>
      </c>
      <c r="O446">
        <v>50</v>
      </c>
      <c r="P446">
        <v>240</v>
      </c>
    </row>
    <row r="447" spans="1:16" x14ac:dyDescent="0.25">
      <c r="B447">
        <v>4712</v>
      </c>
      <c r="C447" t="s">
        <v>277</v>
      </c>
      <c r="D447" t="s">
        <v>494</v>
      </c>
      <c r="E447" t="s">
        <v>392</v>
      </c>
      <c r="F447" t="s">
        <v>404</v>
      </c>
      <c r="G447">
        <v>38</v>
      </c>
      <c r="I447">
        <v>5</v>
      </c>
      <c r="J447">
        <v>43</v>
      </c>
      <c r="K447">
        <v>55</v>
      </c>
      <c r="L447">
        <v>55</v>
      </c>
      <c r="M447">
        <v>75</v>
      </c>
      <c r="N447">
        <v>55</v>
      </c>
      <c r="O447">
        <v>60</v>
      </c>
      <c r="P447">
        <v>270</v>
      </c>
    </row>
    <row r="448" spans="1:16" x14ac:dyDescent="0.25">
      <c r="A448">
        <v>2026</v>
      </c>
      <c r="B448">
        <v>6011</v>
      </c>
      <c r="C448" t="s">
        <v>277</v>
      </c>
      <c r="D448" t="s">
        <v>494</v>
      </c>
      <c r="E448" t="s">
        <v>191</v>
      </c>
      <c r="F448" t="s">
        <v>858</v>
      </c>
      <c r="G448">
        <v>230</v>
      </c>
      <c r="I448">
        <v>185</v>
      </c>
      <c r="J448">
        <v>415</v>
      </c>
      <c r="K448">
        <v>495</v>
      </c>
      <c r="L448">
        <v>520</v>
      </c>
      <c r="M448">
        <v>675</v>
      </c>
      <c r="N448">
        <v>480</v>
      </c>
      <c r="O448">
        <v>560</v>
      </c>
      <c r="P448">
        <v>990</v>
      </c>
    </row>
    <row r="449" spans="1:16" x14ac:dyDescent="0.25">
      <c r="A449">
        <v>2026</v>
      </c>
      <c r="B449">
        <v>6021</v>
      </c>
      <c r="C449" t="s">
        <v>277</v>
      </c>
      <c r="D449" t="s">
        <v>494</v>
      </c>
      <c r="E449" t="s">
        <v>190</v>
      </c>
      <c r="F449" t="s">
        <v>904</v>
      </c>
      <c r="G449">
        <v>230</v>
      </c>
      <c r="I449">
        <v>160</v>
      </c>
      <c r="J449">
        <v>390</v>
      </c>
      <c r="K449">
        <v>470</v>
      </c>
      <c r="L449">
        <v>490</v>
      </c>
      <c r="M449">
        <v>625</v>
      </c>
      <c r="N449">
        <v>455</v>
      </c>
      <c r="O449">
        <v>525</v>
      </c>
      <c r="P449">
        <v>990</v>
      </c>
    </row>
    <row r="450" spans="1:16" x14ac:dyDescent="0.25">
      <c r="A450">
        <v>2026</v>
      </c>
      <c r="B450">
        <v>6051</v>
      </c>
      <c r="C450" t="s">
        <v>277</v>
      </c>
      <c r="D450" t="s">
        <v>494</v>
      </c>
      <c r="E450" t="s">
        <v>191</v>
      </c>
      <c r="F450" t="s">
        <v>1008</v>
      </c>
      <c r="G450">
        <v>235</v>
      </c>
      <c r="I450">
        <v>165</v>
      </c>
      <c r="J450">
        <v>400</v>
      </c>
      <c r="K450">
        <v>475</v>
      </c>
      <c r="L450">
        <v>500</v>
      </c>
      <c r="M450">
        <v>650</v>
      </c>
      <c r="N450">
        <v>460</v>
      </c>
      <c r="O450">
        <v>535</v>
      </c>
      <c r="P450">
        <v>1010</v>
      </c>
    </row>
    <row r="451" spans="1:16" x14ac:dyDescent="0.25">
      <c r="A451">
        <v>2025</v>
      </c>
      <c r="B451">
        <v>6101</v>
      </c>
      <c r="C451" t="s">
        <v>277</v>
      </c>
      <c r="D451" t="s">
        <v>494</v>
      </c>
      <c r="E451" t="s">
        <v>235</v>
      </c>
      <c r="F451" t="s">
        <v>807</v>
      </c>
      <c r="G451">
        <v>220</v>
      </c>
      <c r="H451">
        <v>5</v>
      </c>
      <c r="I451">
        <v>225</v>
      </c>
      <c r="J451">
        <v>450</v>
      </c>
      <c r="K451">
        <v>540</v>
      </c>
      <c r="L451">
        <v>565</v>
      </c>
      <c r="M451">
        <v>725</v>
      </c>
      <c r="N451">
        <v>520</v>
      </c>
      <c r="O451">
        <v>605</v>
      </c>
      <c r="P451">
        <v>960</v>
      </c>
    </row>
    <row r="452" spans="1:16" x14ac:dyDescent="0.25">
      <c r="A452">
        <v>2026</v>
      </c>
      <c r="B452">
        <v>6102</v>
      </c>
      <c r="C452" t="s">
        <v>277</v>
      </c>
      <c r="D452" t="s">
        <v>494</v>
      </c>
      <c r="E452" t="s">
        <v>235</v>
      </c>
      <c r="F452" t="s">
        <v>891</v>
      </c>
      <c r="G452">
        <v>230</v>
      </c>
      <c r="I452">
        <v>200</v>
      </c>
      <c r="J452">
        <v>430</v>
      </c>
      <c r="K452">
        <v>515</v>
      </c>
      <c r="L452">
        <v>540</v>
      </c>
      <c r="M452">
        <v>700</v>
      </c>
      <c r="N452">
        <v>500</v>
      </c>
      <c r="O452">
        <v>580</v>
      </c>
      <c r="P452">
        <v>990</v>
      </c>
    </row>
    <row r="453" spans="1:16" x14ac:dyDescent="0.25">
      <c r="A453">
        <v>2025</v>
      </c>
      <c r="B453">
        <v>6103</v>
      </c>
      <c r="C453" t="s">
        <v>277</v>
      </c>
      <c r="D453" t="s">
        <v>494</v>
      </c>
      <c r="E453" t="s">
        <v>235</v>
      </c>
      <c r="F453" t="s">
        <v>482</v>
      </c>
      <c r="G453">
        <v>220</v>
      </c>
      <c r="H453">
        <v>5</v>
      </c>
      <c r="I453">
        <v>145</v>
      </c>
      <c r="J453">
        <v>370</v>
      </c>
      <c r="K453">
        <v>445</v>
      </c>
      <c r="L453">
        <v>465</v>
      </c>
      <c r="M453">
        <v>600</v>
      </c>
      <c r="N453">
        <v>430</v>
      </c>
      <c r="O453">
        <v>500</v>
      </c>
      <c r="P453">
        <v>960</v>
      </c>
    </row>
    <row r="454" spans="1:16" x14ac:dyDescent="0.25">
      <c r="A454">
        <v>2025</v>
      </c>
      <c r="B454">
        <v>6104</v>
      </c>
      <c r="C454" t="s">
        <v>277</v>
      </c>
      <c r="D454" t="s">
        <v>494</v>
      </c>
      <c r="E454" t="s">
        <v>235</v>
      </c>
      <c r="F454" t="s">
        <v>482</v>
      </c>
      <c r="G454">
        <v>220</v>
      </c>
      <c r="H454">
        <v>5</v>
      </c>
      <c r="I454">
        <v>145</v>
      </c>
      <c r="J454">
        <v>370</v>
      </c>
      <c r="K454">
        <v>445</v>
      </c>
      <c r="L454">
        <v>465</v>
      </c>
      <c r="M454">
        <v>600</v>
      </c>
      <c r="N454">
        <v>430</v>
      </c>
      <c r="O454">
        <v>500</v>
      </c>
      <c r="P454">
        <v>960</v>
      </c>
    </row>
    <row r="455" spans="1:16" x14ac:dyDescent="0.25">
      <c r="A455">
        <v>2025</v>
      </c>
      <c r="B455">
        <v>6105</v>
      </c>
      <c r="C455" t="s">
        <v>277</v>
      </c>
      <c r="D455" t="s">
        <v>494</v>
      </c>
      <c r="E455" t="s">
        <v>235</v>
      </c>
      <c r="F455" t="s">
        <v>482</v>
      </c>
      <c r="G455">
        <v>220</v>
      </c>
      <c r="H455">
        <v>5</v>
      </c>
      <c r="I455">
        <v>140</v>
      </c>
      <c r="J455">
        <v>365</v>
      </c>
      <c r="K455">
        <v>440</v>
      </c>
      <c r="L455">
        <v>460</v>
      </c>
      <c r="M455">
        <v>575</v>
      </c>
      <c r="N455">
        <v>425</v>
      </c>
      <c r="O455">
        <v>495</v>
      </c>
      <c r="P455">
        <v>960</v>
      </c>
    </row>
    <row r="456" spans="1:16" x14ac:dyDescent="0.25">
      <c r="A456">
        <v>2026</v>
      </c>
      <c r="B456">
        <v>6106</v>
      </c>
      <c r="C456" t="s">
        <v>277</v>
      </c>
      <c r="D456" t="s">
        <v>494</v>
      </c>
      <c r="E456" t="s">
        <v>190</v>
      </c>
      <c r="F456" t="s">
        <v>945</v>
      </c>
      <c r="G456">
        <v>225</v>
      </c>
      <c r="I456">
        <v>135</v>
      </c>
      <c r="J456">
        <v>360</v>
      </c>
      <c r="K456">
        <v>430</v>
      </c>
      <c r="L456">
        <v>450</v>
      </c>
      <c r="M456">
        <v>575</v>
      </c>
      <c r="N456">
        <v>415</v>
      </c>
      <c r="O456">
        <v>485</v>
      </c>
      <c r="P456">
        <v>970</v>
      </c>
    </row>
    <row r="457" spans="1:16" x14ac:dyDescent="0.25">
      <c r="A457">
        <v>2025</v>
      </c>
      <c r="B457">
        <v>6107</v>
      </c>
      <c r="C457" t="s">
        <v>277</v>
      </c>
      <c r="D457" t="s">
        <v>494</v>
      </c>
      <c r="E457" t="s">
        <v>235</v>
      </c>
      <c r="F457" t="s">
        <v>482</v>
      </c>
      <c r="G457">
        <v>220</v>
      </c>
      <c r="H457">
        <v>5</v>
      </c>
      <c r="I457">
        <v>135</v>
      </c>
      <c r="J457">
        <v>360</v>
      </c>
      <c r="K457">
        <v>430</v>
      </c>
      <c r="L457">
        <v>450</v>
      </c>
      <c r="M457">
        <v>575</v>
      </c>
      <c r="N457">
        <v>415</v>
      </c>
      <c r="O457">
        <v>485</v>
      </c>
      <c r="P457">
        <v>960</v>
      </c>
    </row>
    <row r="458" spans="1:16" x14ac:dyDescent="0.25">
      <c r="A458">
        <v>2025</v>
      </c>
      <c r="B458">
        <v>6108</v>
      </c>
      <c r="C458" t="s">
        <v>277</v>
      </c>
      <c r="D458" t="s">
        <v>494</v>
      </c>
      <c r="E458" t="s">
        <v>235</v>
      </c>
      <c r="F458" t="s">
        <v>482</v>
      </c>
      <c r="G458">
        <v>220</v>
      </c>
      <c r="H458">
        <v>5</v>
      </c>
      <c r="I458">
        <v>135</v>
      </c>
      <c r="J458">
        <v>360</v>
      </c>
      <c r="K458">
        <v>430</v>
      </c>
      <c r="L458">
        <v>450</v>
      </c>
      <c r="M458">
        <v>575</v>
      </c>
      <c r="N458">
        <v>415</v>
      </c>
      <c r="O458">
        <v>485</v>
      </c>
      <c r="P458">
        <v>960</v>
      </c>
    </row>
    <row r="459" spans="1:16" x14ac:dyDescent="0.25">
      <c r="A459">
        <v>2025</v>
      </c>
      <c r="B459">
        <v>6109</v>
      </c>
      <c r="C459" t="s">
        <v>277</v>
      </c>
      <c r="D459" t="s">
        <v>494</v>
      </c>
      <c r="E459" t="s">
        <v>235</v>
      </c>
      <c r="F459" t="s">
        <v>482</v>
      </c>
      <c r="G459">
        <v>220</v>
      </c>
      <c r="H459">
        <v>5</v>
      </c>
      <c r="I459">
        <v>135</v>
      </c>
      <c r="J459">
        <v>360</v>
      </c>
      <c r="K459">
        <v>430</v>
      </c>
      <c r="L459">
        <v>450</v>
      </c>
      <c r="M459">
        <v>575</v>
      </c>
      <c r="N459">
        <v>415</v>
      </c>
      <c r="O459">
        <v>485</v>
      </c>
      <c r="P459">
        <v>960</v>
      </c>
    </row>
    <row r="460" spans="1:16" x14ac:dyDescent="0.25">
      <c r="A460">
        <v>2025</v>
      </c>
      <c r="B460">
        <v>6110</v>
      </c>
      <c r="C460" t="s">
        <v>277</v>
      </c>
      <c r="D460" t="s">
        <v>494</v>
      </c>
      <c r="E460" t="s">
        <v>235</v>
      </c>
      <c r="F460" t="s">
        <v>482</v>
      </c>
      <c r="G460">
        <v>220</v>
      </c>
      <c r="H460">
        <v>5</v>
      </c>
      <c r="I460">
        <v>130</v>
      </c>
      <c r="J460">
        <v>355</v>
      </c>
      <c r="K460">
        <v>425</v>
      </c>
      <c r="L460">
        <v>445</v>
      </c>
      <c r="M460">
        <v>575</v>
      </c>
      <c r="N460">
        <v>410</v>
      </c>
      <c r="O460">
        <v>480</v>
      </c>
      <c r="P460">
        <v>960</v>
      </c>
    </row>
    <row r="461" spans="1:16" x14ac:dyDescent="0.25">
      <c r="A461">
        <v>2025</v>
      </c>
      <c r="B461">
        <v>6111</v>
      </c>
      <c r="C461" t="s">
        <v>277</v>
      </c>
      <c r="D461" t="s">
        <v>494</v>
      </c>
      <c r="E461" t="s">
        <v>235</v>
      </c>
      <c r="F461" t="s">
        <v>482</v>
      </c>
      <c r="G461">
        <v>220</v>
      </c>
      <c r="H461">
        <v>5</v>
      </c>
      <c r="I461">
        <v>130</v>
      </c>
      <c r="J461">
        <v>355</v>
      </c>
      <c r="K461">
        <v>425</v>
      </c>
      <c r="L461">
        <v>445</v>
      </c>
      <c r="M461">
        <v>575</v>
      </c>
      <c r="N461">
        <v>410</v>
      </c>
      <c r="O461">
        <v>480</v>
      </c>
      <c r="P461">
        <v>960</v>
      </c>
    </row>
    <row r="462" spans="1:16" x14ac:dyDescent="0.25">
      <c r="A462">
        <v>2025</v>
      </c>
      <c r="B462">
        <v>6112</v>
      </c>
      <c r="C462" t="s">
        <v>277</v>
      </c>
      <c r="D462" t="s">
        <v>494</v>
      </c>
      <c r="E462" t="s">
        <v>235</v>
      </c>
      <c r="F462" t="s">
        <v>482</v>
      </c>
      <c r="G462">
        <v>220</v>
      </c>
      <c r="H462">
        <v>5</v>
      </c>
      <c r="I462">
        <v>120</v>
      </c>
      <c r="J462">
        <v>345</v>
      </c>
      <c r="K462">
        <v>415</v>
      </c>
      <c r="L462">
        <v>435</v>
      </c>
      <c r="M462">
        <v>550</v>
      </c>
      <c r="N462">
        <v>405</v>
      </c>
      <c r="O462">
        <v>470</v>
      </c>
      <c r="P462">
        <v>960</v>
      </c>
    </row>
    <row r="463" spans="1:16" x14ac:dyDescent="0.25">
      <c r="A463">
        <v>2025</v>
      </c>
      <c r="B463">
        <v>6113</v>
      </c>
      <c r="C463" t="s">
        <v>277</v>
      </c>
      <c r="D463" t="s">
        <v>494</v>
      </c>
      <c r="E463" t="s">
        <v>235</v>
      </c>
      <c r="F463" t="s">
        <v>491</v>
      </c>
      <c r="G463">
        <v>220</v>
      </c>
      <c r="H463">
        <v>5</v>
      </c>
      <c r="I463">
        <v>325</v>
      </c>
      <c r="J463">
        <v>550</v>
      </c>
      <c r="K463">
        <v>660</v>
      </c>
      <c r="L463">
        <v>690</v>
      </c>
      <c r="M463">
        <v>875</v>
      </c>
      <c r="N463">
        <v>635</v>
      </c>
      <c r="O463">
        <v>740</v>
      </c>
      <c r="P463">
        <v>960</v>
      </c>
    </row>
    <row r="464" spans="1:16" x14ac:dyDescent="0.25">
      <c r="A464">
        <v>2025</v>
      </c>
      <c r="B464">
        <v>6114</v>
      </c>
      <c r="C464" t="s">
        <v>277</v>
      </c>
      <c r="D464" t="s">
        <v>494</v>
      </c>
      <c r="E464" t="s">
        <v>235</v>
      </c>
      <c r="F464" t="s">
        <v>583</v>
      </c>
      <c r="G464">
        <v>220</v>
      </c>
      <c r="H464">
        <v>5</v>
      </c>
      <c r="I464">
        <v>115</v>
      </c>
      <c r="J464">
        <v>340</v>
      </c>
      <c r="K464">
        <v>405</v>
      </c>
      <c r="L464">
        <v>425</v>
      </c>
      <c r="M464">
        <v>550</v>
      </c>
      <c r="N464">
        <v>395</v>
      </c>
      <c r="O464">
        <v>455</v>
      </c>
      <c r="P464">
        <v>960</v>
      </c>
    </row>
    <row r="465" spans="1:16" x14ac:dyDescent="0.25">
      <c r="A465">
        <v>2025</v>
      </c>
      <c r="B465">
        <v>6115</v>
      </c>
      <c r="C465" t="s">
        <v>277</v>
      </c>
      <c r="D465" t="s">
        <v>494</v>
      </c>
      <c r="E465" t="s">
        <v>235</v>
      </c>
      <c r="F465" t="s">
        <v>583</v>
      </c>
      <c r="G465">
        <v>220</v>
      </c>
      <c r="H465">
        <v>5</v>
      </c>
      <c r="I465">
        <v>115</v>
      </c>
      <c r="J465">
        <v>340</v>
      </c>
      <c r="K465">
        <v>405</v>
      </c>
      <c r="L465">
        <v>425</v>
      </c>
      <c r="M465">
        <v>550</v>
      </c>
      <c r="N465">
        <v>395</v>
      </c>
      <c r="O465">
        <v>455</v>
      </c>
      <c r="P465">
        <v>960</v>
      </c>
    </row>
    <row r="466" spans="1:16" x14ac:dyDescent="0.25">
      <c r="A466">
        <v>2025</v>
      </c>
      <c r="B466">
        <v>6116</v>
      </c>
      <c r="C466" t="s">
        <v>277</v>
      </c>
      <c r="D466" t="s">
        <v>494</v>
      </c>
      <c r="E466" t="s">
        <v>235</v>
      </c>
      <c r="F466" t="s">
        <v>583</v>
      </c>
      <c r="G466">
        <v>220</v>
      </c>
      <c r="H466">
        <v>5</v>
      </c>
      <c r="I466">
        <v>120</v>
      </c>
      <c r="J466">
        <v>345</v>
      </c>
      <c r="K466">
        <v>415</v>
      </c>
      <c r="L466">
        <v>435</v>
      </c>
      <c r="M466">
        <v>550</v>
      </c>
      <c r="N466">
        <v>405</v>
      </c>
      <c r="O466">
        <v>470</v>
      </c>
      <c r="P466">
        <v>960</v>
      </c>
    </row>
    <row r="467" spans="1:16" x14ac:dyDescent="0.25">
      <c r="A467">
        <v>2025</v>
      </c>
      <c r="B467">
        <v>6117</v>
      </c>
      <c r="C467" t="s">
        <v>277</v>
      </c>
      <c r="D467" t="s">
        <v>494</v>
      </c>
      <c r="E467" t="s">
        <v>235</v>
      </c>
      <c r="F467" t="s">
        <v>584</v>
      </c>
      <c r="G467">
        <v>220</v>
      </c>
      <c r="H467">
        <v>5</v>
      </c>
      <c r="I467">
        <v>135</v>
      </c>
      <c r="J467">
        <v>360</v>
      </c>
      <c r="K467">
        <v>430</v>
      </c>
      <c r="L467">
        <v>450</v>
      </c>
      <c r="M467">
        <v>575</v>
      </c>
      <c r="N467">
        <v>415</v>
      </c>
      <c r="O467">
        <v>485</v>
      </c>
      <c r="P467">
        <v>960</v>
      </c>
    </row>
    <row r="468" spans="1:16" x14ac:dyDescent="0.25">
      <c r="A468">
        <v>2025</v>
      </c>
      <c r="B468">
        <v>6118</v>
      </c>
      <c r="C468" t="s">
        <v>277</v>
      </c>
      <c r="D468" t="s">
        <v>494</v>
      </c>
      <c r="E468" t="s">
        <v>235</v>
      </c>
      <c r="F468" t="s">
        <v>584</v>
      </c>
      <c r="G468">
        <v>220</v>
      </c>
      <c r="H468">
        <v>5</v>
      </c>
      <c r="I468">
        <v>105</v>
      </c>
      <c r="J468">
        <v>330</v>
      </c>
      <c r="K468">
        <v>395</v>
      </c>
      <c r="L468">
        <v>415</v>
      </c>
      <c r="M468">
        <v>525</v>
      </c>
      <c r="N468">
        <v>385</v>
      </c>
      <c r="O468">
        <v>445</v>
      </c>
      <c r="P468">
        <v>960</v>
      </c>
    </row>
    <row r="469" spans="1:16" x14ac:dyDescent="0.25">
      <c r="A469">
        <v>2025</v>
      </c>
      <c r="B469">
        <v>6119</v>
      </c>
      <c r="C469" t="s">
        <v>277</v>
      </c>
      <c r="D469" t="s">
        <v>494</v>
      </c>
      <c r="E469" t="s">
        <v>235</v>
      </c>
      <c r="F469" t="s">
        <v>584</v>
      </c>
      <c r="G469">
        <v>220</v>
      </c>
      <c r="H469">
        <v>5</v>
      </c>
      <c r="I469">
        <v>125</v>
      </c>
      <c r="J469">
        <v>350</v>
      </c>
      <c r="K469">
        <v>425</v>
      </c>
      <c r="L469">
        <v>440</v>
      </c>
      <c r="M469">
        <v>575</v>
      </c>
      <c r="N469">
        <v>405</v>
      </c>
      <c r="O469">
        <v>475</v>
      </c>
      <c r="P469">
        <v>960</v>
      </c>
    </row>
    <row r="470" spans="1:16" x14ac:dyDescent="0.25">
      <c r="A470">
        <v>2025</v>
      </c>
      <c r="B470">
        <v>6120</v>
      </c>
      <c r="C470" t="s">
        <v>277</v>
      </c>
      <c r="D470" t="s">
        <v>494</v>
      </c>
      <c r="E470" t="s">
        <v>235</v>
      </c>
      <c r="F470" t="s">
        <v>584</v>
      </c>
      <c r="G470">
        <v>220</v>
      </c>
      <c r="H470">
        <v>5</v>
      </c>
      <c r="I470">
        <v>120</v>
      </c>
      <c r="J470">
        <v>345</v>
      </c>
      <c r="K470">
        <v>415</v>
      </c>
      <c r="L470">
        <v>435</v>
      </c>
      <c r="M470">
        <v>550</v>
      </c>
      <c r="N470">
        <v>405</v>
      </c>
      <c r="O470">
        <v>470</v>
      </c>
      <c r="P470">
        <v>960</v>
      </c>
    </row>
    <row r="471" spans="1:16" x14ac:dyDescent="0.25">
      <c r="A471">
        <v>2025</v>
      </c>
      <c r="B471">
        <v>6121</v>
      </c>
      <c r="C471" t="s">
        <v>277</v>
      </c>
      <c r="D471" t="s">
        <v>494</v>
      </c>
      <c r="E471" t="s">
        <v>235</v>
      </c>
      <c r="F471" t="s">
        <v>584</v>
      </c>
      <c r="G471">
        <v>220</v>
      </c>
      <c r="H471">
        <v>5</v>
      </c>
      <c r="I471">
        <v>140</v>
      </c>
      <c r="J471">
        <v>365</v>
      </c>
      <c r="K471">
        <v>440</v>
      </c>
      <c r="L471">
        <v>460</v>
      </c>
      <c r="M471">
        <v>575</v>
      </c>
      <c r="N471">
        <v>425</v>
      </c>
      <c r="O471">
        <v>495</v>
      </c>
      <c r="P471">
        <v>960</v>
      </c>
    </row>
    <row r="472" spans="1:16" x14ac:dyDescent="0.25">
      <c r="A472">
        <v>2025</v>
      </c>
      <c r="B472">
        <v>6122</v>
      </c>
      <c r="C472" t="s">
        <v>277</v>
      </c>
      <c r="D472" t="s">
        <v>494</v>
      </c>
      <c r="E472" t="s">
        <v>235</v>
      </c>
      <c r="F472" t="s">
        <v>584</v>
      </c>
      <c r="G472">
        <v>220</v>
      </c>
      <c r="H472">
        <v>5</v>
      </c>
      <c r="I472">
        <v>125</v>
      </c>
      <c r="J472">
        <v>350</v>
      </c>
      <c r="K472">
        <v>425</v>
      </c>
      <c r="L472">
        <v>440</v>
      </c>
      <c r="M472">
        <v>575</v>
      </c>
      <c r="N472">
        <v>405</v>
      </c>
      <c r="O472">
        <v>475</v>
      </c>
      <c r="P472">
        <v>960</v>
      </c>
    </row>
    <row r="473" spans="1:16" x14ac:dyDescent="0.25">
      <c r="A473">
        <v>2025</v>
      </c>
      <c r="B473">
        <v>6123</v>
      </c>
      <c r="C473" t="s">
        <v>277</v>
      </c>
      <c r="D473" t="s">
        <v>494</v>
      </c>
      <c r="E473" t="s">
        <v>235</v>
      </c>
      <c r="F473" t="s">
        <v>584</v>
      </c>
      <c r="G473">
        <v>220</v>
      </c>
      <c r="H473">
        <v>5</v>
      </c>
      <c r="I473">
        <v>125</v>
      </c>
      <c r="J473">
        <v>350</v>
      </c>
      <c r="K473">
        <v>425</v>
      </c>
      <c r="L473">
        <v>440</v>
      </c>
      <c r="M473">
        <v>575</v>
      </c>
      <c r="N473">
        <v>405</v>
      </c>
      <c r="O473">
        <v>475</v>
      </c>
      <c r="P473">
        <v>960</v>
      </c>
    </row>
    <row r="474" spans="1:16" x14ac:dyDescent="0.25">
      <c r="A474">
        <v>2026</v>
      </c>
      <c r="B474">
        <v>8011</v>
      </c>
      <c r="C474" t="s">
        <v>277</v>
      </c>
      <c r="D474" t="s">
        <v>497</v>
      </c>
      <c r="E474" t="s">
        <v>290</v>
      </c>
      <c r="F474" t="s">
        <v>985</v>
      </c>
      <c r="G474">
        <v>1665</v>
      </c>
      <c r="I474">
        <v>25</v>
      </c>
      <c r="J474">
        <v>1690</v>
      </c>
      <c r="K474">
        <v>2090</v>
      </c>
      <c r="L474">
        <v>2200</v>
      </c>
      <c r="M474">
        <v>3000</v>
      </c>
      <c r="N474">
        <v>2025</v>
      </c>
      <c r="O474">
        <v>2355</v>
      </c>
      <c r="P474">
        <v>7200</v>
      </c>
    </row>
    <row r="475" spans="1:16" x14ac:dyDescent="0.25">
      <c r="A475">
        <v>2025</v>
      </c>
      <c r="B475">
        <v>8031</v>
      </c>
      <c r="C475" t="s">
        <v>277</v>
      </c>
      <c r="D475" t="s">
        <v>497</v>
      </c>
      <c r="E475" t="s">
        <v>328</v>
      </c>
      <c r="F475">
        <v>945</v>
      </c>
      <c r="G475">
        <v>4450</v>
      </c>
      <c r="I475">
        <v>25</v>
      </c>
      <c r="J475">
        <v>4475</v>
      </c>
      <c r="K475">
        <v>5530</v>
      </c>
      <c r="L475">
        <v>5820</v>
      </c>
      <c r="M475">
        <v>7950</v>
      </c>
      <c r="N475">
        <v>5355</v>
      </c>
      <c r="O475">
        <v>6230</v>
      </c>
      <c r="P475">
        <v>19010</v>
      </c>
    </row>
    <row r="476" spans="1:16" x14ac:dyDescent="0.25">
      <c r="A476">
        <v>2025</v>
      </c>
      <c r="B476">
        <v>8032</v>
      </c>
      <c r="C476" t="s">
        <v>277</v>
      </c>
      <c r="D476" t="s">
        <v>497</v>
      </c>
      <c r="E476" t="s">
        <v>328</v>
      </c>
      <c r="F476">
        <v>555</v>
      </c>
      <c r="G476">
        <v>1950</v>
      </c>
      <c r="I476">
        <v>25</v>
      </c>
      <c r="J476">
        <v>1975</v>
      </c>
      <c r="K476">
        <v>2445</v>
      </c>
      <c r="L476">
        <v>2570</v>
      </c>
      <c r="M476">
        <v>3500</v>
      </c>
      <c r="N476">
        <v>2365</v>
      </c>
      <c r="O476">
        <v>2750</v>
      </c>
      <c r="P476">
        <v>8410</v>
      </c>
    </row>
    <row r="477" spans="1:16" x14ac:dyDescent="0.25">
      <c r="A477">
        <v>2025</v>
      </c>
      <c r="B477">
        <v>8033</v>
      </c>
      <c r="C477" t="s">
        <v>277</v>
      </c>
      <c r="D477" t="s">
        <v>497</v>
      </c>
      <c r="E477" t="s">
        <v>328</v>
      </c>
      <c r="F477" t="s">
        <v>682</v>
      </c>
      <c r="G477">
        <v>4900</v>
      </c>
      <c r="I477">
        <v>25</v>
      </c>
      <c r="J477">
        <v>4925</v>
      </c>
      <c r="K477">
        <v>6085</v>
      </c>
      <c r="L477">
        <v>6405</v>
      </c>
      <c r="M477">
        <v>8750</v>
      </c>
      <c r="N477">
        <v>5895</v>
      </c>
      <c r="O477">
        <v>6855</v>
      </c>
      <c r="P477">
        <v>20910</v>
      </c>
    </row>
    <row r="478" spans="1:16" x14ac:dyDescent="0.25">
      <c r="A478">
        <v>2025</v>
      </c>
      <c r="B478">
        <v>8034</v>
      </c>
      <c r="C478" t="s">
        <v>277</v>
      </c>
      <c r="D478" t="s">
        <v>497</v>
      </c>
      <c r="E478" t="s">
        <v>328</v>
      </c>
      <c r="F478">
        <v>1590</v>
      </c>
      <c r="G478">
        <v>1375</v>
      </c>
      <c r="I478">
        <v>25</v>
      </c>
      <c r="J478">
        <v>1400</v>
      </c>
      <c r="K478">
        <v>1730</v>
      </c>
      <c r="L478">
        <v>1820</v>
      </c>
      <c r="M478">
        <v>2225</v>
      </c>
      <c r="N478">
        <v>1675</v>
      </c>
      <c r="O478">
        <v>1950</v>
      </c>
      <c r="P478">
        <v>5970</v>
      </c>
    </row>
    <row r="479" spans="1:16" x14ac:dyDescent="0.25">
      <c r="A479">
        <v>2025</v>
      </c>
      <c r="B479">
        <v>8035</v>
      </c>
      <c r="C479" t="s">
        <v>277</v>
      </c>
      <c r="D479" t="s">
        <v>497</v>
      </c>
      <c r="E479" t="s">
        <v>328</v>
      </c>
      <c r="F479">
        <v>942</v>
      </c>
      <c r="G479">
        <v>2925</v>
      </c>
      <c r="I479">
        <v>25</v>
      </c>
      <c r="J479">
        <v>2950</v>
      </c>
      <c r="K479">
        <v>3645</v>
      </c>
      <c r="L479">
        <v>3835</v>
      </c>
      <c r="M479">
        <v>5250</v>
      </c>
      <c r="N479">
        <v>3530</v>
      </c>
      <c r="O479">
        <v>4105</v>
      </c>
      <c r="P479">
        <v>12540</v>
      </c>
    </row>
    <row r="480" spans="1:16" x14ac:dyDescent="0.25">
      <c r="A480">
        <v>2025</v>
      </c>
      <c r="B480">
        <v>8036</v>
      </c>
      <c r="C480" t="s">
        <v>277</v>
      </c>
      <c r="D480" t="s">
        <v>497</v>
      </c>
      <c r="E480" t="s">
        <v>328</v>
      </c>
      <c r="F480">
        <v>516</v>
      </c>
      <c r="G480">
        <v>2350</v>
      </c>
      <c r="I480">
        <v>25</v>
      </c>
      <c r="J480">
        <v>2375</v>
      </c>
      <c r="K480">
        <v>2940</v>
      </c>
      <c r="L480">
        <v>3090</v>
      </c>
      <c r="M480">
        <v>4250</v>
      </c>
      <c r="N480">
        <v>2845</v>
      </c>
      <c r="O480">
        <v>3310</v>
      </c>
      <c r="P480">
        <v>10100</v>
      </c>
    </row>
    <row r="481" spans="1:16" x14ac:dyDescent="0.25">
      <c r="A481">
        <v>2025</v>
      </c>
      <c r="B481">
        <v>8037</v>
      </c>
      <c r="C481" t="s">
        <v>277</v>
      </c>
      <c r="D481" t="s">
        <v>497</v>
      </c>
      <c r="E481" t="s">
        <v>328</v>
      </c>
      <c r="F481">
        <v>570</v>
      </c>
      <c r="G481">
        <v>1350</v>
      </c>
      <c r="I481">
        <v>25</v>
      </c>
      <c r="J481">
        <v>1375</v>
      </c>
      <c r="K481">
        <v>1705</v>
      </c>
      <c r="L481">
        <v>1790</v>
      </c>
      <c r="M481">
        <v>2175</v>
      </c>
      <c r="N481">
        <v>1650</v>
      </c>
      <c r="O481">
        <v>1920</v>
      </c>
      <c r="P481">
        <v>5220</v>
      </c>
    </row>
    <row r="482" spans="1:16" x14ac:dyDescent="0.25">
      <c r="A482">
        <v>2025</v>
      </c>
      <c r="B482">
        <v>8061</v>
      </c>
      <c r="C482" t="s">
        <v>277</v>
      </c>
      <c r="D482" t="s">
        <v>497</v>
      </c>
      <c r="E482" t="s">
        <v>328</v>
      </c>
      <c r="F482" t="s">
        <v>691</v>
      </c>
      <c r="G482">
        <v>1950</v>
      </c>
      <c r="I482">
        <v>25</v>
      </c>
      <c r="J482">
        <v>1975</v>
      </c>
      <c r="K482">
        <v>2445</v>
      </c>
      <c r="L482">
        <v>2570</v>
      </c>
      <c r="M482">
        <v>3500</v>
      </c>
      <c r="N482">
        <v>2365</v>
      </c>
      <c r="O482">
        <v>2750</v>
      </c>
      <c r="P482">
        <v>8410</v>
      </c>
    </row>
    <row r="483" spans="1:16" x14ac:dyDescent="0.25">
      <c r="A483">
        <v>2025</v>
      </c>
      <c r="B483">
        <v>8062</v>
      </c>
      <c r="C483" t="s">
        <v>277</v>
      </c>
      <c r="D483" t="s">
        <v>497</v>
      </c>
      <c r="E483" t="s">
        <v>328</v>
      </c>
      <c r="F483" t="s">
        <v>623</v>
      </c>
      <c r="G483">
        <v>1325</v>
      </c>
      <c r="I483">
        <v>25</v>
      </c>
      <c r="J483">
        <v>1350</v>
      </c>
      <c r="K483">
        <v>1670</v>
      </c>
      <c r="L483">
        <v>1755</v>
      </c>
      <c r="M483">
        <v>2150</v>
      </c>
      <c r="N483">
        <v>1615</v>
      </c>
      <c r="O483">
        <v>1880</v>
      </c>
      <c r="P483">
        <v>5120</v>
      </c>
    </row>
    <row r="484" spans="1:16" x14ac:dyDescent="0.25">
      <c r="A484">
        <v>2025</v>
      </c>
      <c r="B484">
        <v>8063</v>
      </c>
      <c r="C484" t="s">
        <v>277</v>
      </c>
      <c r="D484" t="s">
        <v>497</v>
      </c>
      <c r="E484" t="s">
        <v>328</v>
      </c>
      <c r="F484" t="s">
        <v>624</v>
      </c>
      <c r="G484">
        <v>1925</v>
      </c>
      <c r="I484">
        <v>25</v>
      </c>
      <c r="J484">
        <v>1950</v>
      </c>
      <c r="K484">
        <v>2410</v>
      </c>
      <c r="L484">
        <v>2535</v>
      </c>
      <c r="M484">
        <v>3500</v>
      </c>
      <c r="N484">
        <v>2335</v>
      </c>
      <c r="O484">
        <v>2715</v>
      </c>
      <c r="P484">
        <v>8300</v>
      </c>
    </row>
    <row r="485" spans="1:16" x14ac:dyDescent="0.25">
      <c r="A485">
        <v>2025</v>
      </c>
      <c r="B485">
        <v>8064</v>
      </c>
      <c r="C485" t="s">
        <v>277</v>
      </c>
      <c r="D485" t="s">
        <v>497</v>
      </c>
      <c r="E485" t="s">
        <v>328</v>
      </c>
      <c r="F485" t="s">
        <v>625</v>
      </c>
      <c r="G485">
        <v>1950</v>
      </c>
      <c r="I485">
        <v>25</v>
      </c>
      <c r="J485">
        <v>1975</v>
      </c>
      <c r="K485">
        <v>2445</v>
      </c>
      <c r="L485">
        <v>2570</v>
      </c>
      <c r="M485">
        <v>3500</v>
      </c>
      <c r="N485">
        <v>2365</v>
      </c>
      <c r="O485">
        <v>2750</v>
      </c>
      <c r="P485">
        <v>8410</v>
      </c>
    </row>
    <row r="486" spans="1:16" x14ac:dyDescent="0.25">
      <c r="A486">
        <v>2025</v>
      </c>
      <c r="B486">
        <v>8065</v>
      </c>
      <c r="C486" t="s">
        <v>277</v>
      </c>
      <c r="D486" t="s">
        <v>497</v>
      </c>
      <c r="E486" t="s">
        <v>328</v>
      </c>
      <c r="F486" t="s">
        <v>626</v>
      </c>
      <c r="G486">
        <v>1075</v>
      </c>
      <c r="I486">
        <v>25</v>
      </c>
      <c r="J486">
        <v>1100</v>
      </c>
      <c r="K486">
        <v>1360</v>
      </c>
      <c r="L486">
        <v>1430</v>
      </c>
      <c r="M486">
        <v>1750</v>
      </c>
      <c r="N486">
        <v>1320</v>
      </c>
      <c r="O486">
        <v>1535</v>
      </c>
      <c r="P486">
        <v>4180</v>
      </c>
    </row>
    <row r="487" spans="1:16" x14ac:dyDescent="0.25">
      <c r="A487">
        <v>2025</v>
      </c>
      <c r="B487">
        <v>8066</v>
      </c>
      <c r="C487" t="s">
        <v>277</v>
      </c>
      <c r="D487" t="s">
        <v>497</v>
      </c>
      <c r="E487" t="s">
        <v>328</v>
      </c>
      <c r="F487" t="s">
        <v>627</v>
      </c>
      <c r="G487">
        <v>1325</v>
      </c>
      <c r="I487">
        <v>25</v>
      </c>
      <c r="J487">
        <v>1350</v>
      </c>
      <c r="K487">
        <v>1670</v>
      </c>
      <c r="L487">
        <v>1755</v>
      </c>
      <c r="M487">
        <v>2150</v>
      </c>
      <c r="N487">
        <v>1615</v>
      </c>
      <c r="O487">
        <v>1880</v>
      </c>
      <c r="P487">
        <v>5120</v>
      </c>
    </row>
    <row r="488" spans="1:16" x14ac:dyDescent="0.25">
      <c r="A488">
        <v>2025</v>
      </c>
      <c r="B488">
        <v>8067</v>
      </c>
      <c r="C488" t="s">
        <v>277</v>
      </c>
      <c r="D488" t="s">
        <v>497</v>
      </c>
      <c r="E488" t="s">
        <v>328</v>
      </c>
      <c r="F488" t="s">
        <v>628</v>
      </c>
      <c r="G488">
        <v>1425</v>
      </c>
      <c r="I488">
        <v>25</v>
      </c>
      <c r="J488">
        <v>1450</v>
      </c>
      <c r="K488">
        <v>1795</v>
      </c>
      <c r="L488">
        <v>1885</v>
      </c>
      <c r="M488">
        <v>2300</v>
      </c>
      <c r="N488">
        <v>1735</v>
      </c>
      <c r="O488">
        <v>2020</v>
      </c>
      <c r="P488">
        <v>6180</v>
      </c>
    </row>
    <row r="489" spans="1:16" x14ac:dyDescent="0.25">
      <c r="A489">
        <v>2025</v>
      </c>
      <c r="B489">
        <v>8068</v>
      </c>
      <c r="C489" t="s">
        <v>277</v>
      </c>
      <c r="D489" t="s">
        <v>497</v>
      </c>
      <c r="E489" t="s">
        <v>328</v>
      </c>
      <c r="F489" t="s">
        <v>629</v>
      </c>
      <c r="G489">
        <v>2200</v>
      </c>
      <c r="I489">
        <v>25</v>
      </c>
      <c r="J489">
        <v>2225</v>
      </c>
      <c r="K489">
        <v>2755</v>
      </c>
      <c r="L489">
        <v>2895</v>
      </c>
      <c r="M489">
        <v>3950</v>
      </c>
      <c r="N489">
        <v>2665</v>
      </c>
      <c r="O489">
        <v>3100</v>
      </c>
      <c r="P489">
        <v>9470</v>
      </c>
    </row>
    <row r="490" spans="1:16" x14ac:dyDescent="0.25">
      <c r="A490">
        <v>2025</v>
      </c>
      <c r="B490">
        <v>8069</v>
      </c>
      <c r="C490" t="s">
        <v>277</v>
      </c>
      <c r="D490" t="s">
        <v>497</v>
      </c>
      <c r="E490" t="s">
        <v>328</v>
      </c>
      <c r="F490" t="s">
        <v>692</v>
      </c>
      <c r="G490">
        <v>2000</v>
      </c>
      <c r="I490">
        <v>25</v>
      </c>
      <c r="J490">
        <v>2025</v>
      </c>
      <c r="K490">
        <v>2505</v>
      </c>
      <c r="L490">
        <v>2635</v>
      </c>
      <c r="M490">
        <v>3600</v>
      </c>
      <c r="N490">
        <v>2425</v>
      </c>
      <c r="O490">
        <v>2820</v>
      </c>
      <c r="P490">
        <v>8620</v>
      </c>
    </row>
    <row r="491" spans="1:16" x14ac:dyDescent="0.25">
      <c r="A491">
        <v>2026</v>
      </c>
      <c r="B491">
        <v>8081</v>
      </c>
      <c r="C491" t="s">
        <v>277</v>
      </c>
      <c r="D491" t="s">
        <v>497</v>
      </c>
      <c r="E491" t="s">
        <v>345</v>
      </c>
      <c r="F491" t="s">
        <v>998</v>
      </c>
      <c r="G491">
        <v>575</v>
      </c>
      <c r="I491">
        <v>25</v>
      </c>
      <c r="J491">
        <v>600</v>
      </c>
      <c r="K491">
        <v>745</v>
      </c>
      <c r="L491">
        <v>780</v>
      </c>
      <c r="M491">
        <v>950</v>
      </c>
      <c r="N491">
        <v>720</v>
      </c>
      <c r="O491">
        <v>835</v>
      </c>
      <c r="P491">
        <v>2290</v>
      </c>
    </row>
    <row r="492" spans="1:16" x14ac:dyDescent="0.25">
      <c r="A492">
        <v>2026</v>
      </c>
      <c r="B492">
        <v>8121</v>
      </c>
      <c r="C492" t="s">
        <v>277</v>
      </c>
      <c r="D492" t="s">
        <v>497</v>
      </c>
      <c r="E492" t="s">
        <v>174</v>
      </c>
      <c r="F492" t="s">
        <v>74</v>
      </c>
      <c r="G492">
        <v>940</v>
      </c>
      <c r="I492">
        <v>25</v>
      </c>
      <c r="J492">
        <v>965</v>
      </c>
      <c r="K492">
        <v>1195</v>
      </c>
      <c r="L492">
        <v>1255</v>
      </c>
      <c r="M492">
        <v>1525</v>
      </c>
      <c r="N492">
        <v>1155</v>
      </c>
      <c r="O492">
        <v>1345</v>
      </c>
      <c r="P492">
        <v>3670</v>
      </c>
    </row>
    <row r="493" spans="1:16" x14ac:dyDescent="0.25">
      <c r="A493">
        <v>2026</v>
      </c>
      <c r="B493">
        <v>8122</v>
      </c>
      <c r="C493" t="s">
        <v>277</v>
      </c>
      <c r="D493" t="s">
        <v>497</v>
      </c>
      <c r="E493" t="s">
        <v>174</v>
      </c>
      <c r="F493" t="s">
        <v>808</v>
      </c>
      <c r="G493">
        <v>1350</v>
      </c>
      <c r="I493">
        <v>25</v>
      </c>
      <c r="J493">
        <v>1375</v>
      </c>
      <c r="K493">
        <v>1705</v>
      </c>
      <c r="L493">
        <v>1790</v>
      </c>
      <c r="M493">
        <v>2175</v>
      </c>
      <c r="N493">
        <v>1650</v>
      </c>
      <c r="O493">
        <v>1920</v>
      </c>
      <c r="P493">
        <v>5220</v>
      </c>
    </row>
    <row r="494" spans="1:16" x14ac:dyDescent="0.25">
      <c r="B494">
        <v>8123</v>
      </c>
      <c r="C494" t="s">
        <v>277</v>
      </c>
      <c r="D494" t="s">
        <v>497</v>
      </c>
      <c r="E494" t="s">
        <v>174</v>
      </c>
      <c r="F494" t="s">
        <v>771</v>
      </c>
      <c r="G494">
        <v>625</v>
      </c>
      <c r="I494">
        <v>25</v>
      </c>
      <c r="J494">
        <v>650</v>
      </c>
      <c r="K494">
        <v>805</v>
      </c>
      <c r="L494">
        <v>845</v>
      </c>
      <c r="M494">
        <v>1025</v>
      </c>
      <c r="N494">
        <v>780</v>
      </c>
      <c r="O494">
        <v>905</v>
      </c>
      <c r="P494">
        <v>2480</v>
      </c>
    </row>
    <row r="495" spans="1:16" x14ac:dyDescent="0.25">
      <c r="B495">
        <v>8321</v>
      </c>
      <c r="C495" t="s">
        <v>277</v>
      </c>
      <c r="D495" t="s">
        <v>497</v>
      </c>
      <c r="F495" t="s">
        <v>97</v>
      </c>
      <c r="G495">
        <v>1250</v>
      </c>
      <c r="I495">
        <v>25</v>
      </c>
      <c r="J495">
        <v>1275</v>
      </c>
      <c r="K495">
        <v>1580</v>
      </c>
      <c r="L495">
        <v>1660</v>
      </c>
      <c r="M495">
        <v>2025</v>
      </c>
      <c r="N495">
        <v>1530</v>
      </c>
      <c r="O495">
        <v>1780</v>
      </c>
      <c r="P495">
        <v>4840</v>
      </c>
    </row>
    <row r="496" spans="1:16" x14ac:dyDescent="0.25">
      <c r="B496">
        <v>9062</v>
      </c>
      <c r="C496" t="s">
        <v>277</v>
      </c>
      <c r="D496" t="s">
        <v>497</v>
      </c>
      <c r="F496" t="s">
        <v>208</v>
      </c>
      <c r="G496">
        <v>1625</v>
      </c>
      <c r="I496">
        <v>25</v>
      </c>
      <c r="J496">
        <v>1650</v>
      </c>
      <c r="K496">
        <v>2040</v>
      </c>
      <c r="L496">
        <v>2145</v>
      </c>
      <c r="M496">
        <v>2600</v>
      </c>
      <c r="N496">
        <v>1975</v>
      </c>
      <c r="O496">
        <v>2300</v>
      </c>
      <c r="P496">
        <v>7030</v>
      </c>
    </row>
    <row r="497" spans="1:16" x14ac:dyDescent="0.25">
      <c r="B497">
        <v>9063</v>
      </c>
      <c r="C497" t="s">
        <v>277</v>
      </c>
      <c r="D497" t="s">
        <v>497</v>
      </c>
      <c r="F497" t="s">
        <v>207</v>
      </c>
      <c r="G497">
        <v>1375</v>
      </c>
      <c r="I497">
        <v>25</v>
      </c>
      <c r="J497">
        <v>1400</v>
      </c>
      <c r="K497">
        <v>1730</v>
      </c>
      <c r="L497">
        <v>1820</v>
      </c>
      <c r="M497">
        <v>2225</v>
      </c>
      <c r="N497">
        <v>1675</v>
      </c>
      <c r="O497">
        <v>1950</v>
      </c>
      <c r="P497">
        <v>5970</v>
      </c>
    </row>
    <row r="498" spans="1:16" x14ac:dyDescent="0.25">
      <c r="B498">
        <v>9065</v>
      </c>
      <c r="C498" t="s">
        <v>277</v>
      </c>
      <c r="D498" t="s">
        <v>497</v>
      </c>
      <c r="F498" t="s">
        <v>206</v>
      </c>
      <c r="G498">
        <v>1460</v>
      </c>
      <c r="I498">
        <v>25</v>
      </c>
      <c r="J498">
        <v>1485</v>
      </c>
      <c r="K498">
        <v>1840</v>
      </c>
      <c r="L498">
        <v>1935</v>
      </c>
      <c r="M498">
        <v>2350</v>
      </c>
      <c r="N498">
        <v>1785</v>
      </c>
      <c r="O498">
        <v>2075</v>
      </c>
      <c r="P498">
        <v>6330</v>
      </c>
    </row>
    <row r="499" spans="1:16" x14ac:dyDescent="0.25">
      <c r="B499">
        <v>9068</v>
      </c>
      <c r="C499" t="s">
        <v>277</v>
      </c>
      <c r="D499" t="s">
        <v>497</v>
      </c>
      <c r="F499" t="s">
        <v>204</v>
      </c>
      <c r="G499">
        <v>1725</v>
      </c>
      <c r="I499">
        <v>25</v>
      </c>
      <c r="J499">
        <v>1750</v>
      </c>
      <c r="K499">
        <v>2165</v>
      </c>
      <c r="L499">
        <v>2275</v>
      </c>
      <c r="M499">
        <v>3100</v>
      </c>
      <c r="N499">
        <v>2095</v>
      </c>
      <c r="O499">
        <v>2435</v>
      </c>
      <c r="P499">
        <v>7450</v>
      </c>
    </row>
    <row r="500" spans="1:16" x14ac:dyDescent="0.25">
      <c r="B500">
        <v>9069</v>
      </c>
      <c r="C500" t="s">
        <v>277</v>
      </c>
      <c r="D500" t="s">
        <v>497</v>
      </c>
      <c r="F500" t="s">
        <v>205</v>
      </c>
      <c r="G500">
        <v>1625</v>
      </c>
      <c r="I500">
        <v>25</v>
      </c>
      <c r="J500">
        <v>1650</v>
      </c>
      <c r="K500">
        <v>2040</v>
      </c>
      <c r="L500">
        <v>2145</v>
      </c>
      <c r="M500">
        <v>2600</v>
      </c>
      <c r="N500">
        <v>1975</v>
      </c>
      <c r="O500">
        <v>2300</v>
      </c>
      <c r="P500">
        <v>7030</v>
      </c>
    </row>
    <row r="501" spans="1:16" x14ac:dyDescent="0.25">
      <c r="B501">
        <v>9071</v>
      </c>
      <c r="C501" t="s">
        <v>277</v>
      </c>
      <c r="D501" t="s">
        <v>497</v>
      </c>
      <c r="F501" t="s">
        <v>294</v>
      </c>
      <c r="G501">
        <v>550</v>
      </c>
      <c r="I501">
        <v>800</v>
      </c>
      <c r="J501">
        <v>1350</v>
      </c>
      <c r="K501">
        <v>1670</v>
      </c>
      <c r="L501">
        <v>1755</v>
      </c>
      <c r="M501">
        <v>2150</v>
      </c>
      <c r="N501">
        <v>1615</v>
      </c>
      <c r="O501">
        <v>1880</v>
      </c>
      <c r="P501">
        <v>2200</v>
      </c>
    </row>
    <row r="502" spans="1:16" x14ac:dyDescent="0.25">
      <c r="A502">
        <v>2025</v>
      </c>
      <c r="B502">
        <v>9072</v>
      </c>
      <c r="C502" t="s">
        <v>277</v>
      </c>
      <c r="D502" t="s">
        <v>497</v>
      </c>
      <c r="E502" t="s">
        <v>574</v>
      </c>
      <c r="F502" t="s">
        <v>644</v>
      </c>
      <c r="G502">
        <v>3800</v>
      </c>
      <c r="I502">
        <v>25</v>
      </c>
      <c r="J502">
        <v>3825</v>
      </c>
      <c r="K502">
        <v>4730</v>
      </c>
      <c r="L502">
        <v>4975</v>
      </c>
      <c r="M502">
        <v>6800</v>
      </c>
      <c r="N502">
        <v>4580</v>
      </c>
      <c r="O502">
        <v>5325</v>
      </c>
      <c r="P502">
        <v>16250</v>
      </c>
    </row>
    <row r="503" spans="1:16" x14ac:dyDescent="0.25">
      <c r="A503">
        <v>2025</v>
      </c>
      <c r="B503">
        <v>9073</v>
      </c>
      <c r="C503" t="s">
        <v>277</v>
      </c>
      <c r="D503" t="s">
        <v>497</v>
      </c>
      <c r="E503" t="s">
        <v>574</v>
      </c>
      <c r="F503" t="s">
        <v>645</v>
      </c>
      <c r="G503">
        <v>3500</v>
      </c>
      <c r="I503">
        <v>25</v>
      </c>
      <c r="J503">
        <v>3525</v>
      </c>
      <c r="K503">
        <v>4360</v>
      </c>
      <c r="L503">
        <v>4585</v>
      </c>
      <c r="M503">
        <v>6250</v>
      </c>
      <c r="N503">
        <v>4220</v>
      </c>
      <c r="O503">
        <v>4910</v>
      </c>
      <c r="P503">
        <v>14980</v>
      </c>
    </row>
    <row r="504" spans="1:16" x14ac:dyDescent="0.25">
      <c r="A504">
        <v>2026</v>
      </c>
      <c r="B504">
        <v>9074</v>
      </c>
      <c r="C504" t="s">
        <v>277</v>
      </c>
      <c r="D504" t="s">
        <v>497</v>
      </c>
      <c r="E504" t="s">
        <v>874</v>
      </c>
      <c r="F504" t="s">
        <v>875</v>
      </c>
      <c r="G504">
        <v>2450</v>
      </c>
      <c r="I504">
        <v>50</v>
      </c>
      <c r="J504">
        <v>2500</v>
      </c>
      <c r="K504">
        <v>3090</v>
      </c>
      <c r="L504">
        <v>3250</v>
      </c>
      <c r="M504">
        <v>4450</v>
      </c>
      <c r="N504">
        <v>2990</v>
      </c>
      <c r="O504">
        <v>3480</v>
      </c>
      <c r="P504">
        <v>10530</v>
      </c>
    </row>
    <row r="505" spans="1:16" x14ac:dyDescent="0.25">
      <c r="A505">
        <v>2026</v>
      </c>
      <c r="B505">
        <v>9075</v>
      </c>
      <c r="C505" t="s">
        <v>277</v>
      </c>
      <c r="D505" t="s">
        <v>497</v>
      </c>
      <c r="E505" t="s">
        <v>874</v>
      </c>
      <c r="F505" t="s">
        <v>876</v>
      </c>
      <c r="G505">
        <v>4250</v>
      </c>
      <c r="I505">
        <v>50</v>
      </c>
      <c r="J505">
        <v>4300</v>
      </c>
      <c r="K505">
        <v>5315</v>
      </c>
      <c r="L505">
        <v>5590</v>
      </c>
      <c r="M505">
        <v>7650</v>
      </c>
      <c r="N505">
        <v>5145</v>
      </c>
      <c r="O505">
        <v>5985</v>
      </c>
      <c r="P505">
        <v>18160</v>
      </c>
    </row>
    <row r="506" spans="1:16" x14ac:dyDescent="0.25">
      <c r="A506">
        <v>2026</v>
      </c>
      <c r="B506">
        <v>9076</v>
      </c>
      <c r="C506" t="s">
        <v>277</v>
      </c>
      <c r="D506" t="s">
        <v>497</v>
      </c>
      <c r="E506" t="s">
        <v>290</v>
      </c>
      <c r="F506" t="s">
        <v>239</v>
      </c>
      <c r="G506">
        <v>1450</v>
      </c>
      <c r="I506">
        <v>25</v>
      </c>
      <c r="J506">
        <v>1475</v>
      </c>
      <c r="K506">
        <v>1825</v>
      </c>
      <c r="L506">
        <v>1920</v>
      </c>
      <c r="M506">
        <v>2325</v>
      </c>
      <c r="N506">
        <v>1770</v>
      </c>
      <c r="O506">
        <v>2055</v>
      </c>
    </row>
    <row r="507" spans="1:16" x14ac:dyDescent="0.25">
      <c r="B507" t="s">
        <v>755</v>
      </c>
      <c r="C507" t="s">
        <v>284</v>
      </c>
      <c r="D507" t="s">
        <v>705</v>
      </c>
      <c r="E507" t="s">
        <v>758</v>
      </c>
      <c r="F507" t="s">
        <v>757</v>
      </c>
      <c r="G507">
        <v>3000</v>
      </c>
      <c r="I507">
        <v>50</v>
      </c>
      <c r="J507">
        <v>3050</v>
      </c>
      <c r="K507">
        <v>3625</v>
      </c>
      <c r="L507">
        <v>3815</v>
      </c>
      <c r="M507">
        <v>6500</v>
      </c>
      <c r="N507">
        <v>3510</v>
      </c>
      <c r="O507">
        <v>4085</v>
      </c>
      <c r="P507">
        <v>12860</v>
      </c>
    </row>
    <row r="508" spans="1:16" x14ac:dyDescent="0.25">
      <c r="B508" t="s">
        <v>760</v>
      </c>
      <c r="C508" t="s">
        <v>284</v>
      </c>
      <c r="D508" t="s">
        <v>705</v>
      </c>
      <c r="E508" t="s">
        <v>758</v>
      </c>
      <c r="F508" t="s">
        <v>759</v>
      </c>
      <c r="G508">
        <v>4500</v>
      </c>
      <c r="I508">
        <v>50</v>
      </c>
      <c r="J508">
        <v>4550</v>
      </c>
      <c r="K508">
        <v>5410</v>
      </c>
      <c r="L508">
        <v>5690</v>
      </c>
      <c r="M508">
        <v>9700</v>
      </c>
      <c r="N508">
        <v>5235</v>
      </c>
      <c r="O508">
        <v>6090</v>
      </c>
      <c r="P508">
        <v>19220</v>
      </c>
    </row>
    <row r="509" spans="1:16" x14ac:dyDescent="0.25">
      <c r="A509">
        <v>2026</v>
      </c>
      <c r="B509" t="s">
        <v>835</v>
      </c>
      <c r="C509" t="s">
        <v>277</v>
      </c>
      <c r="D509" t="s">
        <v>494</v>
      </c>
      <c r="E509" t="s">
        <v>580</v>
      </c>
      <c r="F509" t="s">
        <v>836</v>
      </c>
      <c r="G509">
        <v>67.5</v>
      </c>
      <c r="I509">
        <v>10</v>
      </c>
      <c r="J509">
        <v>77.5</v>
      </c>
      <c r="K509">
        <v>95</v>
      </c>
      <c r="L509">
        <v>100</v>
      </c>
      <c r="M509">
        <v>125</v>
      </c>
      <c r="N509">
        <v>95</v>
      </c>
      <c r="O509">
        <v>110</v>
      </c>
      <c r="P509">
        <v>380</v>
      </c>
    </row>
    <row r="510" spans="1:16" x14ac:dyDescent="0.25">
      <c r="A510">
        <v>2026</v>
      </c>
      <c r="B510" t="s">
        <v>1021</v>
      </c>
      <c r="C510" t="s">
        <v>277</v>
      </c>
      <c r="D510" t="s">
        <v>494</v>
      </c>
      <c r="E510" t="s">
        <v>278</v>
      </c>
      <c r="F510" t="s">
        <v>1022</v>
      </c>
      <c r="G510">
        <v>120</v>
      </c>
      <c r="I510">
        <v>10</v>
      </c>
      <c r="J510">
        <v>130</v>
      </c>
      <c r="K510">
        <v>160</v>
      </c>
      <c r="L510">
        <v>165</v>
      </c>
      <c r="M510">
        <v>225</v>
      </c>
      <c r="N510">
        <v>155</v>
      </c>
      <c r="O510">
        <v>180</v>
      </c>
      <c r="P510">
        <v>580</v>
      </c>
    </row>
    <row r="511" spans="1:16" x14ac:dyDescent="0.25">
      <c r="A511">
        <v>2026</v>
      </c>
      <c r="B511" t="s">
        <v>805</v>
      </c>
      <c r="C511" t="s">
        <v>277</v>
      </c>
      <c r="D511" t="s">
        <v>494</v>
      </c>
      <c r="E511" t="s">
        <v>278</v>
      </c>
      <c r="F511" t="s">
        <v>38</v>
      </c>
      <c r="G511">
        <v>120</v>
      </c>
      <c r="I511">
        <v>10</v>
      </c>
      <c r="J511">
        <v>130</v>
      </c>
      <c r="K511">
        <v>160</v>
      </c>
      <c r="L511">
        <v>165</v>
      </c>
      <c r="M511">
        <v>225</v>
      </c>
      <c r="N511">
        <v>155</v>
      </c>
      <c r="O511">
        <v>180</v>
      </c>
      <c r="P511">
        <v>580</v>
      </c>
    </row>
    <row r="512" spans="1:16" x14ac:dyDescent="0.25">
      <c r="B512">
        <v>181</v>
      </c>
      <c r="C512" t="s">
        <v>171</v>
      </c>
      <c r="D512" t="s">
        <v>167</v>
      </c>
      <c r="F512" t="s">
        <v>256</v>
      </c>
      <c r="G512">
        <v>230</v>
      </c>
      <c r="I512">
        <v>30</v>
      </c>
      <c r="J512">
        <v>260</v>
      </c>
      <c r="K512">
        <v>310</v>
      </c>
      <c r="L512">
        <v>325</v>
      </c>
      <c r="M512">
        <v>425</v>
      </c>
      <c r="N512">
        <v>300</v>
      </c>
      <c r="O512">
        <v>350</v>
      </c>
      <c r="P512">
        <v>990</v>
      </c>
    </row>
    <row r="513" spans="1:16" x14ac:dyDescent="0.25">
      <c r="B513">
        <v>452</v>
      </c>
      <c r="C513" t="s">
        <v>171</v>
      </c>
      <c r="D513" t="s">
        <v>495</v>
      </c>
      <c r="F513" t="s">
        <v>296</v>
      </c>
      <c r="G513">
        <v>162</v>
      </c>
      <c r="I513">
        <v>10</v>
      </c>
      <c r="J513">
        <v>172</v>
      </c>
      <c r="K513">
        <v>205</v>
      </c>
      <c r="L513">
        <v>215</v>
      </c>
      <c r="M513">
        <v>275</v>
      </c>
      <c r="N513">
        <v>200</v>
      </c>
      <c r="O513">
        <v>235</v>
      </c>
      <c r="P513">
        <v>740</v>
      </c>
    </row>
    <row r="514" spans="1:16" x14ac:dyDescent="0.25">
      <c r="B514">
        <v>455</v>
      </c>
      <c r="C514" t="s">
        <v>171</v>
      </c>
      <c r="D514" t="s">
        <v>495</v>
      </c>
      <c r="E514" t="s">
        <v>225</v>
      </c>
      <c r="F514" t="s">
        <v>215</v>
      </c>
      <c r="G514">
        <v>170</v>
      </c>
      <c r="I514">
        <v>10</v>
      </c>
      <c r="J514">
        <v>180</v>
      </c>
      <c r="K514">
        <v>215</v>
      </c>
      <c r="L514">
        <v>225</v>
      </c>
      <c r="M514">
        <v>300</v>
      </c>
      <c r="N514">
        <v>210</v>
      </c>
      <c r="O514">
        <v>245</v>
      </c>
      <c r="P514">
        <v>770</v>
      </c>
    </row>
    <row r="515" spans="1:16" x14ac:dyDescent="0.25">
      <c r="B515">
        <v>466</v>
      </c>
      <c r="C515" t="s">
        <v>171</v>
      </c>
      <c r="D515" t="s">
        <v>495</v>
      </c>
      <c r="E515" t="s">
        <v>663</v>
      </c>
      <c r="F515" t="s">
        <v>664</v>
      </c>
      <c r="G515">
        <v>225</v>
      </c>
      <c r="I515">
        <v>10</v>
      </c>
      <c r="J515">
        <v>235</v>
      </c>
      <c r="K515">
        <v>285</v>
      </c>
      <c r="L515">
        <v>295</v>
      </c>
      <c r="M515">
        <v>375</v>
      </c>
      <c r="N515">
        <v>275</v>
      </c>
      <c r="O515">
        <v>320</v>
      </c>
      <c r="P515">
        <v>970</v>
      </c>
    </row>
    <row r="516" spans="1:16" x14ac:dyDescent="0.25">
      <c r="A516">
        <v>2025</v>
      </c>
      <c r="B516">
        <v>501</v>
      </c>
      <c r="C516" t="s">
        <v>171</v>
      </c>
      <c r="D516" t="s">
        <v>494</v>
      </c>
      <c r="E516" t="s">
        <v>249</v>
      </c>
      <c r="F516" t="s">
        <v>440</v>
      </c>
      <c r="G516">
        <v>173</v>
      </c>
      <c r="I516">
        <v>65</v>
      </c>
      <c r="J516">
        <v>238</v>
      </c>
      <c r="K516">
        <v>285</v>
      </c>
      <c r="L516">
        <v>300</v>
      </c>
      <c r="M516">
        <v>375</v>
      </c>
      <c r="N516">
        <v>280</v>
      </c>
      <c r="O516">
        <v>325</v>
      </c>
      <c r="P516">
        <v>780</v>
      </c>
    </row>
    <row r="517" spans="1:16" x14ac:dyDescent="0.25">
      <c r="A517">
        <v>2026</v>
      </c>
      <c r="B517">
        <v>502</v>
      </c>
      <c r="C517" t="s">
        <v>171</v>
      </c>
      <c r="D517" t="s">
        <v>494</v>
      </c>
      <c r="E517" t="s">
        <v>864</v>
      </c>
      <c r="F517" t="s">
        <v>866</v>
      </c>
      <c r="G517">
        <v>217</v>
      </c>
      <c r="H517">
        <v>8</v>
      </c>
      <c r="I517">
        <v>15</v>
      </c>
      <c r="J517">
        <v>240</v>
      </c>
      <c r="K517">
        <v>285</v>
      </c>
      <c r="L517">
        <v>300</v>
      </c>
      <c r="M517">
        <v>400</v>
      </c>
      <c r="N517">
        <v>280</v>
      </c>
      <c r="O517">
        <v>325</v>
      </c>
      <c r="P517">
        <v>940</v>
      </c>
    </row>
    <row r="518" spans="1:16" x14ac:dyDescent="0.25">
      <c r="B518">
        <v>503</v>
      </c>
      <c r="C518" t="s">
        <v>171</v>
      </c>
      <c r="D518" t="s">
        <v>494</v>
      </c>
      <c r="E518" t="s">
        <v>251</v>
      </c>
      <c r="F518" t="s">
        <v>252</v>
      </c>
      <c r="G518">
        <v>220</v>
      </c>
      <c r="I518">
        <v>12</v>
      </c>
      <c r="J518">
        <v>232</v>
      </c>
      <c r="K518">
        <v>280</v>
      </c>
      <c r="L518">
        <v>290</v>
      </c>
      <c r="M518">
        <v>375</v>
      </c>
      <c r="N518">
        <v>270</v>
      </c>
      <c r="O518">
        <v>315</v>
      </c>
      <c r="P518">
        <v>960</v>
      </c>
    </row>
    <row r="519" spans="1:16" x14ac:dyDescent="0.25">
      <c r="A519">
        <v>2026</v>
      </c>
      <c r="B519">
        <v>504</v>
      </c>
      <c r="C519" t="s">
        <v>171</v>
      </c>
      <c r="D519" t="s">
        <v>494</v>
      </c>
      <c r="E519" t="s">
        <v>864</v>
      </c>
      <c r="F519" t="s">
        <v>867</v>
      </c>
      <c r="G519">
        <v>197</v>
      </c>
      <c r="H519">
        <v>8</v>
      </c>
      <c r="I519">
        <v>15</v>
      </c>
      <c r="J519">
        <v>220</v>
      </c>
      <c r="K519">
        <v>265</v>
      </c>
      <c r="L519">
        <v>275</v>
      </c>
      <c r="M519">
        <v>350</v>
      </c>
      <c r="N519">
        <v>255</v>
      </c>
      <c r="O519">
        <v>295</v>
      </c>
      <c r="P519">
        <v>870</v>
      </c>
    </row>
    <row r="520" spans="1:16" x14ac:dyDescent="0.25">
      <c r="B520">
        <v>505</v>
      </c>
      <c r="C520" t="s">
        <v>171</v>
      </c>
      <c r="D520" t="s">
        <v>494</v>
      </c>
      <c r="E520" t="s">
        <v>249</v>
      </c>
      <c r="F520" t="s">
        <v>254</v>
      </c>
      <c r="G520">
        <v>140</v>
      </c>
      <c r="I520">
        <v>37</v>
      </c>
      <c r="J520">
        <v>177</v>
      </c>
      <c r="K520">
        <v>215</v>
      </c>
      <c r="L520">
        <v>225</v>
      </c>
      <c r="M520">
        <v>300</v>
      </c>
      <c r="N520">
        <v>210</v>
      </c>
      <c r="O520">
        <v>245</v>
      </c>
      <c r="P520">
        <v>650</v>
      </c>
    </row>
    <row r="521" spans="1:16" x14ac:dyDescent="0.25">
      <c r="B521">
        <v>506</v>
      </c>
      <c r="C521" t="s">
        <v>171</v>
      </c>
      <c r="D521" t="s">
        <v>494</v>
      </c>
      <c r="F521" t="s">
        <v>100</v>
      </c>
      <c r="G521">
        <v>170</v>
      </c>
      <c r="I521">
        <v>205</v>
      </c>
      <c r="J521">
        <v>375</v>
      </c>
      <c r="K521">
        <v>450</v>
      </c>
      <c r="L521">
        <v>470</v>
      </c>
      <c r="M521">
        <v>600</v>
      </c>
      <c r="N521">
        <v>435</v>
      </c>
      <c r="O521">
        <v>505</v>
      </c>
      <c r="P521">
        <v>770</v>
      </c>
    </row>
    <row r="522" spans="1:16" x14ac:dyDescent="0.25">
      <c r="A522">
        <v>2025</v>
      </c>
      <c r="B522">
        <v>507</v>
      </c>
      <c r="C522" t="s">
        <v>171</v>
      </c>
      <c r="D522" t="s">
        <v>494</v>
      </c>
      <c r="E522" t="s">
        <v>460</v>
      </c>
      <c r="F522" t="s">
        <v>551</v>
      </c>
      <c r="G522">
        <v>150</v>
      </c>
      <c r="H522">
        <v>10</v>
      </c>
      <c r="I522">
        <v>140</v>
      </c>
      <c r="J522">
        <v>300</v>
      </c>
      <c r="K522">
        <v>360</v>
      </c>
      <c r="L522">
        <v>375</v>
      </c>
      <c r="M522">
        <v>475</v>
      </c>
      <c r="N522">
        <v>345</v>
      </c>
      <c r="O522">
        <v>405</v>
      </c>
      <c r="P522">
        <v>690</v>
      </c>
    </row>
    <row r="523" spans="1:16" x14ac:dyDescent="0.25">
      <c r="A523">
        <v>2025</v>
      </c>
      <c r="B523">
        <v>508</v>
      </c>
      <c r="C523" t="s">
        <v>171</v>
      </c>
      <c r="D523" t="s">
        <v>494</v>
      </c>
      <c r="F523" t="s">
        <v>49</v>
      </c>
      <c r="G523">
        <v>160</v>
      </c>
      <c r="I523">
        <v>12</v>
      </c>
      <c r="J523">
        <v>172</v>
      </c>
      <c r="K523">
        <v>205</v>
      </c>
      <c r="L523">
        <v>215</v>
      </c>
      <c r="M523">
        <v>275</v>
      </c>
      <c r="N523">
        <v>200</v>
      </c>
      <c r="O523">
        <v>235</v>
      </c>
      <c r="P523">
        <v>730</v>
      </c>
    </row>
    <row r="524" spans="1:16" x14ac:dyDescent="0.25">
      <c r="A524">
        <v>2026</v>
      </c>
      <c r="B524">
        <v>509</v>
      </c>
      <c r="C524" t="s">
        <v>171</v>
      </c>
      <c r="D524" t="s">
        <v>494</v>
      </c>
      <c r="E524" t="s">
        <v>864</v>
      </c>
      <c r="F524" t="s">
        <v>997</v>
      </c>
      <c r="G524">
        <v>182</v>
      </c>
      <c r="H524">
        <v>8</v>
      </c>
      <c r="I524">
        <v>15</v>
      </c>
      <c r="J524">
        <v>205</v>
      </c>
      <c r="K524">
        <v>250</v>
      </c>
      <c r="L524">
        <v>260</v>
      </c>
      <c r="M524">
        <v>325</v>
      </c>
      <c r="N524">
        <v>240</v>
      </c>
      <c r="O524">
        <v>280</v>
      </c>
      <c r="P524">
        <v>810</v>
      </c>
    </row>
    <row r="525" spans="1:16" x14ac:dyDescent="0.25">
      <c r="A525">
        <v>2026</v>
      </c>
      <c r="B525">
        <v>510</v>
      </c>
      <c r="C525" t="s">
        <v>171</v>
      </c>
      <c r="D525" t="s">
        <v>494</v>
      </c>
      <c r="E525" t="s">
        <v>237</v>
      </c>
      <c r="F525" t="s">
        <v>46</v>
      </c>
      <c r="G525">
        <v>165</v>
      </c>
      <c r="I525">
        <v>15</v>
      </c>
      <c r="J525">
        <v>180</v>
      </c>
      <c r="K525">
        <v>215</v>
      </c>
      <c r="L525">
        <v>225</v>
      </c>
      <c r="M525">
        <v>300</v>
      </c>
      <c r="N525">
        <v>210</v>
      </c>
      <c r="O525">
        <v>245</v>
      </c>
      <c r="P525">
        <v>750</v>
      </c>
    </row>
    <row r="526" spans="1:16" x14ac:dyDescent="0.25">
      <c r="B526">
        <v>512</v>
      </c>
      <c r="C526" t="s">
        <v>171</v>
      </c>
      <c r="D526" t="s">
        <v>494</v>
      </c>
      <c r="E526" t="s">
        <v>278</v>
      </c>
      <c r="F526" t="s">
        <v>295</v>
      </c>
      <c r="G526">
        <v>375</v>
      </c>
      <c r="I526">
        <v>12</v>
      </c>
      <c r="J526">
        <v>387</v>
      </c>
      <c r="K526">
        <v>465</v>
      </c>
      <c r="L526">
        <v>485</v>
      </c>
      <c r="M526">
        <v>625</v>
      </c>
      <c r="N526">
        <v>450</v>
      </c>
      <c r="O526">
        <v>520</v>
      </c>
      <c r="P526">
        <v>1540</v>
      </c>
    </row>
    <row r="527" spans="1:16" x14ac:dyDescent="0.25">
      <c r="B527">
        <v>515</v>
      </c>
      <c r="C527" t="s">
        <v>171</v>
      </c>
      <c r="D527" t="s">
        <v>494</v>
      </c>
      <c r="E527" t="s">
        <v>160</v>
      </c>
      <c r="F527" t="s">
        <v>159</v>
      </c>
      <c r="G527">
        <v>145</v>
      </c>
      <c r="I527">
        <v>12</v>
      </c>
      <c r="J527">
        <v>157</v>
      </c>
      <c r="K527">
        <v>190</v>
      </c>
      <c r="L527">
        <v>200</v>
      </c>
      <c r="M527">
        <v>250</v>
      </c>
      <c r="N527">
        <v>185</v>
      </c>
      <c r="O527">
        <v>215</v>
      </c>
      <c r="P527">
        <v>670</v>
      </c>
    </row>
    <row r="528" spans="1:16" x14ac:dyDescent="0.25">
      <c r="A528">
        <v>2026</v>
      </c>
      <c r="B528">
        <v>516</v>
      </c>
      <c r="C528" t="s">
        <v>171</v>
      </c>
      <c r="D528" t="s">
        <v>494</v>
      </c>
      <c r="E528" t="s">
        <v>864</v>
      </c>
      <c r="F528" t="s">
        <v>890</v>
      </c>
      <c r="G528">
        <v>232</v>
      </c>
      <c r="H528">
        <v>8</v>
      </c>
      <c r="I528">
        <v>15</v>
      </c>
      <c r="J528">
        <v>255</v>
      </c>
      <c r="K528">
        <v>305</v>
      </c>
      <c r="L528">
        <v>320</v>
      </c>
      <c r="M528">
        <v>425</v>
      </c>
      <c r="N528">
        <v>295</v>
      </c>
      <c r="O528">
        <v>345</v>
      </c>
      <c r="P528">
        <v>1000</v>
      </c>
    </row>
    <row r="529" spans="1:16" x14ac:dyDescent="0.25">
      <c r="B529">
        <v>520</v>
      </c>
      <c r="C529" t="s">
        <v>171</v>
      </c>
      <c r="D529" t="s">
        <v>494</v>
      </c>
      <c r="E529" t="s">
        <v>80</v>
      </c>
      <c r="F529" t="s">
        <v>170</v>
      </c>
      <c r="G529">
        <v>270</v>
      </c>
      <c r="I529">
        <v>12</v>
      </c>
      <c r="J529">
        <v>282</v>
      </c>
      <c r="K529">
        <v>340</v>
      </c>
      <c r="L529">
        <v>355</v>
      </c>
      <c r="M529">
        <v>450</v>
      </c>
      <c r="N529">
        <v>330</v>
      </c>
      <c r="O529">
        <v>380</v>
      </c>
      <c r="P529">
        <v>1140</v>
      </c>
    </row>
    <row r="530" spans="1:16" x14ac:dyDescent="0.25">
      <c r="A530">
        <v>2026</v>
      </c>
      <c r="B530">
        <v>522</v>
      </c>
      <c r="C530" t="s">
        <v>171</v>
      </c>
      <c r="D530" t="s">
        <v>494</v>
      </c>
      <c r="E530" t="s">
        <v>673</v>
      </c>
      <c r="F530" t="s">
        <v>840</v>
      </c>
      <c r="G530">
        <v>195</v>
      </c>
      <c r="I530">
        <v>15</v>
      </c>
      <c r="J530">
        <v>210</v>
      </c>
      <c r="K530">
        <v>255</v>
      </c>
      <c r="L530">
        <v>265</v>
      </c>
      <c r="M530">
        <v>350</v>
      </c>
      <c r="N530">
        <v>245</v>
      </c>
      <c r="O530">
        <v>285</v>
      </c>
      <c r="P530">
        <v>860</v>
      </c>
    </row>
    <row r="531" spans="1:16" x14ac:dyDescent="0.25">
      <c r="A531">
        <v>2025</v>
      </c>
      <c r="B531">
        <v>523</v>
      </c>
      <c r="C531" t="s">
        <v>171</v>
      </c>
      <c r="D531" t="s">
        <v>494</v>
      </c>
      <c r="E531" t="s">
        <v>673</v>
      </c>
      <c r="F531" t="s">
        <v>685</v>
      </c>
      <c r="G531">
        <v>310</v>
      </c>
      <c r="I531">
        <v>12</v>
      </c>
      <c r="J531">
        <v>322</v>
      </c>
      <c r="K531">
        <v>385</v>
      </c>
      <c r="L531">
        <v>405</v>
      </c>
      <c r="M531">
        <v>525</v>
      </c>
      <c r="N531">
        <v>375</v>
      </c>
      <c r="O531">
        <v>435</v>
      </c>
      <c r="P531">
        <v>1300</v>
      </c>
    </row>
    <row r="532" spans="1:16" x14ac:dyDescent="0.25">
      <c r="A532">
        <v>2026</v>
      </c>
      <c r="B532">
        <v>524</v>
      </c>
      <c r="C532" t="s">
        <v>171</v>
      </c>
      <c r="D532" t="s">
        <v>494</v>
      </c>
      <c r="E532" t="s">
        <v>673</v>
      </c>
      <c r="F532" t="s">
        <v>842</v>
      </c>
      <c r="G532">
        <v>390</v>
      </c>
      <c r="I532">
        <v>12</v>
      </c>
      <c r="J532">
        <v>402</v>
      </c>
      <c r="K532">
        <v>480</v>
      </c>
      <c r="L532">
        <v>505</v>
      </c>
      <c r="M532">
        <v>650</v>
      </c>
      <c r="N532">
        <v>465</v>
      </c>
      <c r="O532">
        <v>545</v>
      </c>
      <c r="P532">
        <v>1600</v>
      </c>
    </row>
    <row r="533" spans="1:16" x14ac:dyDescent="0.25">
      <c r="A533">
        <v>2026</v>
      </c>
      <c r="B533">
        <v>527</v>
      </c>
      <c r="C533" t="s">
        <v>171</v>
      </c>
      <c r="D533" t="s">
        <v>494</v>
      </c>
      <c r="E533" t="s">
        <v>191</v>
      </c>
      <c r="F533" t="s">
        <v>909</v>
      </c>
      <c r="G533">
        <v>165</v>
      </c>
      <c r="I533">
        <v>197</v>
      </c>
      <c r="J533">
        <v>362</v>
      </c>
      <c r="K533">
        <v>435</v>
      </c>
      <c r="L533">
        <v>455</v>
      </c>
      <c r="M533">
        <v>575</v>
      </c>
      <c r="N533">
        <v>425</v>
      </c>
      <c r="O533">
        <v>490</v>
      </c>
      <c r="P533">
        <v>750</v>
      </c>
    </row>
    <row r="534" spans="1:16" x14ac:dyDescent="0.25">
      <c r="A534">
        <v>2025</v>
      </c>
      <c r="B534">
        <v>529</v>
      </c>
      <c r="C534" t="s">
        <v>171</v>
      </c>
      <c r="D534" t="s">
        <v>494</v>
      </c>
      <c r="E534" t="s">
        <v>191</v>
      </c>
      <c r="F534" t="s">
        <v>537</v>
      </c>
      <c r="G534">
        <v>150</v>
      </c>
      <c r="H534">
        <v>5</v>
      </c>
      <c r="I534">
        <v>215</v>
      </c>
      <c r="J534">
        <v>370</v>
      </c>
      <c r="K534">
        <v>445</v>
      </c>
      <c r="L534">
        <v>465</v>
      </c>
      <c r="M534">
        <v>600</v>
      </c>
      <c r="N534">
        <v>430</v>
      </c>
      <c r="O534">
        <v>500</v>
      </c>
      <c r="P534">
        <v>690</v>
      </c>
    </row>
    <row r="535" spans="1:16" x14ac:dyDescent="0.25">
      <c r="B535">
        <v>530</v>
      </c>
      <c r="C535" t="s">
        <v>171</v>
      </c>
      <c r="D535" t="s">
        <v>494</v>
      </c>
      <c r="E535" t="s">
        <v>235</v>
      </c>
      <c r="F535" t="s">
        <v>248</v>
      </c>
      <c r="G535">
        <v>150</v>
      </c>
      <c r="H535">
        <v>5</v>
      </c>
      <c r="I535">
        <v>12</v>
      </c>
      <c r="J535">
        <v>167</v>
      </c>
      <c r="K535">
        <v>200</v>
      </c>
      <c r="L535">
        <v>210</v>
      </c>
      <c r="M535">
        <v>275</v>
      </c>
      <c r="N535">
        <v>195</v>
      </c>
      <c r="O535">
        <v>225</v>
      </c>
      <c r="P535">
        <v>690</v>
      </c>
    </row>
    <row r="536" spans="1:16" x14ac:dyDescent="0.25">
      <c r="B536">
        <v>533</v>
      </c>
      <c r="C536" t="s">
        <v>171</v>
      </c>
      <c r="D536" t="s">
        <v>494</v>
      </c>
      <c r="F536" t="s">
        <v>43</v>
      </c>
      <c r="G536">
        <v>90</v>
      </c>
      <c r="I536">
        <v>10</v>
      </c>
      <c r="J536">
        <v>100</v>
      </c>
      <c r="K536">
        <v>120</v>
      </c>
      <c r="L536">
        <v>125</v>
      </c>
      <c r="M536">
        <v>175</v>
      </c>
      <c r="N536">
        <v>115</v>
      </c>
      <c r="O536">
        <v>135</v>
      </c>
      <c r="P536">
        <v>470</v>
      </c>
    </row>
    <row r="537" spans="1:16" x14ac:dyDescent="0.25">
      <c r="A537">
        <v>2026</v>
      </c>
      <c r="B537">
        <v>535</v>
      </c>
      <c r="C537" t="s">
        <v>171</v>
      </c>
      <c r="D537" t="s">
        <v>494</v>
      </c>
      <c r="E537" t="s">
        <v>195</v>
      </c>
      <c r="F537" t="s">
        <v>194</v>
      </c>
      <c r="G537">
        <v>205</v>
      </c>
      <c r="I537">
        <v>15</v>
      </c>
      <c r="J537">
        <v>220</v>
      </c>
      <c r="K537">
        <v>265</v>
      </c>
      <c r="L537">
        <v>275</v>
      </c>
      <c r="M537">
        <v>350</v>
      </c>
      <c r="N537">
        <v>255</v>
      </c>
      <c r="O537">
        <v>295</v>
      </c>
      <c r="P537">
        <v>900</v>
      </c>
    </row>
    <row r="538" spans="1:16" x14ac:dyDescent="0.25">
      <c r="B538">
        <v>536</v>
      </c>
      <c r="C538" t="s">
        <v>171</v>
      </c>
      <c r="D538" t="s">
        <v>494</v>
      </c>
      <c r="E538" t="s">
        <v>195</v>
      </c>
      <c r="F538" t="s">
        <v>196</v>
      </c>
      <c r="G538">
        <v>215</v>
      </c>
      <c r="I538">
        <v>15</v>
      </c>
      <c r="J538">
        <v>230</v>
      </c>
      <c r="K538">
        <v>280</v>
      </c>
      <c r="L538">
        <v>290</v>
      </c>
      <c r="M538">
        <v>375</v>
      </c>
      <c r="N538">
        <v>270</v>
      </c>
      <c r="O538">
        <v>315</v>
      </c>
      <c r="P538">
        <v>940</v>
      </c>
    </row>
    <row r="539" spans="1:16" x14ac:dyDescent="0.25">
      <c r="A539">
        <v>2026</v>
      </c>
      <c r="B539">
        <v>537</v>
      </c>
      <c r="C539" t="s">
        <v>171</v>
      </c>
      <c r="D539" t="s">
        <v>494</v>
      </c>
      <c r="E539" t="s">
        <v>249</v>
      </c>
      <c r="F539" t="s">
        <v>62</v>
      </c>
      <c r="G539">
        <v>155</v>
      </c>
      <c r="I539">
        <v>12</v>
      </c>
      <c r="J539">
        <v>167</v>
      </c>
      <c r="K539">
        <v>200</v>
      </c>
      <c r="L539">
        <v>210</v>
      </c>
      <c r="M539">
        <v>275</v>
      </c>
      <c r="N539">
        <v>195</v>
      </c>
      <c r="O539">
        <v>225</v>
      </c>
      <c r="P539">
        <v>710</v>
      </c>
    </row>
    <row r="540" spans="1:16" x14ac:dyDescent="0.25">
      <c r="A540">
        <v>2025</v>
      </c>
      <c r="B540">
        <v>538</v>
      </c>
      <c r="C540" t="s">
        <v>171</v>
      </c>
      <c r="D540" t="s">
        <v>494</v>
      </c>
      <c r="E540" t="s">
        <v>249</v>
      </c>
      <c r="F540" t="s">
        <v>428</v>
      </c>
      <c r="G540">
        <v>138</v>
      </c>
      <c r="I540">
        <v>12</v>
      </c>
      <c r="J540">
        <v>150</v>
      </c>
      <c r="K540">
        <v>185</v>
      </c>
      <c r="L540">
        <v>190</v>
      </c>
      <c r="M540">
        <v>250</v>
      </c>
      <c r="N540">
        <v>175</v>
      </c>
      <c r="O540">
        <v>205</v>
      </c>
      <c r="P540">
        <v>650</v>
      </c>
    </row>
    <row r="541" spans="1:16" x14ac:dyDescent="0.25">
      <c r="A541">
        <v>2026</v>
      </c>
      <c r="B541">
        <v>539</v>
      </c>
      <c r="C541" t="s">
        <v>171</v>
      </c>
      <c r="D541" t="s">
        <v>494</v>
      </c>
      <c r="E541" t="s">
        <v>249</v>
      </c>
      <c r="F541" t="s">
        <v>255</v>
      </c>
      <c r="G541">
        <v>160</v>
      </c>
      <c r="I541">
        <v>12</v>
      </c>
      <c r="J541">
        <v>172</v>
      </c>
      <c r="K541">
        <v>205</v>
      </c>
      <c r="L541">
        <v>215</v>
      </c>
      <c r="M541">
        <v>275</v>
      </c>
      <c r="N541">
        <v>200</v>
      </c>
      <c r="O541">
        <v>235</v>
      </c>
      <c r="P541">
        <v>730</v>
      </c>
    </row>
    <row r="542" spans="1:16" x14ac:dyDescent="0.25">
      <c r="A542">
        <v>2026</v>
      </c>
      <c r="B542">
        <v>551</v>
      </c>
      <c r="C542" t="s">
        <v>171</v>
      </c>
      <c r="D542" t="s">
        <v>494</v>
      </c>
      <c r="F542" t="s">
        <v>22</v>
      </c>
      <c r="G542">
        <v>165</v>
      </c>
      <c r="I542">
        <v>15</v>
      </c>
      <c r="J542">
        <v>180</v>
      </c>
      <c r="K542">
        <v>215</v>
      </c>
      <c r="L542">
        <v>225</v>
      </c>
      <c r="M542">
        <v>300</v>
      </c>
      <c r="N542">
        <v>210</v>
      </c>
      <c r="O542">
        <v>245</v>
      </c>
      <c r="P542">
        <v>750</v>
      </c>
    </row>
    <row r="543" spans="1:16" x14ac:dyDescent="0.25">
      <c r="A543">
        <v>2026</v>
      </c>
      <c r="B543">
        <v>552</v>
      </c>
      <c r="C543" t="s">
        <v>171</v>
      </c>
      <c r="D543" t="s">
        <v>494</v>
      </c>
      <c r="E543" t="s">
        <v>313</v>
      </c>
      <c r="F543" t="s">
        <v>871</v>
      </c>
      <c r="G543">
        <v>140</v>
      </c>
      <c r="I543">
        <v>30</v>
      </c>
      <c r="J543">
        <v>170</v>
      </c>
      <c r="K543">
        <v>205</v>
      </c>
      <c r="L543">
        <v>215</v>
      </c>
      <c r="M543">
        <v>275</v>
      </c>
      <c r="N543">
        <v>200</v>
      </c>
      <c r="O543">
        <v>235</v>
      </c>
      <c r="P543">
        <v>650</v>
      </c>
    </row>
    <row r="544" spans="1:16" x14ac:dyDescent="0.25">
      <c r="A544">
        <v>2026</v>
      </c>
      <c r="B544">
        <v>554</v>
      </c>
      <c r="C544" t="s">
        <v>171</v>
      </c>
      <c r="D544" t="s">
        <v>494</v>
      </c>
      <c r="E544" t="s">
        <v>919</v>
      </c>
      <c r="F544" t="s">
        <v>920</v>
      </c>
      <c r="G544">
        <v>212</v>
      </c>
      <c r="H544">
        <v>8</v>
      </c>
      <c r="I544">
        <v>15</v>
      </c>
      <c r="J544">
        <v>235</v>
      </c>
      <c r="K544">
        <v>285</v>
      </c>
      <c r="L544">
        <v>295</v>
      </c>
      <c r="M544">
        <v>375</v>
      </c>
      <c r="N544">
        <v>275</v>
      </c>
      <c r="O544">
        <v>320</v>
      </c>
      <c r="P544">
        <v>930</v>
      </c>
    </row>
    <row r="545" spans="1:16" x14ac:dyDescent="0.25">
      <c r="A545">
        <v>2026</v>
      </c>
      <c r="B545">
        <v>556</v>
      </c>
      <c r="C545" t="s">
        <v>171</v>
      </c>
      <c r="D545" t="s">
        <v>494</v>
      </c>
      <c r="E545" t="s">
        <v>191</v>
      </c>
      <c r="F545" t="s">
        <v>908</v>
      </c>
      <c r="G545">
        <v>165</v>
      </c>
      <c r="I545">
        <v>245</v>
      </c>
      <c r="J545">
        <v>410</v>
      </c>
      <c r="K545">
        <v>490</v>
      </c>
      <c r="L545">
        <v>515</v>
      </c>
      <c r="M545">
        <v>650</v>
      </c>
      <c r="N545">
        <v>475</v>
      </c>
      <c r="O545">
        <v>555</v>
      </c>
      <c r="P545">
        <v>750</v>
      </c>
    </row>
    <row r="546" spans="1:16" x14ac:dyDescent="0.25">
      <c r="A546">
        <v>2025</v>
      </c>
      <c r="B546">
        <v>557</v>
      </c>
      <c r="C546" t="s">
        <v>171</v>
      </c>
      <c r="D546" t="s">
        <v>494</v>
      </c>
      <c r="F546" t="s">
        <v>192</v>
      </c>
      <c r="G546">
        <v>150</v>
      </c>
      <c r="H546">
        <v>5</v>
      </c>
      <c r="I546">
        <v>190</v>
      </c>
      <c r="J546">
        <v>345</v>
      </c>
      <c r="K546">
        <v>415</v>
      </c>
      <c r="L546">
        <v>435</v>
      </c>
      <c r="M546">
        <v>550</v>
      </c>
      <c r="N546">
        <v>405</v>
      </c>
      <c r="O546">
        <v>470</v>
      </c>
      <c r="P546">
        <v>690</v>
      </c>
    </row>
    <row r="547" spans="1:16" x14ac:dyDescent="0.25">
      <c r="A547">
        <v>2025</v>
      </c>
      <c r="B547">
        <v>558</v>
      </c>
      <c r="C547" t="s">
        <v>171</v>
      </c>
      <c r="D547" t="s">
        <v>494</v>
      </c>
      <c r="E547" t="s">
        <v>460</v>
      </c>
      <c r="F547" t="s">
        <v>479</v>
      </c>
      <c r="G547">
        <v>150</v>
      </c>
      <c r="H547">
        <v>5</v>
      </c>
      <c r="I547">
        <v>200</v>
      </c>
      <c r="J547">
        <v>355</v>
      </c>
      <c r="K547">
        <v>425</v>
      </c>
      <c r="L547">
        <v>445</v>
      </c>
      <c r="M547">
        <v>575</v>
      </c>
      <c r="N547">
        <v>410</v>
      </c>
      <c r="O547">
        <v>480</v>
      </c>
      <c r="P547">
        <v>690</v>
      </c>
    </row>
    <row r="548" spans="1:16" x14ac:dyDescent="0.25">
      <c r="B548">
        <v>560</v>
      </c>
      <c r="C548" t="s">
        <v>171</v>
      </c>
      <c r="D548" t="s">
        <v>494</v>
      </c>
      <c r="F548" t="s">
        <v>59</v>
      </c>
      <c r="G548">
        <v>145</v>
      </c>
      <c r="I548">
        <v>54</v>
      </c>
      <c r="J548">
        <v>199</v>
      </c>
      <c r="K548">
        <v>240</v>
      </c>
      <c r="L548">
        <v>250</v>
      </c>
      <c r="M548">
        <v>325</v>
      </c>
      <c r="N548">
        <v>230</v>
      </c>
      <c r="O548">
        <v>270</v>
      </c>
      <c r="P548">
        <v>670</v>
      </c>
    </row>
    <row r="549" spans="1:16" x14ac:dyDescent="0.25">
      <c r="A549">
        <v>2025</v>
      </c>
      <c r="B549">
        <v>561</v>
      </c>
      <c r="C549" t="s">
        <v>171</v>
      </c>
      <c r="D549" t="s">
        <v>494</v>
      </c>
      <c r="E549" t="s">
        <v>197</v>
      </c>
      <c r="F549" t="s">
        <v>613</v>
      </c>
      <c r="G549">
        <v>160</v>
      </c>
      <c r="I549">
        <v>285</v>
      </c>
      <c r="J549">
        <v>445</v>
      </c>
      <c r="K549">
        <v>535</v>
      </c>
      <c r="L549">
        <v>560</v>
      </c>
      <c r="M549">
        <v>725</v>
      </c>
      <c r="N549">
        <v>520</v>
      </c>
      <c r="O549">
        <v>600</v>
      </c>
      <c r="P549">
        <v>730</v>
      </c>
    </row>
    <row r="550" spans="1:16" x14ac:dyDescent="0.25">
      <c r="A550">
        <v>2026</v>
      </c>
      <c r="B550">
        <v>562</v>
      </c>
      <c r="C550" t="s">
        <v>171</v>
      </c>
      <c r="D550" t="s">
        <v>494</v>
      </c>
      <c r="E550" t="s">
        <v>191</v>
      </c>
      <c r="F550" t="s">
        <v>907</v>
      </c>
      <c r="G550">
        <v>165</v>
      </c>
      <c r="I550">
        <v>222</v>
      </c>
      <c r="J550">
        <v>387</v>
      </c>
      <c r="K550">
        <v>465</v>
      </c>
      <c r="L550">
        <v>485</v>
      </c>
      <c r="M550">
        <v>625</v>
      </c>
      <c r="N550">
        <v>450</v>
      </c>
      <c r="O550">
        <v>520</v>
      </c>
      <c r="P550">
        <v>750</v>
      </c>
    </row>
    <row r="551" spans="1:16" x14ac:dyDescent="0.25">
      <c r="A551">
        <v>2025</v>
      </c>
      <c r="B551">
        <v>563</v>
      </c>
      <c r="C551" t="s">
        <v>171</v>
      </c>
      <c r="D551" t="s">
        <v>494</v>
      </c>
      <c r="E551" t="s">
        <v>190</v>
      </c>
      <c r="F551" t="s">
        <v>570</v>
      </c>
      <c r="G551">
        <v>160</v>
      </c>
      <c r="I551">
        <v>135</v>
      </c>
      <c r="J551">
        <v>295</v>
      </c>
      <c r="K551">
        <v>355</v>
      </c>
      <c r="L551">
        <v>370</v>
      </c>
      <c r="M551">
        <v>475</v>
      </c>
      <c r="N551">
        <v>345</v>
      </c>
      <c r="O551">
        <v>400</v>
      </c>
      <c r="P551">
        <v>730</v>
      </c>
    </row>
    <row r="552" spans="1:16" x14ac:dyDescent="0.25">
      <c r="B552">
        <v>568</v>
      </c>
      <c r="C552" t="s">
        <v>171</v>
      </c>
      <c r="D552" t="s">
        <v>494</v>
      </c>
      <c r="F552" t="s">
        <v>286</v>
      </c>
      <c r="G552">
        <v>145</v>
      </c>
      <c r="I552">
        <v>167</v>
      </c>
      <c r="J552">
        <v>312</v>
      </c>
      <c r="K552">
        <v>375</v>
      </c>
      <c r="L552">
        <v>390</v>
      </c>
      <c r="M552">
        <v>500</v>
      </c>
      <c r="N552">
        <v>360</v>
      </c>
      <c r="O552">
        <v>425</v>
      </c>
      <c r="P552">
        <v>670</v>
      </c>
    </row>
    <row r="553" spans="1:16" x14ac:dyDescent="0.25">
      <c r="B553">
        <v>572</v>
      </c>
      <c r="C553" t="s">
        <v>171</v>
      </c>
      <c r="D553" t="s">
        <v>494</v>
      </c>
      <c r="F553" t="s">
        <v>69</v>
      </c>
      <c r="G553">
        <v>170</v>
      </c>
      <c r="I553">
        <v>215</v>
      </c>
      <c r="J553">
        <v>385</v>
      </c>
      <c r="K553">
        <v>465</v>
      </c>
      <c r="L553">
        <v>485</v>
      </c>
      <c r="M553">
        <v>625</v>
      </c>
      <c r="N553">
        <v>450</v>
      </c>
      <c r="O553">
        <v>520</v>
      </c>
      <c r="P553">
        <v>770</v>
      </c>
    </row>
    <row r="554" spans="1:16" x14ac:dyDescent="0.25">
      <c r="A554">
        <v>2026</v>
      </c>
      <c r="B554">
        <v>573</v>
      </c>
      <c r="C554" t="s">
        <v>171</v>
      </c>
      <c r="D554" t="s">
        <v>494</v>
      </c>
      <c r="E554" t="s">
        <v>191</v>
      </c>
      <c r="F554" t="s">
        <v>910</v>
      </c>
      <c r="G554">
        <v>165</v>
      </c>
      <c r="I554">
        <v>265</v>
      </c>
      <c r="J554">
        <v>430</v>
      </c>
      <c r="K554">
        <v>515</v>
      </c>
      <c r="L554">
        <v>540</v>
      </c>
      <c r="M554">
        <v>700</v>
      </c>
      <c r="N554">
        <v>500</v>
      </c>
      <c r="O554">
        <v>580</v>
      </c>
      <c r="P554">
        <v>750</v>
      </c>
    </row>
    <row r="555" spans="1:16" x14ac:dyDescent="0.25">
      <c r="B555">
        <v>574</v>
      </c>
      <c r="C555" t="s">
        <v>171</v>
      </c>
      <c r="D555" t="s">
        <v>494</v>
      </c>
      <c r="F555" t="s">
        <v>121</v>
      </c>
      <c r="G555">
        <v>160</v>
      </c>
      <c r="I555">
        <v>185</v>
      </c>
      <c r="J555">
        <v>345</v>
      </c>
      <c r="K555">
        <v>415</v>
      </c>
      <c r="L555">
        <v>435</v>
      </c>
      <c r="M555">
        <v>550</v>
      </c>
      <c r="N555">
        <v>405</v>
      </c>
      <c r="O555">
        <v>470</v>
      </c>
      <c r="P555">
        <v>730</v>
      </c>
    </row>
    <row r="556" spans="1:16" x14ac:dyDescent="0.25">
      <c r="B556">
        <v>577</v>
      </c>
      <c r="C556" t="s">
        <v>171</v>
      </c>
      <c r="D556" t="s">
        <v>494</v>
      </c>
      <c r="F556" t="s">
        <v>36</v>
      </c>
      <c r="G556">
        <v>135</v>
      </c>
      <c r="I556">
        <v>325</v>
      </c>
      <c r="J556">
        <v>460</v>
      </c>
      <c r="K556">
        <v>550</v>
      </c>
      <c r="L556">
        <v>575</v>
      </c>
      <c r="M556">
        <v>725</v>
      </c>
      <c r="N556">
        <v>530</v>
      </c>
      <c r="O556">
        <v>620</v>
      </c>
      <c r="P556">
        <v>640</v>
      </c>
    </row>
    <row r="557" spans="1:16" x14ac:dyDescent="0.25">
      <c r="B557">
        <v>578</v>
      </c>
      <c r="C557" t="s">
        <v>171</v>
      </c>
      <c r="D557" t="s">
        <v>494</v>
      </c>
      <c r="E557" t="s">
        <v>313</v>
      </c>
      <c r="F557" t="s">
        <v>314</v>
      </c>
      <c r="G557">
        <v>130</v>
      </c>
      <c r="I557">
        <v>185</v>
      </c>
      <c r="J557">
        <v>315</v>
      </c>
      <c r="K557">
        <v>380</v>
      </c>
      <c r="L557">
        <v>395</v>
      </c>
      <c r="M557">
        <v>500</v>
      </c>
      <c r="N557">
        <v>365</v>
      </c>
      <c r="O557">
        <v>425</v>
      </c>
      <c r="P557">
        <v>620</v>
      </c>
    </row>
    <row r="558" spans="1:16" x14ac:dyDescent="0.25">
      <c r="A558">
        <v>2026</v>
      </c>
      <c r="B558">
        <v>582</v>
      </c>
      <c r="C558" t="s">
        <v>171</v>
      </c>
      <c r="D558" t="s">
        <v>494</v>
      </c>
      <c r="E558" t="s">
        <v>195</v>
      </c>
      <c r="F558" t="s">
        <v>993</v>
      </c>
      <c r="G558">
        <v>185</v>
      </c>
      <c r="I558">
        <v>15</v>
      </c>
      <c r="J558">
        <v>200</v>
      </c>
      <c r="K558">
        <v>240</v>
      </c>
      <c r="L558">
        <v>250</v>
      </c>
      <c r="M558">
        <v>325</v>
      </c>
      <c r="N558">
        <v>230</v>
      </c>
      <c r="O558">
        <v>270</v>
      </c>
      <c r="P558">
        <v>820</v>
      </c>
    </row>
    <row r="559" spans="1:16" x14ac:dyDescent="0.25">
      <c r="A559">
        <v>2026</v>
      </c>
      <c r="B559">
        <v>596</v>
      </c>
      <c r="C559" t="s">
        <v>171</v>
      </c>
      <c r="D559" t="s">
        <v>494</v>
      </c>
      <c r="E559" t="s">
        <v>249</v>
      </c>
      <c r="F559" t="s">
        <v>253</v>
      </c>
      <c r="G559">
        <v>150</v>
      </c>
      <c r="I559">
        <v>15</v>
      </c>
      <c r="J559">
        <v>165</v>
      </c>
      <c r="K559">
        <v>200</v>
      </c>
      <c r="L559">
        <v>210</v>
      </c>
      <c r="M559">
        <v>275</v>
      </c>
      <c r="N559">
        <v>195</v>
      </c>
      <c r="O559">
        <v>225</v>
      </c>
      <c r="P559">
        <v>690</v>
      </c>
    </row>
    <row r="560" spans="1:16" x14ac:dyDescent="0.25">
      <c r="B560">
        <v>597</v>
      </c>
      <c r="C560" t="s">
        <v>171</v>
      </c>
      <c r="D560" t="s">
        <v>494</v>
      </c>
      <c r="F560" t="s">
        <v>52</v>
      </c>
      <c r="G560">
        <v>135</v>
      </c>
      <c r="I560">
        <v>12</v>
      </c>
      <c r="J560">
        <v>147</v>
      </c>
      <c r="K560">
        <v>180</v>
      </c>
      <c r="L560">
        <v>185</v>
      </c>
      <c r="M560">
        <v>250</v>
      </c>
      <c r="N560">
        <v>175</v>
      </c>
      <c r="O560">
        <v>200</v>
      </c>
      <c r="P560">
        <v>640</v>
      </c>
    </row>
    <row r="561" spans="1:16" x14ac:dyDescent="0.25">
      <c r="B561">
        <v>599</v>
      </c>
      <c r="C561" t="s">
        <v>171</v>
      </c>
      <c r="D561" t="s">
        <v>494</v>
      </c>
      <c r="F561" t="s">
        <v>289</v>
      </c>
      <c r="G561">
        <v>170</v>
      </c>
      <c r="I561">
        <v>222</v>
      </c>
      <c r="J561">
        <v>392</v>
      </c>
      <c r="K561">
        <v>470</v>
      </c>
      <c r="L561">
        <v>490</v>
      </c>
      <c r="M561">
        <v>625</v>
      </c>
      <c r="N561">
        <v>455</v>
      </c>
      <c r="O561">
        <v>525</v>
      </c>
      <c r="P561">
        <v>770</v>
      </c>
    </row>
    <row r="562" spans="1:16" x14ac:dyDescent="0.25">
      <c r="A562">
        <v>2026</v>
      </c>
      <c r="B562">
        <v>841</v>
      </c>
      <c r="C562" t="s">
        <v>171</v>
      </c>
      <c r="D562" t="s">
        <v>497</v>
      </c>
      <c r="E562" t="s">
        <v>136</v>
      </c>
      <c r="F562" t="s">
        <v>541</v>
      </c>
      <c r="G562">
        <v>650</v>
      </c>
      <c r="I562">
        <v>25</v>
      </c>
      <c r="J562">
        <v>675</v>
      </c>
      <c r="K562">
        <v>840</v>
      </c>
      <c r="L562">
        <v>880</v>
      </c>
      <c r="M562">
        <v>1075</v>
      </c>
      <c r="N562">
        <v>810</v>
      </c>
      <c r="O562">
        <v>945</v>
      </c>
      <c r="P562">
        <v>2580</v>
      </c>
    </row>
    <row r="563" spans="1:16" x14ac:dyDescent="0.25">
      <c r="A563">
        <v>2026</v>
      </c>
      <c r="B563">
        <v>842</v>
      </c>
      <c r="C563" t="s">
        <v>171</v>
      </c>
      <c r="D563" t="s">
        <v>497</v>
      </c>
      <c r="E563" t="s">
        <v>136</v>
      </c>
      <c r="F563" t="s">
        <v>934</v>
      </c>
      <c r="G563">
        <v>750</v>
      </c>
      <c r="I563">
        <v>25</v>
      </c>
      <c r="J563">
        <v>775</v>
      </c>
      <c r="K563">
        <v>960</v>
      </c>
      <c r="L563">
        <v>1010</v>
      </c>
      <c r="M563">
        <v>1225</v>
      </c>
      <c r="N563">
        <v>930</v>
      </c>
      <c r="O563">
        <v>1085</v>
      </c>
      <c r="P563">
        <v>2960</v>
      </c>
    </row>
    <row r="564" spans="1:16" x14ac:dyDescent="0.25">
      <c r="A564">
        <v>2026</v>
      </c>
      <c r="B564">
        <v>843</v>
      </c>
      <c r="C564" t="s">
        <v>171</v>
      </c>
      <c r="D564" t="s">
        <v>497</v>
      </c>
      <c r="E564" t="s">
        <v>136</v>
      </c>
      <c r="F564" t="s">
        <v>936</v>
      </c>
      <c r="G564">
        <v>850</v>
      </c>
      <c r="I564">
        <v>25</v>
      </c>
      <c r="J564">
        <v>875</v>
      </c>
      <c r="K564">
        <v>1085</v>
      </c>
      <c r="L564">
        <v>1140</v>
      </c>
      <c r="M564">
        <v>1400</v>
      </c>
      <c r="N564">
        <v>1050</v>
      </c>
      <c r="O564">
        <v>1220</v>
      </c>
      <c r="P564">
        <v>3330</v>
      </c>
    </row>
    <row r="565" spans="1:16" x14ac:dyDescent="0.25">
      <c r="A565">
        <v>2026</v>
      </c>
      <c r="B565">
        <v>844</v>
      </c>
      <c r="C565" t="s">
        <v>171</v>
      </c>
      <c r="D565" t="s">
        <v>497</v>
      </c>
      <c r="E565" t="s">
        <v>136</v>
      </c>
      <c r="F565" t="s">
        <v>937</v>
      </c>
      <c r="G565">
        <v>750</v>
      </c>
      <c r="I565">
        <v>25</v>
      </c>
      <c r="J565">
        <v>775</v>
      </c>
      <c r="K565">
        <v>960</v>
      </c>
      <c r="L565">
        <v>1010</v>
      </c>
      <c r="M565">
        <v>1225</v>
      </c>
      <c r="N565">
        <v>930</v>
      </c>
      <c r="O565">
        <v>1085</v>
      </c>
      <c r="P565">
        <v>2960</v>
      </c>
    </row>
    <row r="566" spans="1:16" x14ac:dyDescent="0.25">
      <c r="A566">
        <v>2026</v>
      </c>
      <c r="B566">
        <v>845</v>
      </c>
      <c r="C566" t="s">
        <v>171</v>
      </c>
      <c r="D566" t="s">
        <v>497</v>
      </c>
      <c r="E566" t="s">
        <v>673</v>
      </c>
      <c r="F566" t="s">
        <v>839</v>
      </c>
      <c r="G566">
        <v>675</v>
      </c>
      <c r="I566">
        <v>25</v>
      </c>
      <c r="J566">
        <v>700</v>
      </c>
      <c r="K566">
        <v>865</v>
      </c>
      <c r="L566">
        <v>910</v>
      </c>
      <c r="M566">
        <v>1125</v>
      </c>
      <c r="N566">
        <v>840</v>
      </c>
      <c r="O566">
        <v>975</v>
      </c>
      <c r="P566">
        <v>2670</v>
      </c>
    </row>
    <row r="567" spans="1:16" x14ac:dyDescent="0.25">
      <c r="A567">
        <v>2026</v>
      </c>
      <c r="B567">
        <v>846</v>
      </c>
      <c r="C567" t="s">
        <v>171</v>
      </c>
      <c r="D567" t="s">
        <v>497</v>
      </c>
      <c r="E567" t="s">
        <v>136</v>
      </c>
      <c r="F567" t="s">
        <v>829</v>
      </c>
      <c r="G567">
        <v>550</v>
      </c>
      <c r="I567">
        <v>25</v>
      </c>
      <c r="J567">
        <v>575</v>
      </c>
      <c r="K567">
        <v>715</v>
      </c>
      <c r="L567">
        <v>750</v>
      </c>
      <c r="M567">
        <v>925</v>
      </c>
      <c r="N567">
        <v>690</v>
      </c>
      <c r="O567">
        <v>805</v>
      </c>
      <c r="P567">
        <v>2200</v>
      </c>
    </row>
    <row r="568" spans="1:16" x14ac:dyDescent="0.25">
      <c r="B568">
        <v>848</v>
      </c>
      <c r="C568" t="s">
        <v>171</v>
      </c>
      <c r="D568" t="s">
        <v>497</v>
      </c>
      <c r="E568" t="s">
        <v>290</v>
      </c>
      <c r="F568" t="s">
        <v>118</v>
      </c>
      <c r="G568">
        <v>840</v>
      </c>
      <c r="I568">
        <v>25</v>
      </c>
      <c r="J568">
        <v>865</v>
      </c>
      <c r="K568">
        <v>1070</v>
      </c>
      <c r="L568">
        <v>1125</v>
      </c>
      <c r="M568">
        <v>1375</v>
      </c>
      <c r="N568">
        <v>1035</v>
      </c>
      <c r="O568">
        <v>1205</v>
      </c>
      <c r="P568">
        <v>3290</v>
      </c>
    </row>
    <row r="569" spans="1:16" x14ac:dyDescent="0.25">
      <c r="A569">
        <v>2025</v>
      </c>
      <c r="B569">
        <v>849</v>
      </c>
      <c r="C569" t="s">
        <v>171</v>
      </c>
      <c r="D569" t="s">
        <v>497</v>
      </c>
      <c r="E569" t="s">
        <v>136</v>
      </c>
      <c r="F569" t="s">
        <v>543</v>
      </c>
      <c r="G569">
        <v>575</v>
      </c>
      <c r="I569">
        <v>25</v>
      </c>
      <c r="J569">
        <v>600</v>
      </c>
      <c r="K569">
        <v>745</v>
      </c>
      <c r="L569">
        <v>780</v>
      </c>
      <c r="M569">
        <v>950</v>
      </c>
      <c r="N569">
        <v>720</v>
      </c>
      <c r="O569">
        <v>835</v>
      </c>
      <c r="P569">
        <v>2290</v>
      </c>
    </row>
    <row r="570" spans="1:16" x14ac:dyDescent="0.25">
      <c r="A570">
        <v>2025</v>
      </c>
      <c r="B570">
        <v>850</v>
      </c>
      <c r="C570" t="s">
        <v>171</v>
      </c>
      <c r="D570" t="s">
        <v>497</v>
      </c>
      <c r="E570" t="s">
        <v>136</v>
      </c>
      <c r="F570" t="s">
        <v>544</v>
      </c>
      <c r="G570">
        <v>600</v>
      </c>
      <c r="I570">
        <v>25</v>
      </c>
      <c r="J570">
        <v>625</v>
      </c>
      <c r="K570">
        <v>775</v>
      </c>
      <c r="L570">
        <v>815</v>
      </c>
      <c r="M570">
        <v>1000</v>
      </c>
      <c r="N570">
        <v>750</v>
      </c>
      <c r="O570">
        <v>875</v>
      </c>
      <c r="P570">
        <v>2390</v>
      </c>
    </row>
    <row r="571" spans="1:16" x14ac:dyDescent="0.25">
      <c r="A571">
        <v>2025</v>
      </c>
      <c r="B571">
        <v>851</v>
      </c>
      <c r="C571" t="s">
        <v>171</v>
      </c>
      <c r="D571" t="s">
        <v>497</v>
      </c>
      <c r="E571" t="s">
        <v>136</v>
      </c>
      <c r="F571" t="s">
        <v>545</v>
      </c>
      <c r="G571">
        <v>600</v>
      </c>
      <c r="I571">
        <v>25</v>
      </c>
      <c r="J571">
        <v>625</v>
      </c>
      <c r="K571">
        <v>775</v>
      </c>
      <c r="L571">
        <v>815</v>
      </c>
      <c r="M571">
        <v>1000</v>
      </c>
      <c r="N571">
        <v>750</v>
      </c>
      <c r="O571">
        <v>875</v>
      </c>
      <c r="P571">
        <v>2390</v>
      </c>
    </row>
    <row r="572" spans="1:16" x14ac:dyDescent="0.25">
      <c r="A572">
        <v>2026</v>
      </c>
      <c r="B572">
        <v>852</v>
      </c>
      <c r="C572" t="s">
        <v>171</v>
      </c>
      <c r="D572" t="s">
        <v>497</v>
      </c>
      <c r="E572" t="s">
        <v>136</v>
      </c>
      <c r="F572" t="s">
        <v>935</v>
      </c>
      <c r="G572">
        <v>500</v>
      </c>
      <c r="I572">
        <v>25</v>
      </c>
      <c r="J572">
        <v>525</v>
      </c>
      <c r="K572">
        <v>655</v>
      </c>
      <c r="L572">
        <v>685</v>
      </c>
      <c r="M572">
        <v>850</v>
      </c>
      <c r="N572">
        <v>635</v>
      </c>
      <c r="O572">
        <v>735</v>
      </c>
      <c r="P572">
        <v>2010</v>
      </c>
    </row>
    <row r="573" spans="1:16" x14ac:dyDescent="0.25">
      <c r="A573">
        <v>2026</v>
      </c>
      <c r="B573">
        <v>853</v>
      </c>
      <c r="C573" t="s">
        <v>171</v>
      </c>
      <c r="D573" t="s">
        <v>497</v>
      </c>
      <c r="E573" t="s">
        <v>136</v>
      </c>
      <c r="F573" t="s">
        <v>933</v>
      </c>
      <c r="G573">
        <v>1100</v>
      </c>
      <c r="I573">
        <v>25</v>
      </c>
      <c r="J573">
        <v>1125</v>
      </c>
      <c r="K573">
        <v>1395</v>
      </c>
      <c r="L573">
        <v>1465</v>
      </c>
      <c r="M573">
        <v>1775</v>
      </c>
      <c r="N573">
        <v>1350</v>
      </c>
      <c r="O573">
        <v>1570</v>
      </c>
      <c r="P573">
        <v>4280</v>
      </c>
    </row>
    <row r="574" spans="1:16" x14ac:dyDescent="0.25">
      <c r="A574">
        <v>2026</v>
      </c>
      <c r="B574">
        <v>854</v>
      </c>
      <c r="C574" t="s">
        <v>171</v>
      </c>
      <c r="D574" t="s">
        <v>497</v>
      </c>
      <c r="E574" t="s">
        <v>174</v>
      </c>
      <c r="F574" t="s">
        <v>994</v>
      </c>
      <c r="G574">
        <v>670</v>
      </c>
      <c r="I574">
        <v>25</v>
      </c>
      <c r="J574">
        <v>695</v>
      </c>
      <c r="K574">
        <v>860</v>
      </c>
      <c r="L574">
        <v>905</v>
      </c>
      <c r="M574">
        <v>1100</v>
      </c>
      <c r="N574">
        <v>835</v>
      </c>
      <c r="O574">
        <v>970</v>
      </c>
      <c r="P574">
        <v>2650</v>
      </c>
    </row>
    <row r="575" spans="1:16" x14ac:dyDescent="0.25">
      <c r="B575">
        <v>855</v>
      </c>
      <c r="C575" t="s">
        <v>171</v>
      </c>
      <c r="D575" t="s">
        <v>497</v>
      </c>
      <c r="E575" t="s">
        <v>290</v>
      </c>
      <c r="F575" t="s">
        <v>60</v>
      </c>
      <c r="G575">
        <v>700</v>
      </c>
      <c r="I575">
        <v>25</v>
      </c>
      <c r="J575">
        <v>725</v>
      </c>
      <c r="K575">
        <v>900</v>
      </c>
      <c r="L575">
        <v>945</v>
      </c>
      <c r="M575">
        <v>1150</v>
      </c>
      <c r="N575">
        <v>870</v>
      </c>
      <c r="O575">
        <v>1015</v>
      </c>
      <c r="P575">
        <v>2770</v>
      </c>
    </row>
    <row r="576" spans="1:16" x14ac:dyDescent="0.25">
      <c r="A576">
        <v>2025</v>
      </c>
      <c r="B576">
        <v>856</v>
      </c>
      <c r="C576" t="s">
        <v>171</v>
      </c>
      <c r="D576" t="s">
        <v>497</v>
      </c>
      <c r="E576" t="s">
        <v>136</v>
      </c>
      <c r="F576" t="s">
        <v>546</v>
      </c>
      <c r="G576">
        <v>1000</v>
      </c>
      <c r="I576">
        <v>25</v>
      </c>
      <c r="J576">
        <v>1025</v>
      </c>
      <c r="K576">
        <v>1270</v>
      </c>
      <c r="L576">
        <v>1335</v>
      </c>
      <c r="M576">
        <v>1625</v>
      </c>
      <c r="N576">
        <v>1230</v>
      </c>
      <c r="O576">
        <v>1430</v>
      </c>
      <c r="P576">
        <v>3900</v>
      </c>
    </row>
    <row r="577" spans="1:16" x14ac:dyDescent="0.25">
      <c r="B577">
        <v>857</v>
      </c>
      <c r="C577" t="s">
        <v>171</v>
      </c>
      <c r="D577" t="s">
        <v>497</v>
      </c>
      <c r="F577" t="s">
        <v>64</v>
      </c>
      <c r="G577">
        <v>800</v>
      </c>
      <c r="I577">
        <v>25</v>
      </c>
      <c r="J577">
        <v>825</v>
      </c>
      <c r="K577">
        <v>1025</v>
      </c>
      <c r="L577">
        <v>1075</v>
      </c>
      <c r="M577">
        <v>1300</v>
      </c>
      <c r="N577">
        <v>990</v>
      </c>
      <c r="O577">
        <v>1155</v>
      </c>
      <c r="P577">
        <v>3140</v>
      </c>
    </row>
    <row r="578" spans="1:16" x14ac:dyDescent="0.25">
      <c r="A578">
        <v>2025</v>
      </c>
      <c r="B578">
        <v>858</v>
      </c>
      <c r="C578" t="s">
        <v>171</v>
      </c>
      <c r="D578" t="s">
        <v>497</v>
      </c>
      <c r="E578" t="s">
        <v>174</v>
      </c>
      <c r="F578" t="s">
        <v>176</v>
      </c>
      <c r="G578">
        <v>850</v>
      </c>
      <c r="I578">
        <v>25</v>
      </c>
      <c r="J578">
        <v>875</v>
      </c>
      <c r="K578">
        <v>1085</v>
      </c>
      <c r="L578">
        <v>1140</v>
      </c>
      <c r="M578">
        <v>1400</v>
      </c>
      <c r="N578">
        <v>1050</v>
      </c>
      <c r="O578">
        <v>1220</v>
      </c>
      <c r="P578">
        <v>3330</v>
      </c>
    </row>
    <row r="579" spans="1:16" x14ac:dyDescent="0.25">
      <c r="A579">
        <v>2025</v>
      </c>
      <c r="B579">
        <v>859</v>
      </c>
      <c r="C579" t="s">
        <v>171</v>
      </c>
      <c r="D579" t="s">
        <v>497</v>
      </c>
      <c r="E579" t="s">
        <v>136</v>
      </c>
      <c r="F579" t="s">
        <v>542</v>
      </c>
      <c r="G579">
        <v>775</v>
      </c>
      <c r="I579">
        <v>25</v>
      </c>
      <c r="J579">
        <v>800</v>
      </c>
      <c r="K579">
        <v>990</v>
      </c>
      <c r="L579">
        <v>1040</v>
      </c>
      <c r="M579">
        <v>1275</v>
      </c>
      <c r="N579">
        <v>960</v>
      </c>
      <c r="O579">
        <v>1115</v>
      </c>
      <c r="P579">
        <v>3050</v>
      </c>
    </row>
    <row r="580" spans="1:16" x14ac:dyDescent="0.25">
      <c r="B580">
        <v>860</v>
      </c>
      <c r="C580" t="s">
        <v>171</v>
      </c>
      <c r="D580" t="s">
        <v>497</v>
      </c>
      <c r="E580" t="s">
        <v>318</v>
      </c>
      <c r="F580" t="s">
        <v>319</v>
      </c>
      <c r="G580">
        <v>650</v>
      </c>
      <c r="I580">
        <v>25</v>
      </c>
      <c r="J580">
        <v>675</v>
      </c>
      <c r="K580">
        <v>840</v>
      </c>
      <c r="L580">
        <v>880</v>
      </c>
      <c r="M580">
        <v>1075</v>
      </c>
      <c r="N580">
        <v>810</v>
      </c>
      <c r="O580">
        <v>945</v>
      </c>
      <c r="P580">
        <v>2580</v>
      </c>
    </row>
    <row r="581" spans="1:16" x14ac:dyDescent="0.25">
      <c r="A581">
        <v>2026</v>
      </c>
      <c r="B581">
        <v>861</v>
      </c>
      <c r="C581" t="s">
        <v>171</v>
      </c>
      <c r="D581" t="s">
        <v>497</v>
      </c>
      <c r="E581" t="s">
        <v>290</v>
      </c>
      <c r="F581" t="s">
        <v>987</v>
      </c>
      <c r="G581">
        <v>375</v>
      </c>
      <c r="I581">
        <v>25</v>
      </c>
      <c r="J581">
        <v>400</v>
      </c>
      <c r="K581">
        <v>495</v>
      </c>
      <c r="L581">
        <v>520</v>
      </c>
      <c r="M581">
        <v>650</v>
      </c>
      <c r="N581">
        <v>480</v>
      </c>
      <c r="O581">
        <v>560</v>
      </c>
      <c r="P581">
        <v>1540</v>
      </c>
    </row>
    <row r="582" spans="1:16" x14ac:dyDescent="0.25">
      <c r="A582">
        <v>2026</v>
      </c>
      <c r="B582">
        <v>862</v>
      </c>
      <c r="C582" t="s">
        <v>171</v>
      </c>
      <c r="D582" t="s">
        <v>497</v>
      </c>
      <c r="E582" t="s">
        <v>290</v>
      </c>
      <c r="F582" t="s">
        <v>988</v>
      </c>
      <c r="G582">
        <v>525</v>
      </c>
      <c r="I582">
        <v>25</v>
      </c>
      <c r="J582">
        <v>550</v>
      </c>
      <c r="K582">
        <v>680</v>
      </c>
      <c r="L582">
        <v>715</v>
      </c>
      <c r="M582">
        <v>875</v>
      </c>
      <c r="N582">
        <v>660</v>
      </c>
      <c r="O582">
        <v>770</v>
      </c>
      <c r="P582">
        <v>2110</v>
      </c>
    </row>
    <row r="583" spans="1:16" x14ac:dyDescent="0.25">
      <c r="A583">
        <v>2026</v>
      </c>
      <c r="B583">
        <v>866</v>
      </c>
      <c r="C583" t="s">
        <v>171</v>
      </c>
      <c r="D583" t="s">
        <v>497</v>
      </c>
      <c r="E583" t="s">
        <v>290</v>
      </c>
      <c r="F583" t="s">
        <v>40</v>
      </c>
      <c r="G583">
        <v>440</v>
      </c>
      <c r="I583">
        <v>25</v>
      </c>
      <c r="J583">
        <v>465</v>
      </c>
      <c r="K583">
        <v>575</v>
      </c>
      <c r="L583">
        <v>605</v>
      </c>
      <c r="M583">
        <v>750</v>
      </c>
      <c r="N583">
        <v>560</v>
      </c>
      <c r="O583">
        <v>650</v>
      </c>
      <c r="P583">
        <v>1790</v>
      </c>
    </row>
    <row r="584" spans="1:16" x14ac:dyDescent="0.25">
      <c r="A584">
        <v>2026</v>
      </c>
      <c r="B584">
        <v>868</v>
      </c>
      <c r="C584" t="s">
        <v>171</v>
      </c>
      <c r="D584" t="s">
        <v>497</v>
      </c>
      <c r="E584" t="s">
        <v>174</v>
      </c>
      <c r="F584" t="s">
        <v>75</v>
      </c>
      <c r="G584">
        <v>550</v>
      </c>
      <c r="I584">
        <v>25</v>
      </c>
      <c r="J584">
        <v>575</v>
      </c>
      <c r="K584">
        <v>715</v>
      </c>
      <c r="L584">
        <v>750</v>
      </c>
      <c r="M584">
        <v>925</v>
      </c>
      <c r="N584">
        <v>690</v>
      </c>
      <c r="O584">
        <v>805</v>
      </c>
      <c r="P584">
        <v>2200</v>
      </c>
    </row>
    <row r="585" spans="1:16" x14ac:dyDescent="0.25">
      <c r="B585">
        <v>869</v>
      </c>
      <c r="C585" t="s">
        <v>171</v>
      </c>
      <c r="D585" t="s">
        <v>497</v>
      </c>
      <c r="F585" t="s">
        <v>293</v>
      </c>
      <c r="G585">
        <v>1300</v>
      </c>
      <c r="I585">
        <v>25</v>
      </c>
      <c r="J585">
        <v>1325</v>
      </c>
      <c r="K585">
        <v>1640</v>
      </c>
      <c r="L585">
        <v>1725</v>
      </c>
      <c r="M585">
        <v>2100</v>
      </c>
      <c r="N585">
        <v>1590</v>
      </c>
      <c r="O585">
        <v>1850</v>
      </c>
      <c r="P585">
        <v>5030</v>
      </c>
    </row>
    <row r="586" spans="1:16" x14ac:dyDescent="0.25">
      <c r="A586">
        <v>2025</v>
      </c>
      <c r="B586">
        <v>870</v>
      </c>
      <c r="C586" t="s">
        <v>171</v>
      </c>
      <c r="D586" t="s">
        <v>497</v>
      </c>
      <c r="E586" t="s">
        <v>233</v>
      </c>
      <c r="F586" t="s">
        <v>459</v>
      </c>
      <c r="G586">
        <v>650</v>
      </c>
      <c r="I586">
        <v>25</v>
      </c>
      <c r="J586">
        <v>675</v>
      </c>
      <c r="K586">
        <v>840</v>
      </c>
      <c r="L586">
        <v>880</v>
      </c>
      <c r="M586">
        <v>1075</v>
      </c>
      <c r="N586">
        <v>810</v>
      </c>
      <c r="O586">
        <v>945</v>
      </c>
      <c r="P586">
        <v>2580</v>
      </c>
    </row>
    <row r="587" spans="1:16" x14ac:dyDescent="0.25">
      <c r="A587">
        <v>2025</v>
      </c>
      <c r="B587">
        <v>871</v>
      </c>
      <c r="C587" t="s">
        <v>171</v>
      </c>
      <c r="D587" t="s">
        <v>497</v>
      </c>
      <c r="E587" t="s">
        <v>656</v>
      </c>
      <c r="F587" t="s">
        <v>657</v>
      </c>
      <c r="G587">
        <v>525</v>
      </c>
      <c r="I587">
        <v>25</v>
      </c>
      <c r="J587">
        <v>550</v>
      </c>
      <c r="K587">
        <v>680</v>
      </c>
      <c r="L587">
        <v>715</v>
      </c>
      <c r="M587">
        <v>875</v>
      </c>
      <c r="N587">
        <v>660</v>
      </c>
      <c r="O587">
        <v>770</v>
      </c>
      <c r="P587">
        <v>2110</v>
      </c>
    </row>
    <row r="588" spans="1:16" x14ac:dyDescent="0.25">
      <c r="A588">
        <v>2025</v>
      </c>
      <c r="B588">
        <v>874</v>
      </c>
      <c r="C588" t="s">
        <v>171</v>
      </c>
      <c r="D588" t="s">
        <v>497</v>
      </c>
      <c r="E588" t="s">
        <v>233</v>
      </c>
      <c r="F588" t="s">
        <v>71</v>
      </c>
      <c r="G588">
        <v>600</v>
      </c>
      <c r="I588">
        <v>25</v>
      </c>
      <c r="J588">
        <v>625</v>
      </c>
      <c r="K588">
        <v>775</v>
      </c>
      <c r="L588">
        <v>815</v>
      </c>
      <c r="M588">
        <v>1000</v>
      </c>
      <c r="N588">
        <v>750</v>
      </c>
      <c r="O588">
        <v>875</v>
      </c>
      <c r="P588">
        <v>2390</v>
      </c>
    </row>
    <row r="589" spans="1:16" x14ac:dyDescent="0.25">
      <c r="A589">
        <v>2026</v>
      </c>
      <c r="B589">
        <v>875</v>
      </c>
      <c r="C589" t="s">
        <v>171</v>
      </c>
      <c r="D589" t="s">
        <v>497</v>
      </c>
      <c r="E589" t="s">
        <v>136</v>
      </c>
      <c r="F589" t="s">
        <v>72</v>
      </c>
      <c r="G589">
        <v>650</v>
      </c>
      <c r="I589">
        <v>25</v>
      </c>
      <c r="J589">
        <v>675</v>
      </c>
      <c r="K589">
        <v>840</v>
      </c>
      <c r="L589">
        <v>880</v>
      </c>
      <c r="M589">
        <v>1075</v>
      </c>
      <c r="N589">
        <v>810</v>
      </c>
      <c r="O589">
        <v>945</v>
      </c>
      <c r="P589">
        <v>2580</v>
      </c>
    </row>
    <row r="590" spans="1:16" x14ac:dyDescent="0.25">
      <c r="A590">
        <v>2026</v>
      </c>
      <c r="B590">
        <v>876</v>
      </c>
      <c r="C590" t="s">
        <v>171</v>
      </c>
      <c r="D590" t="s">
        <v>497</v>
      </c>
      <c r="E590" t="s">
        <v>169</v>
      </c>
      <c r="F590" t="s">
        <v>930</v>
      </c>
      <c r="G590">
        <v>192</v>
      </c>
      <c r="I590">
        <v>350</v>
      </c>
      <c r="J590">
        <v>542</v>
      </c>
      <c r="K590">
        <v>670</v>
      </c>
      <c r="L590">
        <v>705</v>
      </c>
      <c r="M590">
        <v>875</v>
      </c>
      <c r="N590">
        <v>650</v>
      </c>
      <c r="O590">
        <v>755</v>
      </c>
      <c r="P590">
        <v>850</v>
      </c>
    </row>
    <row r="591" spans="1:16" x14ac:dyDescent="0.25">
      <c r="B591">
        <v>877</v>
      </c>
      <c r="C591" t="s">
        <v>171</v>
      </c>
      <c r="D591" t="s">
        <v>497</v>
      </c>
      <c r="E591" t="s">
        <v>169</v>
      </c>
      <c r="F591" t="s">
        <v>193</v>
      </c>
      <c r="G591">
        <v>265</v>
      </c>
      <c r="I591">
        <v>255</v>
      </c>
      <c r="J591">
        <v>520</v>
      </c>
      <c r="K591">
        <v>650</v>
      </c>
      <c r="L591">
        <v>680</v>
      </c>
      <c r="M591">
        <v>825</v>
      </c>
      <c r="N591">
        <v>630</v>
      </c>
      <c r="O591">
        <v>730</v>
      </c>
      <c r="P591">
        <v>1130</v>
      </c>
    </row>
    <row r="592" spans="1:16" x14ac:dyDescent="0.25">
      <c r="A592">
        <v>2026</v>
      </c>
      <c r="B592">
        <v>878</v>
      </c>
      <c r="C592" t="s">
        <v>171</v>
      </c>
      <c r="D592" t="s">
        <v>497</v>
      </c>
      <c r="E592" t="s">
        <v>169</v>
      </c>
      <c r="F592" t="s">
        <v>899</v>
      </c>
      <c r="G592">
        <v>192</v>
      </c>
      <c r="I592">
        <v>245</v>
      </c>
      <c r="J592">
        <v>437</v>
      </c>
      <c r="K592">
        <v>545</v>
      </c>
      <c r="L592">
        <v>570</v>
      </c>
      <c r="M592">
        <v>700</v>
      </c>
      <c r="N592">
        <v>525</v>
      </c>
      <c r="O592">
        <v>610</v>
      </c>
      <c r="P592">
        <v>850</v>
      </c>
    </row>
    <row r="593" spans="1:16" x14ac:dyDescent="0.25">
      <c r="A593">
        <v>2025</v>
      </c>
      <c r="B593">
        <v>879</v>
      </c>
      <c r="C593" t="s">
        <v>171</v>
      </c>
      <c r="D593" t="s">
        <v>497</v>
      </c>
      <c r="E593" t="s">
        <v>169</v>
      </c>
      <c r="F593" t="s">
        <v>492</v>
      </c>
      <c r="G593">
        <v>185</v>
      </c>
      <c r="I593">
        <v>195</v>
      </c>
      <c r="J593">
        <v>380</v>
      </c>
      <c r="K593">
        <v>475</v>
      </c>
      <c r="L593">
        <v>495</v>
      </c>
      <c r="M593">
        <v>600</v>
      </c>
      <c r="N593">
        <v>460</v>
      </c>
      <c r="O593">
        <v>530</v>
      </c>
      <c r="P593">
        <v>820</v>
      </c>
    </row>
    <row r="594" spans="1:16" x14ac:dyDescent="0.25">
      <c r="A594">
        <v>2026</v>
      </c>
      <c r="B594">
        <v>883</v>
      </c>
      <c r="C594" t="s">
        <v>171</v>
      </c>
      <c r="D594" t="s">
        <v>497</v>
      </c>
      <c r="E594" t="s">
        <v>169</v>
      </c>
      <c r="F594" t="s">
        <v>901</v>
      </c>
      <c r="G594">
        <v>192</v>
      </c>
      <c r="I594">
        <v>395</v>
      </c>
      <c r="J594">
        <v>587</v>
      </c>
      <c r="K594">
        <v>730</v>
      </c>
      <c r="L594">
        <v>765</v>
      </c>
      <c r="M594">
        <v>925</v>
      </c>
      <c r="N594">
        <v>705</v>
      </c>
      <c r="O594">
        <v>820</v>
      </c>
      <c r="P594">
        <v>850</v>
      </c>
    </row>
    <row r="595" spans="1:16" x14ac:dyDescent="0.25">
      <c r="A595">
        <v>2026</v>
      </c>
      <c r="B595">
        <v>885</v>
      </c>
      <c r="C595" t="s">
        <v>171</v>
      </c>
      <c r="D595" t="s">
        <v>497</v>
      </c>
      <c r="E595" t="s">
        <v>169</v>
      </c>
      <c r="F595" t="s">
        <v>900</v>
      </c>
      <c r="G595">
        <v>192</v>
      </c>
      <c r="I595">
        <v>315</v>
      </c>
      <c r="J595">
        <v>507</v>
      </c>
      <c r="K595">
        <v>630</v>
      </c>
      <c r="L595">
        <v>660</v>
      </c>
      <c r="M595">
        <v>800</v>
      </c>
      <c r="N595">
        <v>610</v>
      </c>
      <c r="O595">
        <v>710</v>
      </c>
      <c r="P595">
        <v>850</v>
      </c>
    </row>
    <row r="596" spans="1:16" x14ac:dyDescent="0.25">
      <c r="A596">
        <v>2026</v>
      </c>
      <c r="B596">
        <v>886</v>
      </c>
      <c r="C596" t="s">
        <v>171</v>
      </c>
      <c r="D596" t="s">
        <v>497</v>
      </c>
      <c r="E596" t="s">
        <v>197</v>
      </c>
      <c r="F596" t="s">
        <v>955</v>
      </c>
      <c r="G596">
        <v>192</v>
      </c>
      <c r="I596">
        <v>325</v>
      </c>
      <c r="J596">
        <v>517</v>
      </c>
      <c r="K596">
        <v>645</v>
      </c>
      <c r="L596">
        <v>675</v>
      </c>
      <c r="M596">
        <v>825</v>
      </c>
      <c r="N596">
        <v>625</v>
      </c>
      <c r="O596">
        <v>725</v>
      </c>
      <c r="P596">
        <v>850</v>
      </c>
    </row>
    <row r="597" spans="1:16" x14ac:dyDescent="0.25">
      <c r="A597">
        <v>2025</v>
      </c>
      <c r="B597">
        <v>887</v>
      </c>
      <c r="C597" t="s">
        <v>171</v>
      </c>
      <c r="D597" t="s">
        <v>497</v>
      </c>
      <c r="E597" t="s">
        <v>547</v>
      </c>
      <c r="F597" t="s">
        <v>661</v>
      </c>
      <c r="G597">
        <v>1150</v>
      </c>
      <c r="I597">
        <v>25</v>
      </c>
      <c r="J597">
        <v>1175</v>
      </c>
      <c r="K597">
        <v>1455</v>
      </c>
      <c r="L597">
        <v>1530</v>
      </c>
      <c r="M597">
        <v>1875</v>
      </c>
      <c r="N597">
        <v>1410</v>
      </c>
      <c r="O597">
        <v>1640</v>
      </c>
      <c r="P597">
        <v>4460</v>
      </c>
    </row>
    <row r="598" spans="1:16" x14ac:dyDescent="0.25">
      <c r="A598">
        <v>2025</v>
      </c>
      <c r="B598">
        <v>890</v>
      </c>
      <c r="C598" t="s">
        <v>171</v>
      </c>
      <c r="D598" t="s">
        <v>497</v>
      </c>
      <c r="E598" t="s">
        <v>547</v>
      </c>
      <c r="F598" t="s">
        <v>549</v>
      </c>
      <c r="G598">
        <v>1350</v>
      </c>
      <c r="I598">
        <v>25</v>
      </c>
      <c r="J598">
        <v>1375</v>
      </c>
      <c r="K598">
        <v>1705</v>
      </c>
      <c r="L598">
        <v>1790</v>
      </c>
      <c r="M598">
        <v>2175</v>
      </c>
      <c r="N598">
        <v>1650</v>
      </c>
      <c r="O598">
        <v>1920</v>
      </c>
      <c r="P598">
        <v>5220</v>
      </c>
    </row>
    <row r="599" spans="1:16" x14ac:dyDescent="0.25">
      <c r="A599">
        <v>2025</v>
      </c>
      <c r="B599">
        <v>891</v>
      </c>
      <c r="C599" t="s">
        <v>171</v>
      </c>
      <c r="D599" t="s">
        <v>497</v>
      </c>
      <c r="E599" t="s">
        <v>547</v>
      </c>
      <c r="F599" t="s">
        <v>548</v>
      </c>
      <c r="G599">
        <v>1250</v>
      </c>
      <c r="I599">
        <v>25</v>
      </c>
      <c r="J599">
        <v>1275</v>
      </c>
      <c r="K599">
        <v>1580</v>
      </c>
      <c r="L599">
        <v>1660</v>
      </c>
      <c r="M599">
        <v>2025</v>
      </c>
      <c r="N599">
        <v>1530</v>
      </c>
      <c r="O599">
        <v>1780</v>
      </c>
      <c r="P599">
        <v>4840</v>
      </c>
    </row>
    <row r="600" spans="1:16" x14ac:dyDescent="0.25">
      <c r="B600">
        <v>894</v>
      </c>
      <c r="C600" t="s">
        <v>171</v>
      </c>
      <c r="D600" t="s">
        <v>497</v>
      </c>
      <c r="E600" t="s">
        <v>174</v>
      </c>
      <c r="F600" t="s">
        <v>175</v>
      </c>
      <c r="G600">
        <v>550</v>
      </c>
      <c r="I600">
        <v>25</v>
      </c>
      <c r="J600">
        <v>575</v>
      </c>
      <c r="K600">
        <v>715</v>
      </c>
      <c r="L600">
        <v>750</v>
      </c>
      <c r="M600">
        <v>925</v>
      </c>
      <c r="N600">
        <v>690</v>
      </c>
      <c r="O600">
        <v>805</v>
      </c>
      <c r="P600">
        <v>2200</v>
      </c>
    </row>
    <row r="601" spans="1:16" x14ac:dyDescent="0.25">
      <c r="A601">
        <v>2025</v>
      </c>
      <c r="B601">
        <v>895</v>
      </c>
      <c r="C601" t="s">
        <v>171</v>
      </c>
      <c r="D601" t="s">
        <v>497</v>
      </c>
      <c r="E601" t="s">
        <v>547</v>
      </c>
      <c r="F601" t="s">
        <v>658</v>
      </c>
      <c r="G601">
        <v>1450</v>
      </c>
      <c r="I601">
        <v>25</v>
      </c>
      <c r="J601">
        <v>1475</v>
      </c>
      <c r="K601">
        <v>1825</v>
      </c>
      <c r="L601">
        <v>1920</v>
      </c>
      <c r="M601">
        <v>2325</v>
      </c>
      <c r="N601">
        <v>1770</v>
      </c>
      <c r="O601">
        <v>2055</v>
      </c>
      <c r="P601">
        <v>6290</v>
      </c>
    </row>
    <row r="602" spans="1:16" x14ac:dyDescent="0.25">
      <c r="A602">
        <v>2025</v>
      </c>
      <c r="B602">
        <v>896</v>
      </c>
      <c r="C602" t="s">
        <v>171</v>
      </c>
      <c r="D602" t="s">
        <v>497</v>
      </c>
      <c r="E602" t="s">
        <v>547</v>
      </c>
      <c r="F602" t="s">
        <v>659</v>
      </c>
      <c r="G602">
        <v>1750</v>
      </c>
      <c r="I602">
        <v>25</v>
      </c>
      <c r="J602">
        <v>1775</v>
      </c>
      <c r="K602">
        <v>2195</v>
      </c>
      <c r="L602">
        <v>2310</v>
      </c>
      <c r="M602">
        <v>3150</v>
      </c>
      <c r="N602">
        <v>2130</v>
      </c>
      <c r="O602">
        <v>2475</v>
      </c>
      <c r="P602">
        <v>7560</v>
      </c>
    </row>
    <row r="603" spans="1:16" x14ac:dyDescent="0.25">
      <c r="A603">
        <v>2025</v>
      </c>
      <c r="B603">
        <v>897</v>
      </c>
      <c r="C603" t="s">
        <v>171</v>
      </c>
      <c r="D603" t="s">
        <v>497</v>
      </c>
      <c r="E603" t="s">
        <v>547</v>
      </c>
      <c r="F603" t="s">
        <v>660</v>
      </c>
      <c r="G603">
        <v>1000</v>
      </c>
      <c r="I603">
        <v>25</v>
      </c>
      <c r="J603">
        <v>1025</v>
      </c>
      <c r="K603">
        <v>1270</v>
      </c>
      <c r="L603">
        <v>1335</v>
      </c>
      <c r="M603">
        <v>1625</v>
      </c>
      <c r="N603">
        <v>1230</v>
      </c>
      <c r="O603">
        <v>1430</v>
      </c>
      <c r="P603">
        <v>3900</v>
      </c>
    </row>
    <row r="604" spans="1:16" x14ac:dyDescent="0.25">
      <c r="A604">
        <v>2025</v>
      </c>
      <c r="B604">
        <v>898</v>
      </c>
      <c r="C604" t="s">
        <v>171</v>
      </c>
      <c r="D604" t="s">
        <v>497</v>
      </c>
      <c r="E604" t="s">
        <v>547</v>
      </c>
      <c r="F604" t="s">
        <v>668</v>
      </c>
      <c r="G604">
        <v>1600</v>
      </c>
      <c r="I604">
        <v>25</v>
      </c>
      <c r="J604">
        <v>1625</v>
      </c>
      <c r="K604">
        <v>2010</v>
      </c>
      <c r="L604">
        <v>2115</v>
      </c>
      <c r="M604">
        <v>2600</v>
      </c>
      <c r="N604">
        <v>1950</v>
      </c>
      <c r="O604">
        <v>2265</v>
      </c>
      <c r="P604">
        <v>6920</v>
      </c>
    </row>
    <row r="605" spans="1:16" x14ac:dyDescent="0.25">
      <c r="B605">
        <v>4521</v>
      </c>
      <c r="C605" t="s">
        <v>171</v>
      </c>
      <c r="D605" t="s">
        <v>495</v>
      </c>
      <c r="F605" t="s">
        <v>312</v>
      </c>
      <c r="G605">
        <v>205</v>
      </c>
      <c r="I605">
        <v>10</v>
      </c>
      <c r="J605">
        <v>215</v>
      </c>
      <c r="K605">
        <v>260</v>
      </c>
      <c r="L605">
        <v>270</v>
      </c>
      <c r="M605">
        <v>350</v>
      </c>
      <c r="N605">
        <v>250</v>
      </c>
      <c r="O605">
        <v>290</v>
      </c>
      <c r="P605">
        <v>900</v>
      </c>
    </row>
    <row r="606" spans="1:16" x14ac:dyDescent="0.25">
      <c r="B606">
        <v>4561</v>
      </c>
      <c r="C606" t="s">
        <v>171</v>
      </c>
      <c r="D606" t="s">
        <v>495</v>
      </c>
      <c r="E606" t="s">
        <v>225</v>
      </c>
      <c r="F606" t="s">
        <v>216</v>
      </c>
      <c r="G606">
        <v>405</v>
      </c>
      <c r="I606">
        <v>15</v>
      </c>
      <c r="J606">
        <v>420</v>
      </c>
      <c r="K606">
        <v>500</v>
      </c>
      <c r="L606">
        <v>525</v>
      </c>
      <c r="M606">
        <v>675</v>
      </c>
      <c r="N606">
        <v>485</v>
      </c>
      <c r="O606">
        <v>565</v>
      </c>
      <c r="P606">
        <v>1650</v>
      </c>
    </row>
    <row r="607" spans="1:16" x14ac:dyDescent="0.25">
      <c r="B607">
        <v>4562</v>
      </c>
      <c r="C607" t="s">
        <v>171</v>
      </c>
      <c r="D607" t="s">
        <v>495</v>
      </c>
      <c r="E607" t="s">
        <v>225</v>
      </c>
      <c r="F607" t="s">
        <v>209</v>
      </c>
      <c r="G607">
        <v>360</v>
      </c>
      <c r="I607">
        <v>15</v>
      </c>
      <c r="J607">
        <v>375</v>
      </c>
      <c r="K607">
        <v>450</v>
      </c>
      <c r="L607">
        <v>470</v>
      </c>
      <c r="M607">
        <v>600</v>
      </c>
      <c r="N607">
        <v>435</v>
      </c>
      <c r="O607">
        <v>505</v>
      </c>
      <c r="P607">
        <v>1480</v>
      </c>
    </row>
    <row r="608" spans="1:16" x14ac:dyDescent="0.25">
      <c r="B608">
        <v>4563</v>
      </c>
      <c r="C608" t="s">
        <v>171</v>
      </c>
      <c r="D608" t="s">
        <v>495</v>
      </c>
      <c r="E608" t="s">
        <v>225</v>
      </c>
      <c r="F608" t="s">
        <v>211</v>
      </c>
      <c r="G608">
        <v>495</v>
      </c>
      <c r="I608">
        <v>15</v>
      </c>
      <c r="J608">
        <v>510</v>
      </c>
      <c r="K608">
        <v>610</v>
      </c>
      <c r="L608">
        <v>640</v>
      </c>
      <c r="M608">
        <v>825</v>
      </c>
      <c r="N608">
        <v>590</v>
      </c>
      <c r="O608">
        <v>685</v>
      </c>
      <c r="P608">
        <v>1990</v>
      </c>
    </row>
    <row r="609" spans="1:16" x14ac:dyDescent="0.25">
      <c r="B609">
        <v>4564</v>
      </c>
      <c r="C609" t="s">
        <v>171</v>
      </c>
      <c r="D609" t="s">
        <v>495</v>
      </c>
      <c r="E609" t="s">
        <v>225</v>
      </c>
      <c r="F609" t="s">
        <v>212</v>
      </c>
      <c r="G609">
        <v>370</v>
      </c>
      <c r="I609">
        <v>15</v>
      </c>
      <c r="J609">
        <v>385</v>
      </c>
      <c r="K609">
        <v>465</v>
      </c>
      <c r="L609">
        <v>485</v>
      </c>
      <c r="M609">
        <v>625</v>
      </c>
      <c r="N609">
        <v>450</v>
      </c>
      <c r="O609">
        <v>520</v>
      </c>
      <c r="P609">
        <v>1520</v>
      </c>
    </row>
    <row r="610" spans="1:16" x14ac:dyDescent="0.25">
      <c r="B610">
        <v>4565</v>
      </c>
      <c r="C610" t="s">
        <v>171</v>
      </c>
      <c r="D610" t="s">
        <v>495</v>
      </c>
      <c r="E610" t="s">
        <v>225</v>
      </c>
      <c r="F610" t="s">
        <v>213</v>
      </c>
      <c r="G610">
        <v>465</v>
      </c>
      <c r="I610">
        <v>15</v>
      </c>
      <c r="J610">
        <v>480</v>
      </c>
      <c r="K610">
        <v>570</v>
      </c>
      <c r="L610">
        <v>600</v>
      </c>
      <c r="M610">
        <v>775</v>
      </c>
      <c r="N610">
        <v>555</v>
      </c>
      <c r="O610">
        <v>645</v>
      </c>
      <c r="P610">
        <v>1880</v>
      </c>
    </row>
    <row r="611" spans="1:16" x14ac:dyDescent="0.25">
      <c r="B611">
        <v>4566</v>
      </c>
      <c r="C611" t="s">
        <v>171</v>
      </c>
      <c r="D611" t="s">
        <v>495</v>
      </c>
      <c r="E611" t="s">
        <v>225</v>
      </c>
      <c r="F611" t="s">
        <v>214</v>
      </c>
      <c r="G611">
        <v>490</v>
      </c>
      <c r="I611">
        <v>15</v>
      </c>
      <c r="J611">
        <v>505</v>
      </c>
      <c r="K611">
        <v>605</v>
      </c>
      <c r="L611">
        <v>635</v>
      </c>
      <c r="M611">
        <v>800</v>
      </c>
      <c r="N611">
        <v>585</v>
      </c>
      <c r="O611">
        <v>680</v>
      </c>
      <c r="P611">
        <v>1970</v>
      </c>
    </row>
    <row r="612" spans="1:16" x14ac:dyDescent="0.25">
      <c r="B612">
        <v>4567</v>
      </c>
      <c r="C612" t="s">
        <v>171</v>
      </c>
      <c r="D612" t="s">
        <v>495</v>
      </c>
      <c r="E612" t="s">
        <v>225</v>
      </c>
      <c r="F612" t="s">
        <v>217</v>
      </c>
      <c r="G612">
        <v>415</v>
      </c>
      <c r="I612">
        <v>15</v>
      </c>
      <c r="J612">
        <v>430</v>
      </c>
      <c r="K612">
        <v>515</v>
      </c>
      <c r="L612">
        <v>540</v>
      </c>
      <c r="M612">
        <v>700</v>
      </c>
      <c r="N612">
        <v>500</v>
      </c>
      <c r="O612">
        <v>580</v>
      </c>
      <c r="P612">
        <v>1690</v>
      </c>
    </row>
    <row r="613" spans="1:16" x14ac:dyDescent="0.25">
      <c r="B613">
        <v>4568</v>
      </c>
      <c r="C613" t="s">
        <v>171</v>
      </c>
      <c r="D613" t="s">
        <v>495</v>
      </c>
      <c r="E613" t="s">
        <v>225</v>
      </c>
      <c r="F613" t="s">
        <v>218</v>
      </c>
      <c r="G613">
        <v>515</v>
      </c>
      <c r="I613">
        <v>15</v>
      </c>
      <c r="J613">
        <v>530</v>
      </c>
      <c r="K613">
        <v>635</v>
      </c>
      <c r="L613">
        <v>665</v>
      </c>
      <c r="M613">
        <v>850</v>
      </c>
      <c r="N613">
        <v>615</v>
      </c>
      <c r="O613">
        <v>715</v>
      </c>
      <c r="P613">
        <v>2070</v>
      </c>
    </row>
    <row r="614" spans="1:16" x14ac:dyDescent="0.25">
      <c r="B614">
        <v>4569</v>
      </c>
      <c r="C614" t="s">
        <v>171</v>
      </c>
      <c r="D614" t="s">
        <v>495</v>
      </c>
      <c r="E614" t="s">
        <v>225</v>
      </c>
      <c r="F614" t="s">
        <v>219</v>
      </c>
      <c r="G614">
        <v>640</v>
      </c>
      <c r="I614">
        <v>15</v>
      </c>
      <c r="J614">
        <v>655</v>
      </c>
      <c r="K614">
        <v>780</v>
      </c>
      <c r="L614">
        <v>820</v>
      </c>
      <c r="M614">
        <v>1050</v>
      </c>
      <c r="N614">
        <v>755</v>
      </c>
      <c r="O614">
        <v>880</v>
      </c>
      <c r="P614">
        <v>2540</v>
      </c>
    </row>
    <row r="615" spans="1:16" x14ac:dyDescent="0.25">
      <c r="B615">
        <v>4570</v>
      </c>
      <c r="C615" t="s">
        <v>171</v>
      </c>
      <c r="D615" t="s">
        <v>495</v>
      </c>
      <c r="E615" t="s">
        <v>225</v>
      </c>
      <c r="F615" t="s">
        <v>220</v>
      </c>
      <c r="G615">
        <v>535</v>
      </c>
      <c r="I615">
        <v>15</v>
      </c>
      <c r="J615">
        <v>550</v>
      </c>
      <c r="K615">
        <v>660</v>
      </c>
      <c r="L615">
        <v>690</v>
      </c>
      <c r="M615">
        <v>875</v>
      </c>
      <c r="N615">
        <v>635</v>
      </c>
      <c r="O615">
        <v>740</v>
      </c>
      <c r="P615">
        <v>2140</v>
      </c>
    </row>
    <row r="616" spans="1:16" x14ac:dyDescent="0.25">
      <c r="B616">
        <v>4571</v>
      </c>
      <c r="C616" t="s">
        <v>171</v>
      </c>
      <c r="D616" t="s">
        <v>495</v>
      </c>
      <c r="E616" t="s">
        <v>225</v>
      </c>
      <c r="F616" t="s">
        <v>221</v>
      </c>
      <c r="G616">
        <v>585</v>
      </c>
      <c r="I616">
        <v>15</v>
      </c>
      <c r="J616">
        <v>600</v>
      </c>
      <c r="K616">
        <v>715</v>
      </c>
      <c r="L616">
        <v>750</v>
      </c>
      <c r="M616">
        <v>950</v>
      </c>
      <c r="N616">
        <v>690</v>
      </c>
      <c r="O616">
        <v>805</v>
      </c>
      <c r="P616">
        <v>2330</v>
      </c>
    </row>
    <row r="617" spans="1:16" x14ac:dyDescent="0.25">
      <c r="B617">
        <v>4573</v>
      </c>
      <c r="C617" t="s">
        <v>171</v>
      </c>
      <c r="D617" t="s">
        <v>495</v>
      </c>
      <c r="E617" t="s">
        <v>225</v>
      </c>
      <c r="F617" t="s">
        <v>222</v>
      </c>
      <c r="G617">
        <v>535</v>
      </c>
      <c r="I617">
        <v>15</v>
      </c>
      <c r="J617">
        <v>550</v>
      </c>
      <c r="K617">
        <v>660</v>
      </c>
      <c r="L617">
        <v>690</v>
      </c>
      <c r="M617">
        <v>875</v>
      </c>
      <c r="N617">
        <v>635</v>
      </c>
      <c r="O617">
        <v>740</v>
      </c>
      <c r="P617">
        <v>2140</v>
      </c>
    </row>
    <row r="618" spans="1:16" x14ac:dyDescent="0.25">
      <c r="B618">
        <v>4574</v>
      </c>
      <c r="C618" t="s">
        <v>171</v>
      </c>
      <c r="D618" t="s">
        <v>495</v>
      </c>
      <c r="E618" t="s">
        <v>225</v>
      </c>
      <c r="F618" t="s">
        <v>210</v>
      </c>
      <c r="G618">
        <v>390</v>
      </c>
      <c r="I618">
        <v>15</v>
      </c>
      <c r="J618">
        <v>405</v>
      </c>
      <c r="K618">
        <v>485</v>
      </c>
      <c r="L618">
        <v>510</v>
      </c>
      <c r="M618">
        <v>650</v>
      </c>
      <c r="N618">
        <v>470</v>
      </c>
      <c r="O618">
        <v>550</v>
      </c>
      <c r="P618">
        <v>1600</v>
      </c>
    </row>
    <row r="619" spans="1:16" x14ac:dyDescent="0.25">
      <c r="B619">
        <v>4575</v>
      </c>
      <c r="C619" t="s">
        <v>171</v>
      </c>
      <c r="D619" t="s">
        <v>495</v>
      </c>
      <c r="E619" t="s">
        <v>225</v>
      </c>
      <c r="F619" t="s">
        <v>223</v>
      </c>
      <c r="G619">
        <v>590</v>
      </c>
      <c r="I619">
        <v>15</v>
      </c>
      <c r="J619">
        <v>605</v>
      </c>
      <c r="K619">
        <v>725</v>
      </c>
      <c r="L619">
        <v>760</v>
      </c>
      <c r="M619">
        <v>975</v>
      </c>
      <c r="N619">
        <v>700</v>
      </c>
      <c r="O619">
        <v>815</v>
      </c>
      <c r="P619">
        <v>2350</v>
      </c>
    </row>
    <row r="620" spans="1:16" x14ac:dyDescent="0.25">
      <c r="B620">
        <v>4576</v>
      </c>
      <c r="C620" t="s">
        <v>171</v>
      </c>
      <c r="D620" t="s">
        <v>495</v>
      </c>
      <c r="E620" t="s">
        <v>225</v>
      </c>
      <c r="F620" t="s">
        <v>224</v>
      </c>
      <c r="G620">
        <v>640</v>
      </c>
      <c r="I620">
        <v>15</v>
      </c>
      <c r="J620">
        <v>655</v>
      </c>
      <c r="K620">
        <v>780</v>
      </c>
      <c r="L620">
        <v>820</v>
      </c>
      <c r="M620">
        <v>1050</v>
      </c>
      <c r="N620">
        <v>755</v>
      </c>
      <c r="O620">
        <v>880</v>
      </c>
      <c r="P620">
        <v>2540</v>
      </c>
    </row>
    <row r="621" spans="1:16" x14ac:dyDescent="0.25">
      <c r="B621">
        <v>5001</v>
      </c>
      <c r="C621" t="s">
        <v>171</v>
      </c>
      <c r="D621" t="s">
        <v>494</v>
      </c>
      <c r="F621" t="s">
        <v>111</v>
      </c>
      <c r="G621">
        <v>450</v>
      </c>
      <c r="I621">
        <v>12</v>
      </c>
      <c r="J621">
        <v>462</v>
      </c>
      <c r="K621">
        <v>555</v>
      </c>
      <c r="L621">
        <v>580</v>
      </c>
      <c r="M621">
        <v>750</v>
      </c>
      <c r="N621">
        <v>535</v>
      </c>
      <c r="O621">
        <v>625</v>
      </c>
      <c r="P621">
        <v>1820</v>
      </c>
    </row>
    <row r="622" spans="1:16" x14ac:dyDescent="0.25">
      <c r="B622">
        <v>5002</v>
      </c>
      <c r="C622" t="s">
        <v>171</v>
      </c>
      <c r="D622" t="s">
        <v>494</v>
      </c>
      <c r="F622" t="s">
        <v>110</v>
      </c>
      <c r="G622">
        <v>190</v>
      </c>
      <c r="I622">
        <v>12</v>
      </c>
      <c r="J622">
        <v>202</v>
      </c>
      <c r="K622">
        <v>245</v>
      </c>
      <c r="L622">
        <v>255</v>
      </c>
      <c r="M622">
        <v>325</v>
      </c>
      <c r="N622">
        <v>235</v>
      </c>
      <c r="O622">
        <v>275</v>
      </c>
      <c r="P622">
        <v>840</v>
      </c>
    </row>
    <row r="623" spans="1:16" x14ac:dyDescent="0.25">
      <c r="A623">
        <v>2025</v>
      </c>
      <c r="B623">
        <v>5003</v>
      </c>
      <c r="C623" t="s">
        <v>171</v>
      </c>
      <c r="D623" t="s">
        <v>494</v>
      </c>
      <c r="E623" t="s">
        <v>237</v>
      </c>
      <c r="F623" t="s">
        <v>317</v>
      </c>
      <c r="G623">
        <v>235</v>
      </c>
      <c r="I623">
        <v>15</v>
      </c>
      <c r="J623">
        <v>250</v>
      </c>
      <c r="K623">
        <v>300</v>
      </c>
      <c r="L623">
        <v>315</v>
      </c>
      <c r="M623">
        <v>400</v>
      </c>
      <c r="N623">
        <v>290</v>
      </c>
      <c r="O623">
        <v>340</v>
      </c>
      <c r="P623">
        <v>1010</v>
      </c>
    </row>
    <row r="624" spans="1:16" x14ac:dyDescent="0.25">
      <c r="A624">
        <v>2026</v>
      </c>
      <c r="B624">
        <v>5004</v>
      </c>
      <c r="C624" t="s">
        <v>171</v>
      </c>
      <c r="D624" t="s">
        <v>494</v>
      </c>
      <c r="E624" t="s">
        <v>237</v>
      </c>
      <c r="F624" t="s">
        <v>316</v>
      </c>
      <c r="G624">
        <v>250</v>
      </c>
      <c r="I624">
        <v>15</v>
      </c>
      <c r="J624">
        <v>265</v>
      </c>
      <c r="K624">
        <v>320</v>
      </c>
      <c r="L624">
        <v>335</v>
      </c>
      <c r="M624">
        <v>425</v>
      </c>
      <c r="N624">
        <v>310</v>
      </c>
      <c r="O624">
        <v>360</v>
      </c>
      <c r="P624">
        <v>1070</v>
      </c>
    </row>
    <row r="625" spans="1:16" x14ac:dyDescent="0.25">
      <c r="B625">
        <v>5006</v>
      </c>
      <c r="C625" t="s">
        <v>171</v>
      </c>
      <c r="D625" t="s">
        <v>494</v>
      </c>
      <c r="E625" t="s">
        <v>227</v>
      </c>
      <c r="F625" t="s">
        <v>230</v>
      </c>
      <c r="G625">
        <v>280</v>
      </c>
      <c r="I625">
        <v>12</v>
      </c>
      <c r="J625">
        <v>292</v>
      </c>
      <c r="K625">
        <v>350</v>
      </c>
      <c r="L625">
        <v>365</v>
      </c>
      <c r="M625">
        <v>475</v>
      </c>
      <c r="N625">
        <v>340</v>
      </c>
      <c r="O625">
        <v>395</v>
      </c>
      <c r="P625">
        <v>1180</v>
      </c>
    </row>
    <row r="626" spans="1:16" x14ac:dyDescent="0.25">
      <c r="B626">
        <v>5007</v>
      </c>
      <c r="C626" t="s">
        <v>171</v>
      </c>
      <c r="D626" t="s">
        <v>494</v>
      </c>
      <c r="E626" t="s">
        <v>227</v>
      </c>
      <c r="F626" t="s">
        <v>228</v>
      </c>
      <c r="G626">
        <v>250</v>
      </c>
      <c r="I626">
        <v>12</v>
      </c>
      <c r="J626">
        <v>262</v>
      </c>
      <c r="K626">
        <v>315</v>
      </c>
      <c r="L626">
        <v>330</v>
      </c>
      <c r="M626">
        <v>425</v>
      </c>
      <c r="N626">
        <v>305</v>
      </c>
      <c r="O626">
        <v>355</v>
      </c>
      <c r="P626">
        <v>1070</v>
      </c>
    </row>
    <row r="627" spans="1:16" x14ac:dyDescent="0.25">
      <c r="A627">
        <v>2026</v>
      </c>
      <c r="B627">
        <v>5010</v>
      </c>
      <c r="C627" t="s">
        <v>171</v>
      </c>
      <c r="D627" t="s">
        <v>494</v>
      </c>
      <c r="E627" t="s">
        <v>237</v>
      </c>
      <c r="F627" t="s">
        <v>238</v>
      </c>
      <c r="G627">
        <v>240</v>
      </c>
      <c r="I627">
        <v>15</v>
      </c>
      <c r="J627">
        <v>255</v>
      </c>
      <c r="K627">
        <v>305</v>
      </c>
      <c r="L627">
        <v>320</v>
      </c>
      <c r="M627">
        <v>425</v>
      </c>
      <c r="N627">
        <v>295</v>
      </c>
      <c r="O627">
        <v>345</v>
      </c>
      <c r="P627">
        <v>1030</v>
      </c>
    </row>
    <row r="628" spans="1:16" x14ac:dyDescent="0.25">
      <c r="A628">
        <v>2026</v>
      </c>
      <c r="B628">
        <v>5011</v>
      </c>
      <c r="C628" t="s">
        <v>171</v>
      </c>
      <c r="D628" t="s">
        <v>494</v>
      </c>
      <c r="E628" t="s">
        <v>864</v>
      </c>
      <c r="F628" t="s">
        <v>865</v>
      </c>
      <c r="G628">
        <v>197</v>
      </c>
      <c r="H628">
        <v>8</v>
      </c>
      <c r="I628">
        <v>15</v>
      </c>
      <c r="J628">
        <v>220</v>
      </c>
      <c r="K628">
        <v>265</v>
      </c>
      <c r="L628">
        <v>275</v>
      </c>
      <c r="M628">
        <v>350</v>
      </c>
      <c r="N628">
        <v>255</v>
      </c>
      <c r="O628">
        <v>295</v>
      </c>
      <c r="P628">
        <v>870</v>
      </c>
    </row>
    <row r="629" spans="1:16" x14ac:dyDescent="0.25">
      <c r="B629">
        <v>5012</v>
      </c>
      <c r="C629" t="s">
        <v>171</v>
      </c>
      <c r="D629" t="s">
        <v>494</v>
      </c>
      <c r="E629" t="s">
        <v>237</v>
      </c>
      <c r="F629" t="s">
        <v>373</v>
      </c>
      <c r="G629">
        <v>270</v>
      </c>
      <c r="I629">
        <v>15</v>
      </c>
      <c r="J629">
        <v>285</v>
      </c>
      <c r="K629">
        <v>345</v>
      </c>
      <c r="L629">
        <v>360</v>
      </c>
      <c r="M629">
        <v>450</v>
      </c>
      <c r="N629">
        <v>335</v>
      </c>
      <c r="O629">
        <v>390</v>
      </c>
      <c r="P629">
        <v>1140</v>
      </c>
    </row>
    <row r="630" spans="1:16" x14ac:dyDescent="0.25">
      <c r="B630">
        <v>5013</v>
      </c>
      <c r="C630" t="s">
        <v>171</v>
      </c>
      <c r="D630" t="s">
        <v>494</v>
      </c>
      <c r="E630" t="s">
        <v>237</v>
      </c>
      <c r="F630" t="s">
        <v>374</v>
      </c>
      <c r="G630">
        <v>210</v>
      </c>
      <c r="I630">
        <v>15</v>
      </c>
      <c r="J630">
        <v>225</v>
      </c>
      <c r="K630">
        <v>275</v>
      </c>
      <c r="L630">
        <v>285</v>
      </c>
      <c r="M630">
        <v>375</v>
      </c>
      <c r="N630">
        <v>265</v>
      </c>
      <c r="O630">
        <v>305</v>
      </c>
      <c r="P630">
        <v>920</v>
      </c>
    </row>
    <row r="631" spans="1:16" x14ac:dyDescent="0.25">
      <c r="B631">
        <v>5014</v>
      </c>
      <c r="C631" t="s">
        <v>171</v>
      </c>
      <c r="D631" t="s">
        <v>494</v>
      </c>
      <c r="E631" t="s">
        <v>237</v>
      </c>
      <c r="F631" t="s">
        <v>375</v>
      </c>
      <c r="G631">
        <v>230</v>
      </c>
      <c r="I631">
        <v>15</v>
      </c>
      <c r="J631">
        <v>245</v>
      </c>
      <c r="K631">
        <v>295</v>
      </c>
      <c r="L631">
        <v>310</v>
      </c>
      <c r="M631">
        <v>400</v>
      </c>
      <c r="N631">
        <v>290</v>
      </c>
      <c r="O631">
        <v>335</v>
      </c>
      <c r="P631">
        <v>990</v>
      </c>
    </row>
    <row r="632" spans="1:16" x14ac:dyDescent="0.25">
      <c r="B632">
        <v>5015</v>
      </c>
      <c r="C632" t="s">
        <v>171</v>
      </c>
      <c r="D632" t="s">
        <v>494</v>
      </c>
      <c r="E632" t="s">
        <v>237</v>
      </c>
      <c r="F632" t="s">
        <v>376</v>
      </c>
      <c r="G632">
        <v>270</v>
      </c>
      <c r="I632">
        <v>15</v>
      </c>
      <c r="J632">
        <v>285</v>
      </c>
      <c r="K632">
        <v>345</v>
      </c>
      <c r="L632">
        <v>360</v>
      </c>
      <c r="M632">
        <v>450</v>
      </c>
      <c r="N632">
        <v>335</v>
      </c>
      <c r="O632">
        <v>390</v>
      </c>
      <c r="P632">
        <v>1140</v>
      </c>
    </row>
    <row r="633" spans="1:16" x14ac:dyDescent="0.25">
      <c r="B633">
        <v>5016</v>
      </c>
      <c r="C633" t="s">
        <v>171</v>
      </c>
      <c r="D633" t="s">
        <v>494</v>
      </c>
      <c r="E633" t="s">
        <v>237</v>
      </c>
      <c r="F633" t="s">
        <v>377</v>
      </c>
      <c r="G633">
        <v>260</v>
      </c>
      <c r="I633">
        <v>15</v>
      </c>
      <c r="J633">
        <v>275</v>
      </c>
      <c r="K633">
        <v>330</v>
      </c>
      <c r="L633">
        <v>345</v>
      </c>
      <c r="M633">
        <v>450</v>
      </c>
      <c r="N633">
        <v>320</v>
      </c>
      <c r="O633">
        <v>370</v>
      </c>
      <c r="P633">
        <v>1110</v>
      </c>
    </row>
    <row r="634" spans="1:16" x14ac:dyDescent="0.25">
      <c r="B634">
        <v>5017</v>
      </c>
      <c r="C634" t="s">
        <v>171</v>
      </c>
      <c r="D634" t="s">
        <v>494</v>
      </c>
      <c r="E634" t="s">
        <v>237</v>
      </c>
      <c r="F634" t="s">
        <v>378</v>
      </c>
      <c r="G634">
        <v>230</v>
      </c>
      <c r="I634">
        <v>15</v>
      </c>
      <c r="J634">
        <v>245</v>
      </c>
      <c r="K634">
        <v>295</v>
      </c>
      <c r="L634">
        <v>310</v>
      </c>
      <c r="M634">
        <v>400</v>
      </c>
      <c r="N634">
        <v>290</v>
      </c>
      <c r="O634">
        <v>335</v>
      </c>
      <c r="P634">
        <v>990</v>
      </c>
    </row>
    <row r="635" spans="1:16" x14ac:dyDescent="0.25">
      <c r="B635">
        <v>5018</v>
      </c>
      <c r="C635" t="s">
        <v>171</v>
      </c>
      <c r="D635" t="s">
        <v>494</v>
      </c>
      <c r="E635" t="s">
        <v>237</v>
      </c>
      <c r="F635" t="s">
        <v>424</v>
      </c>
      <c r="G635">
        <v>270</v>
      </c>
      <c r="I635">
        <v>15</v>
      </c>
      <c r="J635">
        <v>285</v>
      </c>
      <c r="K635">
        <v>345</v>
      </c>
      <c r="L635">
        <v>360</v>
      </c>
      <c r="M635">
        <v>450</v>
      </c>
      <c r="N635">
        <v>335</v>
      </c>
      <c r="O635">
        <v>390</v>
      </c>
      <c r="P635">
        <v>1140</v>
      </c>
    </row>
    <row r="636" spans="1:16" x14ac:dyDescent="0.25">
      <c r="B636">
        <v>5019</v>
      </c>
      <c r="C636" t="s">
        <v>171</v>
      </c>
      <c r="D636" t="s">
        <v>494</v>
      </c>
      <c r="E636" t="s">
        <v>379</v>
      </c>
      <c r="F636" t="s">
        <v>382</v>
      </c>
      <c r="G636">
        <v>230</v>
      </c>
      <c r="I636">
        <v>15</v>
      </c>
      <c r="J636">
        <v>245</v>
      </c>
      <c r="K636">
        <v>295</v>
      </c>
      <c r="L636">
        <v>310</v>
      </c>
      <c r="M636">
        <v>400</v>
      </c>
      <c r="N636">
        <v>290</v>
      </c>
      <c r="O636">
        <v>335</v>
      </c>
      <c r="P636">
        <v>990</v>
      </c>
    </row>
    <row r="637" spans="1:16" x14ac:dyDescent="0.25">
      <c r="B637">
        <v>5020</v>
      </c>
      <c r="C637" t="s">
        <v>171</v>
      </c>
      <c r="D637" t="s">
        <v>494</v>
      </c>
      <c r="E637" t="s">
        <v>379</v>
      </c>
      <c r="F637" t="s">
        <v>383</v>
      </c>
      <c r="G637">
        <v>230</v>
      </c>
      <c r="I637">
        <v>15</v>
      </c>
      <c r="J637">
        <v>245</v>
      </c>
      <c r="K637">
        <v>295</v>
      </c>
      <c r="L637">
        <v>310</v>
      </c>
      <c r="M637">
        <v>400</v>
      </c>
      <c r="N637">
        <v>290</v>
      </c>
      <c r="O637">
        <v>335</v>
      </c>
      <c r="P637">
        <v>990</v>
      </c>
    </row>
    <row r="638" spans="1:16" x14ac:dyDescent="0.25">
      <c r="A638">
        <v>2026</v>
      </c>
      <c r="B638">
        <v>5021</v>
      </c>
      <c r="C638" t="s">
        <v>171</v>
      </c>
      <c r="D638" t="s">
        <v>494</v>
      </c>
      <c r="E638" t="s">
        <v>249</v>
      </c>
      <c r="F638" t="s">
        <v>902</v>
      </c>
      <c r="G638">
        <v>190</v>
      </c>
      <c r="I638">
        <v>85</v>
      </c>
      <c r="J638">
        <v>275</v>
      </c>
      <c r="K638">
        <v>330</v>
      </c>
      <c r="L638">
        <v>345</v>
      </c>
      <c r="M638">
        <v>450</v>
      </c>
      <c r="N638">
        <v>320</v>
      </c>
      <c r="O638">
        <v>370</v>
      </c>
      <c r="P638">
        <v>840</v>
      </c>
    </row>
    <row r="639" spans="1:16" x14ac:dyDescent="0.25">
      <c r="A639">
        <v>2025</v>
      </c>
      <c r="B639">
        <v>5022</v>
      </c>
      <c r="C639" t="s">
        <v>171</v>
      </c>
      <c r="D639" t="s">
        <v>494</v>
      </c>
      <c r="E639" t="s">
        <v>345</v>
      </c>
      <c r="F639" t="s">
        <v>642</v>
      </c>
      <c r="G639">
        <v>300</v>
      </c>
      <c r="I639">
        <v>15</v>
      </c>
      <c r="J639">
        <v>315</v>
      </c>
      <c r="K639">
        <v>380</v>
      </c>
      <c r="L639">
        <v>395</v>
      </c>
      <c r="M639">
        <v>500</v>
      </c>
      <c r="N639">
        <v>365</v>
      </c>
      <c r="O639">
        <v>425</v>
      </c>
      <c r="P639">
        <v>1260</v>
      </c>
    </row>
    <row r="640" spans="1:16" x14ac:dyDescent="0.25">
      <c r="B640">
        <v>5023</v>
      </c>
      <c r="C640" t="s">
        <v>171</v>
      </c>
      <c r="D640" t="s">
        <v>494</v>
      </c>
      <c r="E640" t="s">
        <v>379</v>
      </c>
      <c r="F640" t="s">
        <v>384</v>
      </c>
      <c r="G640">
        <v>230</v>
      </c>
      <c r="I640">
        <v>15</v>
      </c>
      <c r="J640">
        <v>245</v>
      </c>
      <c r="K640">
        <v>295</v>
      </c>
      <c r="L640">
        <v>310</v>
      </c>
      <c r="M640">
        <v>400</v>
      </c>
      <c r="N640">
        <v>290</v>
      </c>
      <c r="O640">
        <v>335</v>
      </c>
      <c r="P640">
        <v>990</v>
      </c>
    </row>
    <row r="641" spans="1:16" x14ac:dyDescent="0.25">
      <c r="B641">
        <v>5024</v>
      </c>
      <c r="C641" t="s">
        <v>171</v>
      </c>
      <c r="D641" t="s">
        <v>494</v>
      </c>
      <c r="E641" t="s">
        <v>379</v>
      </c>
      <c r="F641" t="s">
        <v>385</v>
      </c>
      <c r="G641">
        <v>230</v>
      </c>
      <c r="I641">
        <v>15</v>
      </c>
      <c r="J641">
        <v>245</v>
      </c>
      <c r="K641">
        <v>295</v>
      </c>
      <c r="L641">
        <v>310</v>
      </c>
      <c r="M641">
        <v>400</v>
      </c>
      <c r="N641">
        <v>290</v>
      </c>
      <c r="O641">
        <v>335</v>
      </c>
      <c r="P641">
        <v>990</v>
      </c>
    </row>
    <row r="642" spans="1:16" x14ac:dyDescent="0.25">
      <c r="B642">
        <v>5025</v>
      </c>
      <c r="C642" t="s">
        <v>171</v>
      </c>
      <c r="D642" t="s">
        <v>494</v>
      </c>
      <c r="E642" t="s">
        <v>379</v>
      </c>
      <c r="F642" t="s">
        <v>386</v>
      </c>
      <c r="G642">
        <v>230</v>
      </c>
      <c r="I642">
        <v>15</v>
      </c>
      <c r="J642">
        <v>245</v>
      </c>
      <c r="K642">
        <v>295</v>
      </c>
      <c r="L642">
        <v>310</v>
      </c>
      <c r="M642">
        <v>400</v>
      </c>
      <c r="N642">
        <v>290</v>
      </c>
      <c r="O642">
        <v>335</v>
      </c>
      <c r="P642">
        <v>990</v>
      </c>
    </row>
    <row r="643" spans="1:16" x14ac:dyDescent="0.25">
      <c r="B643">
        <v>5026</v>
      </c>
      <c r="C643" t="s">
        <v>171</v>
      </c>
      <c r="D643" t="s">
        <v>494</v>
      </c>
      <c r="E643" t="s">
        <v>379</v>
      </c>
      <c r="F643" t="s">
        <v>387</v>
      </c>
      <c r="G643">
        <v>230</v>
      </c>
      <c r="I643">
        <v>15</v>
      </c>
      <c r="J643">
        <v>245</v>
      </c>
      <c r="K643">
        <v>295</v>
      </c>
      <c r="L643">
        <v>310</v>
      </c>
      <c r="M643">
        <v>400</v>
      </c>
      <c r="N643">
        <v>290</v>
      </c>
      <c r="O643">
        <v>335</v>
      </c>
      <c r="P643">
        <v>990</v>
      </c>
    </row>
    <row r="644" spans="1:16" x14ac:dyDescent="0.25">
      <c r="B644">
        <v>5027</v>
      </c>
      <c r="C644" t="s">
        <v>171</v>
      </c>
      <c r="D644" t="s">
        <v>494</v>
      </c>
      <c r="E644" t="s">
        <v>379</v>
      </c>
      <c r="F644" t="s">
        <v>388</v>
      </c>
      <c r="G644">
        <v>230</v>
      </c>
      <c r="I644">
        <v>15</v>
      </c>
      <c r="J644">
        <v>245</v>
      </c>
      <c r="K644">
        <v>295</v>
      </c>
      <c r="L644">
        <v>310</v>
      </c>
      <c r="M644">
        <v>400</v>
      </c>
      <c r="N644">
        <v>290</v>
      </c>
      <c r="O644">
        <v>335</v>
      </c>
      <c r="P644">
        <v>990</v>
      </c>
    </row>
    <row r="645" spans="1:16" x14ac:dyDescent="0.25">
      <c r="B645">
        <v>5051</v>
      </c>
      <c r="C645" t="s">
        <v>171</v>
      </c>
      <c r="D645" t="s">
        <v>494</v>
      </c>
      <c r="E645" t="s">
        <v>249</v>
      </c>
      <c r="F645" t="s">
        <v>280</v>
      </c>
      <c r="G645">
        <v>150</v>
      </c>
      <c r="I645">
        <v>37</v>
      </c>
      <c r="J645">
        <v>187</v>
      </c>
      <c r="K645">
        <v>225</v>
      </c>
      <c r="L645">
        <v>235</v>
      </c>
      <c r="M645">
        <v>300</v>
      </c>
      <c r="N645">
        <v>220</v>
      </c>
      <c r="O645">
        <v>255</v>
      </c>
      <c r="P645">
        <v>690</v>
      </c>
    </row>
    <row r="646" spans="1:16" x14ac:dyDescent="0.25">
      <c r="B646">
        <v>5081</v>
      </c>
      <c r="C646" t="s">
        <v>171</v>
      </c>
      <c r="D646" t="s">
        <v>494</v>
      </c>
      <c r="F646" t="s">
        <v>51</v>
      </c>
      <c r="G646">
        <v>155</v>
      </c>
      <c r="I646">
        <v>55</v>
      </c>
      <c r="J646">
        <v>210</v>
      </c>
      <c r="K646">
        <v>255</v>
      </c>
      <c r="L646">
        <v>265</v>
      </c>
      <c r="M646">
        <v>350</v>
      </c>
      <c r="N646">
        <v>245</v>
      </c>
      <c r="O646">
        <v>285</v>
      </c>
      <c r="P646">
        <v>710</v>
      </c>
    </row>
    <row r="647" spans="1:16" x14ac:dyDescent="0.25">
      <c r="A647">
        <v>2026</v>
      </c>
      <c r="B647">
        <v>5082</v>
      </c>
      <c r="C647" t="s">
        <v>171</v>
      </c>
      <c r="D647" t="s">
        <v>494</v>
      </c>
      <c r="E647" t="s">
        <v>191</v>
      </c>
      <c r="F647" t="s">
        <v>923</v>
      </c>
      <c r="G647">
        <v>165</v>
      </c>
      <c r="I647">
        <v>222</v>
      </c>
      <c r="J647">
        <v>387</v>
      </c>
      <c r="K647">
        <v>465</v>
      </c>
      <c r="L647">
        <v>485</v>
      </c>
      <c r="M647">
        <v>625</v>
      </c>
      <c r="N647">
        <v>450</v>
      </c>
      <c r="O647">
        <v>520</v>
      </c>
      <c r="P647">
        <v>750</v>
      </c>
    </row>
    <row r="648" spans="1:16" x14ac:dyDescent="0.25">
      <c r="A648">
        <v>2026</v>
      </c>
      <c r="B648">
        <v>5083</v>
      </c>
      <c r="C648" t="s">
        <v>171</v>
      </c>
      <c r="D648" t="s">
        <v>494</v>
      </c>
      <c r="E648" t="s">
        <v>535</v>
      </c>
      <c r="F648" t="s">
        <v>536</v>
      </c>
      <c r="G648">
        <v>165</v>
      </c>
      <c r="I648">
        <v>115</v>
      </c>
      <c r="J648">
        <v>280</v>
      </c>
      <c r="K648">
        <v>335</v>
      </c>
      <c r="L648">
        <v>350</v>
      </c>
      <c r="M648">
        <v>450</v>
      </c>
      <c r="N648">
        <v>325</v>
      </c>
      <c r="O648">
        <v>375</v>
      </c>
      <c r="P648">
        <v>750</v>
      </c>
    </row>
    <row r="649" spans="1:16" x14ac:dyDescent="0.25">
      <c r="A649">
        <v>2026</v>
      </c>
      <c r="B649">
        <v>5085</v>
      </c>
      <c r="C649" t="s">
        <v>171</v>
      </c>
      <c r="D649" t="s">
        <v>494</v>
      </c>
      <c r="E649" t="s">
        <v>190</v>
      </c>
      <c r="F649" t="s">
        <v>1002</v>
      </c>
      <c r="G649">
        <v>165</v>
      </c>
      <c r="I649">
        <v>90</v>
      </c>
      <c r="J649">
        <v>255</v>
      </c>
      <c r="K649">
        <v>305</v>
      </c>
      <c r="L649">
        <v>320</v>
      </c>
      <c r="M649">
        <v>425</v>
      </c>
      <c r="N649">
        <v>295</v>
      </c>
      <c r="O649">
        <v>345</v>
      </c>
      <c r="P649">
        <v>750</v>
      </c>
    </row>
    <row r="650" spans="1:16" x14ac:dyDescent="0.25">
      <c r="A650">
        <v>2026</v>
      </c>
      <c r="B650">
        <v>5086</v>
      </c>
      <c r="C650" t="s">
        <v>171</v>
      </c>
      <c r="D650" t="s">
        <v>494</v>
      </c>
      <c r="E650" t="s">
        <v>191</v>
      </c>
      <c r="F650" t="s">
        <v>912</v>
      </c>
      <c r="G650">
        <v>165</v>
      </c>
      <c r="I650">
        <v>140</v>
      </c>
      <c r="J650">
        <v>305</v>
      </c>
      <c r="K650">
        <v>370</v>
      </c>
      <c r="L650">
        <v>385</v>
      </c>
      <c r="M650">
        <v>500</v>
      </c>
      <c r="N650">
        <v>355</v>
      </c>
      <c r="O650">
        <v>415</v>
      </c>
      <c r="P650">
        <v>750</v>
      </c>
    </row>
    <row r="651" spans="1:16" x14ac:dyDescent="0.25">
      <c r="A651">
        <v>2026</v>
      </c>
      <c r="B651">
        <v>5087</v>
      </c>
      <c r="C651" t="s">
        <v>171</v>
      </c>
      <c r="D651" t="s">
        <v>494</v>
      </c>
      <c r="E651" t="s">
        <v>191</v>
      </c>
      <c r="F651" t="s">
        <v>913</v>
      </c>
      <c r="G651">
        <v>165</v>
      </c>
      <c r="I651">
        <v>165</v>
      </c>
      <c r="J651">
        <v>330</v>
      </c>
      <c r="K651">
        <v>395</v>
      </c>
      <c r="L651">
        <v>415</v>
      </c>
      <c r="M651">
        <v>525</v>
      </c>
      <c r="N651">
        <v>385</v>
      </c>
      <c r="O651">
        <v>445</v>
      </c>
      <c r="P651">
        <v>750</v>
      </c>
    </row>
    <row r="652" spans="1:16" x14ac:dyDescent="0.25">
      <c r="A652">
        <v>2026</v>
      </c>
      <c r="B652">
        <v>5088</v>
      </c>
      <c r="C652" t="s">
        <v>171</v>
      </c>
      <c r="D652" t="s">
        <v>494</v>
      </c>
      <c r="E652" t="s">
        <v>191</v>
      </c>
      <c r="F652" t="s">
        <v>914</v>
      </c>
      <c r="G652">
        <v>165</v>
      </c>
      <c r="I652">
        <v>133</v>
      </c>
      <c r="J652">
        <v>298</v>
      </c>
      <c r="K652">
        <v>360</v>
      </c>
      <c r="L652">
        <v>375</v>
      </c>
      <c r="M652">
        <v>475</v>
      </c>
      <c r="N652">
        <v>345</v>
      </c>
      <c r="O652">
        <v>405</v>
      </c>
      <c r="P652">
        <v>750</v>
      </c>
    </row>
    <row r="653" spans="1:16" x14ac:dyDescent="0.25">
      <c r="B653">
        <v>5089</v>
      </c>
      <c r="C653" t="s">
        <v>171</v>
      </c>
      <c r="D653" t="s">
        <v>494</v>
      </c>
      <c r="F653" t="s">
        <v>282</v>
      </c>
      <c r="G653">
        <v>155</v>
      </c>
      <c r="I653">
        <v>34</v>
      </c>
      <c r="J653">
        <v>189</v>
      </c>
      <c r="K653">
        <v>230</v>
      </c>
      <c r="L653">
        <v>240</v>
      </c>
      <c r="M653">
        <v>300</v>
      </c>
      <c r="N653">
        <v>225</v>
      </c>
      <c r="O653">
        <v>260</v>
      </c>
      <c r="P653">
        <v>710</v>
      </c>
    </row>
    <row r="654" spans="1:16" x14ac:dyDescent="0.25">
      <c r="A654">
        <v>2026</v>
      </c>
      <c r="B654">
        <v>5090</v>
      </c>
      <c r="C654" t="s">
        <v>171</v>
      </c>
      <c r="D654" t="s">
        <v>494</v>
      </c>
      <c r="E654" t="s">
        <v>190</v>
      </c>
      <c r="F654" t="s">
        <v>1001</v>
      </c>
      <c r="G654">
        <v>165</v>
      </c>
      <c r="I654">
        <v>95</v>
      </c>
      <c r="J654">
        <v>260</v>
      </c>
      <c r="K654">
        <v>310</v>
      </c>
      <c r="L654">
        <v>325</v>
      </c>
      <c r="M654">
        <v>425</v>
      </c>
      <c r="N654">
        <v>300</v>
      </c>
      <c r="O654">
        <v>350</v>
      </c>
      <c r="P654">
        <v>750</v>
      </c>
    </row>
    <row r="655" spans="1:16" x14ac:dyDescent="0.25">
      <c r="A655">
        <v>2026</v>
      </c>
      <c r="B655">
        <v>5091</v>
      </c>
      <c r="C655" t="s">
        <v>171</v>
      </c>
      <c r="D655" t="s">
        <v>494</v>
      </c>
      <c r="E655" t="s">
        <v>249</v>
      </c>
      <c r="F655" t="s">
        <v>973</v>
      </c>
      <c r="G655">
        <v>155</v>
      </c>
      <c r="I655">
        <v>130</v>
      </c>
      <c r="J655">
        <v>285</v>
      </c>
      <c r="K655">
        <v>345</v>
      </c>
      <c r="L655">
        <v>360</v>
      </c>
      <c r="M655">
        <v>450</v>
      </c>
      <c r="N655">
        <v>335</v>
      </c>
      <c r="O655">
        <v>390</v>
      </c>
      <c r="P655">
        <v>710</v>
      </c>
    </row>
    <row r="656" spans="1:16" x14ac:dyDescent="0.25">
      <c r="A656">
        <v>2026</v>
      </c>
      <c r="B656">
        <v>5092</v>
      </c>
      <c r="C656" t="s">
        <v>171</v>
      </c>
      <c r="D656" t="s">
        <v>494</v>
      </c>
      <c r="E656" t="s">
        <v>190</v>
      </c>
      <c r="F656" t="s">
        <v>1003</v>
      </c>
      <c r="G656">
        <v>225</v>
      </c>
      <c r="I656">
        <v>65</v>
      </c>
      <c r="J656">
        <v>290</v>
      </c>
      <c r="K656">
        <v>350</v>
      </c>
      <c r="L656">
        <v>365</v>
      </c>
      <c r="M656">
        <v>475</v>
      </c>
      <c r="N656">
        <v>340</v>
      </c>
      <c r="O656">
        <v>395</v>
      </c>
      <c r="P656">
        <v>970</v>
      </c>
    </row>
    <row r="657" spans="1:16" x14ac:dyDescent="0.25">
      <c r="A657">
        <v>2026</v>
      </c>
      <c r="B657">
        <v>5093</v>
      </c>
      <c r="C657" t="s">
        <v>171</v>
      </c>
      <c r="D657" t="s">
        <v>494</v>
      </c>
      <c r="E657" t="s">
        <v>190</v>
      </c>
      <c r="F657" t="s">
        <v>1000</v>
      </c>
      <c r="G657">
        <v>165</v>
      </c>
      <c r="I657">
        <v>65</v>
      </c>
      <c r="J657">
        <v>230</v>
      </c>
      <c r="K657">
        <v>280</v>
      </c>
      <c r="L657">
        <v>290</v>
      </c>
      <c r="M657">
        <v>375</v>
      </c>
      <c r="N657">
        <v>270</v>
      </c>
      <c r="O657">
        <v>315</v>
      </c>
      <c r="P657">
        <v>750</v>
      </c>
    </row>
    <row r="658" spans="1:16" x14ac:dyDescent="0.25">
      <c r="A658">
        <v>2026</v>
      </c>
      <c r="B658">
        <v>5094</v>
      </c>
      <c r="C658" t="s">
        <v>171</v>
      </c>
      <c r="D658" t="s">
        <v>494</v>
      </c>
      <c r="E658" t="s">
        <v>191</v>
      </c>
      <c r="F658" t="s">
        <v>915</v>
      </c>
      <c r="G658">
        <v>165</v>
      </c>
      <c r="I658">
        <v>190</v>
      </c>
      <c r="J658">
        <v>355</v>
      </c>
      <c r="K658">
        <v>425</v>
      </c>
      <c r="L658">
        <v>445</v>
      </c>
      <c r="M658">
        <v>575</v>
      </c>
      <c r="N658">
        <v>410</v>
      </c>
      <c r="O658">
        <v>480</v>
      </c>
      <c r="P658">
        <v>750</v>
      </c>
    </row>
    <row r="659" spans="1:16" x14ac:dyDescent="0.25">
      <c r="B659">
        <v>5101</v>
      </c>
      <c r="C659" t="s">
        <v>171</v>
      </c>
      <c r="D659" t="s">
        <v>494</v>
      </c>
      <c r="E659" t="s">
        <v>379</v>
      </c>
      <c r="F659" t="s">
        <v>389</v>
      </c>
      <c r="G659">
        <v>235</v>
      </c>
      <c r="I659">
        <v>15</v>
      </c>
      <c r="J659">
        <v>250</v>
      </c>
      <c r="K659">
        <v>300</v>
      </c>
      <c r="L659">
        <v>315</v>
      </c>
      <c r="M659">
        <v>400</v>
      </c>
      <c r="N659">
        <v>290</v>
      </c>
      <c r="O659">
        <v>340</v>
      </c>
      <c r="P659">
        <v>1010</v>
      </c>
    </row>
    <row r="660" spans="1:16" x14ac:dyDescent="0.25">
      <c r="B660">
        <v>5102</v>
      </c>
      <c r="C660" t="s">
        <v>171</v>
      </c>
      <c r="D660" t="s">
        <v>494</v>
      </c>
      <c r="E660" t="s">
        <v>379</v>
      </c>
      <c r="F660" t="s">
        <v>390</v>
      </c>
      <c r="G660">
        <v>235</v>
      </c>
      <c r="I660">
        <v>15</v>
      </c>
      <c r="J660">
        <v>250</v>
      </c>
      <c r="K660">
        <v>300</v>
      </c>
      <c r="L660">
        <v>315</v>
      </c>
      <c r="M660">
        <v>400</v>
      </c>
      <c r="N660">
        <v>290</v>
      </c>
      <c r="O660">
        <v>340</v>
      </c>
      <c r="P660">
        <v>1010</v>
      </c>
    </row>
    <row r="661" spans="1:16" x14ac:dyDescent="0.25">
      <c r="B661">
        <v>5103</v>
      </c>
      <c r="C661" t="s">
        <v>171</v>
      </c>
      <c r="D661" t="s">
        <v>494</v>
      </c>
      <c r="E661" t="s">
        <v>379</v>
      </c>
      <c r="F661" t="s">
        <v>391</v>
      </c>
      <c r="G661">
        <v>230</v>
      </c>
      <c r="I661">
        <v>15</v>
      </c>
      <c r="J661">
        <v>245</v>
      </c>
      <c r="K661">
        <v>295</v>
      </c>
      <c r="L661">
        <v>310</v>
      </c>
      <c r="M661">
        <v>400</v>
      </c>
      <c r="N661">
        <v>290</v>
      </c>
      <c r="O661">
        <v>335</v>
      </c>
      <c r="P661">
        <v>990</v>
      </c>
    </row>
    <row r="662" spans="1:16" x14ac:dyDescent="0.25">
      <c r="A662">
        <v>2026</v>
      </c>
      <c r="B662">
        <v>5221</v>
      </c>
      <c r="C662" t="s">
        <v>171</v>
      </c>
      <c r="D662" t="s">
        <v>494</v>
      </c>
      <c r="E662" t="s">
        <v>779</v>
      </c>
      <c r="F662" t="s">
        <v>781</v>
      </c>
      <c r="G662">
        <v>375</v>
      </c>
      <c r="I662">
        <v>25</v>
      </c>
      <c r="J662">
        <v>400</v>
      </c>
      <c r="K662">
        <v>475</v>
      </c>
      <c r="L662">
        <v>500</v>
      </c>
      <c r="M662">
        <v>650</v>
      </c>
      <c r="N662">
        <v>460</v>
      </c>
      <c r="O662">
        <v>535</v>
      </c>
      <c r="P662">
        <v>1540</v>
      </c>
    </row>
    <row r="663" spans="1:16" x14ac:dyDescent="0.25">
      <c r="A663">
        <v>2026</v>
      </c>
      <c r="B663">
        <v>5222</v>
      </c>
      <c r="C663" t="s">
        <v>171</v>
      </c>
      <c r="D663" t="s">
        <v>494</v>
      </c>
      <c r="E663" t="s">
        <v>673</v>
      </c>
      <c r="F663" t="s">
        <v>845</v>
      </c>
      <c r="G663">
        <v>250</v>
      </c>
      <c r="I663">
        <v>12</v>
      </c>
      <c r="J663">
        <v>262</v>
      </c>
      <c r="K663">
        <v>315</v>
      </c>
      <c r="L663">
        <v>330</v>
      </c>
      <c r="M663">
        <v>425</v>
      </c>
      <c r="N663">
        <v>305</v>
      </c>
      <c r="O663">
        <v>355</v>
      </c>
      <c r="P663">
        <v>1070</v>
      </c>
    </row>
    <row r="664" spans="1:16" x14ac:dyDescent="0.25">
      <c r="A664">
        <v>2026</v>
      </c>
      <c r="B664">
        <v>5223</v>
      </c>
      <c r="C664" t="s">
        <v>171</v>
      </c>
      <c r="D664" t="s">
        <v>494</v>
      </c>
      <c r="E664" t="s">
        <v>673</v>
      </c>
      <c r="F664" t="s">
        <v>846</v>
      </c>
      <c r="G664">
        <v>305</v>
      </c>
      <c r="I664">
        <v>12</v>
      </c>
      <c r="J664">
        <v>317</v>
      </c>
      <c r="K664">
        <v>380</v>
      </c>
      <c r="L664">
        <v>400</v>
      </c>
      <c r="M664">
        <v>500</v>
      </c>
      <c r="N664">
        <v>370</v>
      </c>
      <c r="O664">
        <v>430</v>
      </c>
      <c r="P664">
        <v>1280</v>
      </c>
    </row>
    <row r="665" spans="1:16" x14ac:dyDescent="0.25">
      <c r="A665">
        <v>2026</v>
      </c>
      <c r="B665">
        <v>5224</v>
      </c>
      <c r="C665" t="s">
        <v>171</v>
      </c>
      <c r="D665" t="s">
        <v>494</v>
      </c>
      <c r="E665" t="s">
        <v>673</v>
      </c>
      <c r="F665" t="s">
        <v>847</v>
      </c>
      <c r="G665">
        <v>220</v>
      </c>
      <c r="I665">
        <v>12</v>
      </c>
      <c r="J665">
        <v>232</v>
      </c>
      <c r="K665">
        <v>280</v>
      </c>
      <c r="L665">
        <v>290</v>
      </c>
      <c r="M665">
        <v>375</v>
      </c>
      <c r="N665">
        <v>270</v>
      </c>
      <c r="O665">
        <v>315</v>
      </c>
      <c r="P665">
        <v>960</v>
      </c>
    </row>
    <row r="666" spans="1:16" x14ac:dyDescent="0.25">
      <c r="A666">
        <v>2026</v>
      </c>
      <c r="B666">
        <v>5225</v>
      </c>
      <c r="C666" t="s">
        <v>171</v>
      </c>
      <c r="D666" t="s">
        <v>494</v>
      </c>
      <c r="E666" t="s">
        <v>673</v>
      </c>
      <c r="F666" t="s">
        <v>848</v>
      </c>
      <c r="G666">
        <v>250</v>
      </c>
      <c r="I666">
        <v>12</v>
      </c>
      <c r="J666">
        <v>262</v>
      </c>
      <c r="K666">
        <v>315</v>
      </c>
      <c r="L666">
        <v>330</v>
      </c>
      <c r="M666">
        <v>425</v>
      </c>
      <c r="N666">
        <v>305</v>
      </c>
      <c r="O666">
        <v>355</v>
      </c>
      <c r="P666">
        <v>1070</v>
      </c>
    </row>
    <row r="667" spans="1:16" x14ac:dyDescent="0.25">
      <c r="A667">
        <v>2026</v>
      </c>
      <c r="B667">
        <v>5226</v>
      </c>
      <c r="C667" t="s">
        <v>171</v>
      </c>
      <c r="D667" t="s">
        <v>494</v>
      </c>
      <c r="E667" t="s">
        <v>673</v>
      </c>
      <c r="F667" t="s">
        <v>849</v>
      </c>
      <c r="G667">
        <v>395</v>
      </c>
      <c r="I667">
        <v>12</v>
      </c>
      <c r="J667">
        <v>407</v>
      </c>
      <c r="K667">
        <v>485</v>
      </c>
      <c r="L667">
        <v>510</v>
      </c>
      <c r="M667">
        <v>650</v>
      </c>
      <c r="N667">
        <v>470</v>
      </c>
      <c r="O667">
        <v>550</v>
      </c>
      <c r="P667">
        <v>1620</v>
      </c>
    </row>
    <row r="668" spans="1:16" x14ac:dyDescent="0.25">
      <c r="A668">
        <v>2026</v>
      </c>
      <c r="B668">
        <v>5227</v>
      </c>
      <c r="C668" t="s">
        <v>171</v>
      </c>
      <c r="D668" t="s">
        <v>494</v>
      </c>
      <c r="E668" t="s">
        <v>673</v>
      </c>
      <c r="F668" t="s">
        <v>850</v>
      </c>
      <c r="G668">
        <v>365</v>
      </c>
      <c r="I668">
        <v>12</v>
      </c>
      <c r="J668">
        <v>377</v>
      </c>
      <c r="K668">
        <v>455</v>
      </c>
      <c r="L668">
        <v>475</v>
      </c>
      <c r="M668">
        <v>600</v>
      </c>
      <c r="N668">
        <v>440</v>
      </c>
      <c r="O668">
        <v>510</v>
      </c>
      <c r="P668">
        <v>1500</v>
      </c>
    </row>
    <row r="669" spans="1:16" x14ac:dyDescent="0.25">
      <c r="A669">
        <v>2026</v>
      </c>
      <c r="B669">
        <v>5228</v>
      </c>
      <c r="C669" t="s">
        <v>171</v>
      </c>
      <c r="D669" t="s">
        <v>494</v>
      </c>
      <c r="E669" t="s">
        <v>673</v>
      </c>
      <c r="F669" t="s">
        <v>851</v>
      </c>
      <c r="G669">
        <v>415</v>
      </c>
      <c r="I669">
        <v>12</v>
      </c>
      <c r="J669">
        <v>427</v>
      </c>
      <c r="K669">
        <v>510</v>
      </c>
      <c r="L669">
        <v>535</v>
      </c>
      <c r="M669">
        <v>675</v>
      </c>
      <c r="N669">
        <v>495</v>
      </c>
      <c r="O669">
        <v>575</v>
      </c>
      <c r="P669">
        <v>1690</v>
      </c>
    </row>
    <row r="670" spans="1:16" x14ac:dyDescent="0.25">
      <c r="A670">
        <v>2026</v>
      </c>
      <c r="B670">
        <v>5229</v>
      </c>
      <c r="C670" t="s">
        <v>171</v>
      </c>
      <c r="D670" t="s">
        <v>494</v>
      </c>
      <c r="E670" t="s">
        <v>673</v>
      </c>
      <c r="F670" t="s">
        <v>852</v>
      </c>
      <c r="G670">
        <v>415</v>
      </c>
      <c r="I670">
        <v>12</v>
      </c>
      <c r="J670">
        <v>427</v>
      </c>
      <c r="K670">
        <v>510</v>
      </c>
      <c r="L670">
        <v>535</v>
      </c>
      <c r="M670">
        <v>675</v>
      </c>
      <c r="N670">
        <v>495</v>
      </c>
      <c r="O670">
        <v>575</v>
      </c>
      <c r="P670">
        <v>1690</v>
      </c>
    </row>
    <row r="671" spans="1:16" x14ac:dyDescent="0.25">
      <c r="A671">
        <v>2026</v>
      </c>
      <c r="B671">
        <v>5230</v>
      </c>
      <c r="C671" t="s">
        <v>171</v>
      </c>
      <c r="D671" t="s">
        <v>494</v>
      </c>
      <c r="E671" t="s">
        <v>673</v>
      </c>
      <c r="F671" t="s">
        <v>853</v>
      </c>
      <c r="G671">
        <v>395</v>
      </c>
      <c r="I671">
        <v>12</v>
      </c>
      <c r="J671">
        <v>407</v>
      </c>
      <c r="K671">
        <v>485</v>
      </c>
      <c r="L671">
        <v>510</v>
      </c>
      <c r="M671">
        <v>650</v>
      </c>
      <c r="N671">
        <v>470</v>
      </c>
      <c r="O671">
        <v>550</v>
      </c>
      <c r="P671">
        <v>1620</v>
      </c>
    </row>
    <row r="672" spans="1:16" x14ac:dyDescent="0.25">
      <c r="A672">
        <v>2026</v>
      </c>
      <c r="B672">
        <v>5231</v>
      </c>
      <c r="C672" t="s">
        <v>171</v>
      </c>
      <c r="D672" t="s">
        <v>494</v>
      </c>
      <c r="E672" t="s">
        <v>673</v>
      </c>
      <c r="F672" t="s">
        <v>841</v>
      </c>
      <c r="G672">
        <v>405</v>
      </c>
      <c r="I672">
        <v>12</v>
      </c>
      <c r="J672">
        <v>417</v>
      </c>
      <c r="K672">
        <v>500</v>
      </c>
      <c r="L672">
        <v>525</v>
      </c>
      <c r="M672">
        <v>675</v>
      </c>
      <c r="N672">
        <v>485</v>
      </c>
      <c r="O672">
        <v>565</v>
      </c>
      <c r="P672">
        <v>1650</v>
      </c>
    </row>
    <row r="673" spans="1:16" x14ac:dyDescent="0.25">
      <c r="A673">
        <v>2025</v>
      </c>
      <c r="B673">
        <v>5232</v>
      </c>
      <c r="C673" t="s">
        <v>171</v>
      </c>
      <c r="D673" t="s">
        <v>494</v>
      </c>
      <c r="E673" t="s">
        <v>673</v>
      </c>
      <c r="F673" t="s">
        <v>687</v>
      </c>
      <c r="G673">
        <v>525</v>
      </c>
      <c r="I673">
        <v>12</v>
      </c>
      <c r="J673">
        <v>537</v>
      </c>
      <c r="K673">
        <v>645</v>
      </c>
      <c r="L673">
        <v>675</v>
      </c>
      <c r="M673">
        <v>850</v>
      </c>
      <c r="N673">
        <v>625</v>
      </c>
      <c r="O673">
        <v>725</v>
      </c>
      <c r="P673">
        <v>2110</v>
      </c>
    </row>
    <row r="674" spans="1:16" x14ac:dyDescent="0.25">
      <c r="A674">
        <v>2025</v>
      </c>
      <c r="B674">
        <v>5233</v>
      </c>
      <c r="C674" t="s">
        <v>171</v>
      </c>
      <c r="D674" t="s">
        <v>494</v>
      </c>
      <c r="E674" t="s">
        <v>673</v>
      </c>
      <c r="F674" t="s">
        <v>98</v>
      </c>
      <c r="G674">
        <v>570</v>
      </c>
      <c r="I674">
        <v>12</v>
      </c>
      <c r="J674">
        <v>582</v>
      </c>
      <c r="K674">
        <v>695</v>
      </c>
      <c r="L674">
        <v>730</v>
      </c>
      <c r="M674">
        <v>925</v>
      </c>
      <c r="N674">
        <v>675</v>
      </c>
      <c r="O674">
        <v>785</v>
      </c>
      <c r="P674">
        <v>2280</v>
      </c>
    </row>
    <row r="675" spans="1:16" x14ac:dyDescent="0.25">
      <c r="A675">
        <v>2026</v>
      </c>
      <c r="B675">
        <v>5234</v>
      </c>
      <c r="C675" t="s">
        <v>171</v>
      </c>
      <c r="D675" t="s">
        <v>494</v>
      </c>
      <c r="E675" t="s">
        <v>673</v>
      </c>
      <c r="F675" t="s">
        <v>686</v>
      </c>
      <c r="G675">
        <v>535</v>
      </c>
      <c r="I675">
        <v>12</v>
      </c>
      <c r="J675">
        <v>547</v>
      </c>
      <c r="K675">
        <v>680</v>
      </c>
      <c r="L675">
        <v>715</v>
      </c>
      <c r="M675">
        <v>875</v>
      </c>
      <c r="N675">
        <v>660</v>
      </c>
      <c r="O675">
        <v>770</v>
      </c>
      <c r="P675">
        <v>2140</v>
      </c>
    </row>
    <row r="676" spans="1:16" x14ac:dyDescent="0.25">
      <c r="A676">
        <v>2026</v>
      </c>
      <c r="B676">
        <v>5235</v>
      </c>
      <c r="C676" t="s">
        <v>171</v>
      </c>
      <c r="D676" t="s">
        <v>494</v>
      </c>
      <c r="E676" t="s">
        <v>673</v>
      </c>
      <c r="F676" t="s">
        <v>773</v>
      </c>
      <c r="G676">
        <v>115</v>
      </c>
      <c r="I676">
        <v>12</v>
      </c>
      <c r="J676">
        <v>127</v>
      </c>
      <c r="K676">
        <v>155</v>
      </c>
      <c r="L676">
        <v>160</v>
      </c>
      <c r="M676">
        <v>225</v>
      </c>
      <c r="N676">
        <v>150</v>
      </c>
      <c r="O676">
        <v>175</v>
      </c>
      <c r="P676">
        <v>560</v>
      </c>
    </row>
    <row r="677" spans="1:16" x14ac:dyDescent="0.25">
      <c r="A677">
        <v>2026</v>
      </c>
      <c r="B677">
        <v>5236</v>
      </c>
      <c r="C677" t="s">
        <v>171</v>
      </c>
      <c r="D677" t="s">
        <v>494</v>
      </c>
      <c r="E677" t="s">
        <v>673</v>
      </c>
      <c r="F677" t="s">
        <v>774</v>
      </c>
      <c r="G677">
        <v>180</v>
      </c>
      <c r="I677">
        <v>15</v>
      </c>
      <c r="J677">
        <v>195</v>
      </c>
      <c r="K677">
        <v>235</v>
      </c>
      <c r="L677">
        <v>245</v>
      </c>
      <c r="M677">
        <v>325</v>
      </c>
      <c r="N677">
        <v>230</v>
      </c>
      <c r="O677">
        <v>265</v>
      </c>
      <c r="P677">
        <v>800</v>
      </c>
    </row>
    <row r="678" spans="1:16" x14ac:dyDescent="0.25">
      <c r="A678">
        <v>2026</v>
      </c>
      <c r="B678">
        <v>5237</v>
      </c>
      <c r="C678" t="s">
        <v>171</v>
      </c>
      <c r="D678" t="s">
        <v>494</v>
      </c>
      <c r="E678" t="s">
        <v>673</v>
      </c>
      <c r="F678" t="s">
        <v>775</v>
      </c>
      <c r="G678">
        <v>195</v>
      </c>
      <c r="I678">
        <v>15</v>
      </c>
      <c r="J678">
        <v>210</v>
      </c>
      <c r="K678">
        <v>255</v>
      </c>
      <c r="L678">
        <v>265</v>
      </c>
      <c r="M678">
        <v>350</v>
      </c>
      <c r="N678">
        <v>245</v>
      </c>
      <c r="O678">
        <v>285</v>
      </c>
      <c r="P678">
        <v>860</v>
      </c>
    </row>
    <row r="679" spans="1:16" x14ac:dyDescent="0.25">
      <c r="A679">
        <v>2026</v>
      </c>
      <c r="B679">
        <v>5238</v>
      </c>
      <c r="C679" t="s">
        <v>171</v>
      </c>
      <c r="D679" t="s">
        <v>494</v>
      </c>
      <c r="E679" t="s">
        <v>673</v>
      </c>
      <c r="F679" t="s">
        <v>776</v>
      </c>
      <c r="G679">
        <v>155</v>
      </c>
      <c r="I679">
        <v>15</v>
      </c>
      <c r="J679">
        <v>170</v>
      </c>
      <c r="K679">
        <v>205</v>
      </c>
      <c r="L679">
        <v>215</v>
      </c>
      <c r="M679">
        <v>275</v>
      </c>
      <c r="N679">
        <v>200</v>
      </c>
      <c r="O679">
        <v>235</v>
      </c>
      <c r="P679">
        <v>710</v>
      </c>
    </row>
    <row r="680" spans="1:16" x14ac:dyDescent="0.25">
      <c r="A680">
        <v>2026</v>
      </c>
      <c r="B680">
        <v>5239</v>
      </c>
      <c r="C680" t="s">
        <v>171</v>
      </c>
      <c r="D680" t="s">
        <v>494</v>
      </c>
      <c r="E680" t="s">
        <v>673</v>
      </c>
      <c r="F680" t="s">
        <v>777</v>
      </c>
      <c r="G680">
        <v>185</v>
      </c>
      <c r="I680">
        <v>15</v>
      </c>
      <c r="J680">
        <v>200</v>
      </c>
      <c r="K680">
        <v>240</v>
      </c>
      <c r="L680">
        <v>250</v>
      </c>
      <c r="M680">
        <v>325</v>
      </c>
      <c r="N680">
        <v>230</v>
      </c>
      <c r="O680">
        <v>270</v>
      </c>
      <c r="P680">
        <v>820</v>
      </c>
    </row>
    <row r="681" spans="1:16" x14ac:dyDescent="0.25">
      <c r="A681">
        <v>2026</v>
      </c>
      <c r="B681">
        <v>5241</v>
      </c>
      <c r="C681" t="s">
        <v>171</v>
      </c>
      <c r="D681" t="s">
        <v>494</v>
      </c>
      <c r="E681" t="s">
        <v>673</v>
      </c>
      <c r="F681" t="s">
        <v>854</v>
      </c>
      <c r="G681">
        <v>345</v>
      </c>
      <c r="I681">
        <v>12</v>
      </c>
      <c r="J681">
        <v>357</v>
      </c>
      <c r="K681">
        <v>430</v>
      </c>
      <c r="L681">
        <v>450</v>
      </c>
      <c r="M681">
        <v>575</v>
      </c>
      <c r="N681">
        <v>415</v>
      </c>
      <c r="O681">
        <v>485</v>
      </c>
      <c r="P681">
        <v>1430</v>
      </c>
    </row>
    <row r="682" spans="1:16" x14ac:dyDescent="0.25">
      <c r="A682">
        <v>2026</v>
      </c>
      <c r="B682">
        <v>5242</v>
      </c>
      <c r="C682" t="s">
        <v>171</v>
      </c>
      <c r="D682" t="s">
        <v>494</v>
      </c>
      <c r="E682" t="s">
        <v>673</v>
      </c>
      <c r="F682" t="s">
        <v>855</v>
      </c>
      <c r="G682">
        <v>345</v>
      </c>
      <c r="I682">
        <v>12</v>
      </c>
      <c r="J682">
        <v>357</v>
      </c>
      <c r="K682">
        <v>430</v>
      </c>
      <c r="L682">
        <v>450</v>
      </c>
      <c r="M682">
        <v>575</v>
      </c>
      <c r="N682">
        <v>415</v>
      </c>
      <c r="O682">
        <v>485</v>
      </c>
      <c r="P682">
        <v>1430</v>
      </c>
    </row>
    <row r="683" spans="1:16" x14ac:dyDescent="0.25">
      <c r="A683">
        <v>2026</v>
      </c>
      <c r="B683">
        <v>5243</v>
      </c>
      <c r="C683" t="s">
        <v>171</v>
      </c>
      <c r="D683" t="s">
        <v>494</v>
      </c>
      <c r="E683" t="s">
        <v>673</v>
      </c>
      <c r="F683" t="s">
        <v>856</v>
      </c>
      <c r="G683">
        <v>345</v>
      </c>
      <c r="I683">
        <v>12</v>
      </c>
      <c r="J683">
        <v>357</v>
      </c>
      <c r="K683">
        <v>430</v>
      </c>
      <c r="L683">
        <v>450</v>
      </c>
      <c r="M683">
        <v>575</v>
      </c>
      <c r="N683">
        <v>415</v>
      </c>
      <c r="O683">
        <v>485</v>
      </c>
      <c r="P683">
        <v>1430</v>
      </c>
    </row>
    <row r="684" spans="1:16" x14ac:dyDescent="0.25">
      <c r="A684">
        <v>2026</v>
      </c>
      <c r="B684">
        <v>5244</v>
      </c>
      <c r="C684" t="s">
        <v>171</v>
      </c>
      <c r="D684" t="s">
        <v>494</v>
      </c>
      <c r="E684" t="s">
        <v>673</v>
      </c>
      <c r="F684" t="s">
        <v>857</v>
      </c>
      <c r="G684">
        <v>445</v>
      </c>
      <c r="I684">
        <v>12</v>
      </c>
      <c r="J684">
        <v>457</v>
      </c>
      <c r="K684">
        <v>550</v>
      </c>
      <c r="L684">
        <v>575</v>
      </c>
      <c r="M684">
        <v>725</v>
      </c>
      <c r="N684">
        <v>530</v>
      </c>
      <c r="O684">
        <v>620</v>
      </c>
      <c r="P684">
        <v>1800</v>
      </c>
    </row>
    <row r="685" spans="1:16" x14ac:dyDescent="0.25">
      <c r="B685">
        <v>5302</v>
      </c>
      <c r="C685" t="s">
        <v>171</v>
      </c>
      <c r="D685" t="s">
        <v>494</v>
      </c>
      <c r="E685" t="s">
        <v>235</v>
      </c>
      <c r="F685" t="s">
        <v>281</v>
      </c>
      <c r="G685">
        <v>150</v>
      </c>
      <c r="I685">
        <v>42</v>
      </c>
      <c r="J685">
        <v>192</v>
      </c>
      <c r="K685">
        <v>230</v>
      </c>
      <c r="L685">
        <v>240</v>
      </c>
      <c r="M685">
        <v>325</v>
      </c>
      <c r="N685">
        <v>225</v>
      </c>
      <c r="O685">
        <v>260</v>
      </c>
      <c r="P685">
        <v>690</v>
      </c>
    </row>
    <row r="686" spans="1:16" x14ac:dyDescent="0.25">
      <c r="B686">
        <v>5303</v>
      </c>
      <c r="C686" t="s">
        <v>171</v>
      </c>
      <c r="D686" t="s">
        <v>494</v>
      </c>
      <c r="E686" t="s">
        <v>235</v>
      </c>
      <c r="F686" t="s">
        <v>283</v>
      </c>
      <c r="G686">
        <v>150</v>
      </c>
      <c r="I686">
        <v>60</v>
      </c>
      <c r="J686">
        <v>210</v>
      </c>
      <c r="K686">
        <v>255</v>
      </c>
      <c r="L686">
        <v>265</v>
      </c>
      <c r="M686">
        <v>350</v>
      </c>
      <c r="N686">
        <v>245</v>
      </c>
      <c r="O686">
        <v>285</v>
      </c>
      <c r="P686">
        <v>690</v>
      </c>
    </row>
    <row r="687" spans="1:16" x14ac:dyDescent="0.25">
      <c r="B687">
        <v>5541</v>
      </c>
      <c r="C687" t="s">
        <v>171</v>
      </c>
      <c r="D687" t="s">
        <v>494</v>
      </c>
      <c r="F687" t="s">
        <v>45</v>
      </c>
      <c r="G687">
        <v>195</v>
      </c>
      <c r="I687">
        <v>12</v>
      </c>
      <c r="J687">
        <v>207</v>
      </c>
      <c r="K687">
        <v>250</v>
      </c>
      <c r="L687">
        <v>260</v>
      </c>
      <c r="M687">
        <v>350</v>
      </c>
      <c r="N687">
        <v>240</v>
      </c>
      <c r="O687">
        <v>280</v>
      </c>
      <c r="P687">
        <v>860</v>
      </c>
    </row>
    <row r="688" spans="1:16" x14ac:dyDescent="0.25">
      <c r="A688">
        <v>2026</v>
      </c>
      <c r="B688">
        <v>5581</v>
      </c>
      <c r="C688" t="s">
        <v>171</v>
      </c>
      <c r="D688" t="s">
        <v>494</v>
      </c>
      <c r="E688" t="s">
        <v>460</v>
      </c>
      <c r="F688" t="s">
        <v>896</v>
      </c>
      <c r="G688">
        <v>165</v>
      </c>
      <c r="I688">
        <v>325</v>
      </c>
      <c r="J688">
        <v>490</v>
      </c>
      <c r="K688">
        <v>585</v>
      </c>
      <c r="L688">
        <v>615</v>
      </c>
      <c r="M688">
        <v>775</v>
      </c>
      <c r="N688">
        <v>570</v>
      </c>
      <c r="O688">
        <v>660</v>
      </c>
      <c r="P688">
        <v>750</v>
      </c>
    </row>
    <row r="689" spans="1:16" x14ac:dyDescent="0.25">
      <c r="A689">
        <v>2026</v>
      </c>
      <c r="B689">
        <v>5582</v>
      </c>
      <c r="C689" t="s">
        <v>171</v>
      </c>
      <c r="D689" t="s">
        <v>494</v>
      </c>
      <c r="E689" t="s">
        <v>460</v>
      </c>
      <c r="F689" t="s">
        <v>897</v>
      </c>
      <c r="G689">
        <v>165</v>
      </c>
      <c r="I689">
        <v>360</v>
      </c>
      <c r="J689">
        <v>525</v>
      </c>
      <c r="K689">
        <v>630</v>
      </c>
      <c r="L689">
        <v>660</v>
      </c>
      <c r="M689">
        <v>850</v>
      </c>
      <c r="N689">
        <v>610</v>
      </c>
      <c r="O689">
        <v>710</v>
      </c>
      <c r="P689">
        <v>750</v>
      </c>
    </row>
    <row r="690" spans="1:16" x14ac:dyDescent="0.25">
      <c r="A690">
        <v>2026</v>
      </c>
      <c r="B690">
        <v>5583</v>
      </c>
      <c r="C690" t="s">
        <v>171</v>
      </c>
      <c r="D690" t="s">
        <v>494</v>
      </c>
      <c r="E690" t="s">
        <v>460</v>
      </c>
      <c r="F690" t="s">
        <v>898</v>
      </c>
      <c r="G690">
        <v>165</v>
      </c>
      <c r="I690">
        <v>310</v>
      </c>
      <c r="J690">
        <v>475</v>
      </c>
      <c r="K690">
        <v>570</v>
      </c>
      <c r="L690">
        <v>595</v>
      </c>
      <c r="M690">
        <v>750</v>
      </c>
      <c r="N690">
        <v>550</v>
      </c>
      <c r="O690">
        <v>640</v>
      </c>
      <c r="P690">
        <v>750</v>
      </c>
    </row>
    <row r="691" spans="1:16" x14ac:dyDescent="0.25">
      <c r="A691">
        <v>2026</v>
      </c>
      <c r="B691">
        <v>5584</v>
      </c>
      <c r="C691" t="s">
        <v>171</v>
      </c>
      <c r="D691" t="s">
        <v>494</v>
      </c>
      <c r="E691" t="s">
        <v>460</v>
      </c>
      <c r="F691" t="s">
        <v>925</v>
      </c>
      <c r="G691">
        <v>165</v>
      </c>
      <c r="I691">
        <v>210</v>
      </c>
      <c r="J691">
        <v>375</v>
      </c>
      <c r="K691">
        <v>450</v>
      </c>
      <c r="L691">
        <v>470</v>
      </c>
      <c r="M691">
        <v>600</v>
      </c>
      <c r="N691">
        <v>435</v>
      </c>
      <c r="O691">
        <v>505</v>
      </c>
      <c r="P691">
        <v>750</v>
      </c>
    </row>
    <row r="692" spans="1:16" x14ac:dyDescent="0.25">
      <c r="A692">
        <v>2026</v>
      </c>
      <c r="B692">
        <v>5585</v>
      </c>
      <c r="C692" t="s">
        <v>171</v>
      </c>
      <c r="D692" t="s">
        <v>494</v>
      </c>
      <c r="E692" t="s">
        <v>460</v>
      </c>
      <c r="F692" t="s">
        <v>926</v>
      </c>
      <c r="G692">
        <v>165</v>
      </c>
      <c r="I692">
        <v>210</v>
      </c>
      <c r="J692">
        <v>375</v>
      </c>
      <c r="K692">
        <v>450</v>
      </c>
      <c r="L692">
        <v>470</v>
      </c>
      <c r="M692">
        <v>600</v>
      </c>
      <c r="N692">
        <v>435</v>
      </c>
      <c r="O692">
        <v>505</v>
      </c>
      <c r="P692">
        <v>750</v>
      </c>
    </row>
    <row r="693" spans="1:16" x14ac:dyDescent="0.25">
      <c r="A693">
        <v>2026</v>
      </c>
      <c r="B693">
        <v>5586</v>
      </c>
      <c r="C693" t="s">
        <v>171</v>
      </c>
      <c r="D693" t="s">
        <v>494</v>
      </c>
      <c r="E693" t="s">
        <v>460</v>
      </c>
      <c r="F693" t="s">
        <v>927</v>
      </c>
      <c r="G693">
        <v>165</v>
      </c>
      <c r="I693">
        <v>235</v>
      </c>
      <c r="J693">
        <v>400</v>
      </c>
      <c r="K693">
        <v>475</v>
      </c>
      <c r="L693">
        <v>500</v>
      </c>
      <c r="M693">
        <v>650</v>
      </c>
      <c r="N693">
        <v>460</v>
      </c>
      <c r="O693">
        <v>535</v>
      </c>
      <c r="P693">
        <v>750</v>
      </c>
    </row>
    <row r="694" spans="1:16" x14ac:dyDescent="0.25">
      <c r="A694">
        <v>2026</v>
      </c>
      <c r="B694">
        <v>5587</v>
      </c>
      <c r="C694" t="s">
        <v>171</v>
      </c>
      <c r="D694" t="s">
        <v>494</v>
      </c>
      <c r="E694" t="s">
        <v>460</v>
      </c>
      <c r="F694" t="s">
        <v>928</v>
      </c>
      <c r="G694">
        <v>165</v>
      </c>
      <c r="I694">
        <v>255</v>
      </c>
      <c r="J694">
        <v>420</v>
      </c>
      <c r="K694">
        <v>500</v>
      </c>
      <c r="L694">
        <v>525</v>
      </c>
      <c r="M694">
        <v>675</v>
      </c>
      <c r="N694">
        <v>485</v>
      </c>
      <c r="O694">
        <v>565</v>
      </c>
      <c r="P694">
        <v>750</v>
      </c>
    </row>
    <row r="695" spans="1:16" x14ac:dyDescent="0.25">
      <c r="A695">
        <v>2026</v>
      </c>
      <c r="B695">
        <v>5588</v>
      </c>
      <c r="C695" t="s">
        <v>171</v>
      </c>
      <c r="D695" t="s">
        <v>494</v>
      </c>
      <c r="E695" t="s">
        <v>460</v>
      </c>
      <c r="F695" t="s">
        <v>929</v>
      </c>
      <c r="G695">
        <v>165</v>
      </c>
      <c r="I695">
        <v>225</v>
      </c>
      <c r="J695">
        <v>390</v>
      </c>
      <c r="K695">
        <v>470</v>
      </c>
      <c r="L695">
        <v>490</v>
      </c>
      <c r="M695">
        <v>625</v>
      </c>
      <c r="N695">
        <v>455</v>
      </c>
      <c r="O695">
        <v>525</v>
      </c>
      <c r="P695">
        <v>750</v>
      </c>
    </row>
    <row r="696" spans="1:16" x14ac:dyDescent="0.25">
      <c r="A696">
        <v>2026</v>
      </c>
      <c r="B696">
        <v>5589</v>
      </c>
      <c r="C696" t="s">
        <v>171</v>
      </c>
      <c r="D696" t="s">
        <v>494</v>
      </c>
      <c r="E696" t="s">
        <v>460</v>
      </c>
      <c r="G696">
        <v>165</v>
      </c>
      <c r="J696">
        <v>165</v>
      </c>
      <c r="K696">
        <v>200</v>
      </c>
      <c r="L696">
        <v>210</v>
      </c>
      <c r="M696">
        <v>275</v>
      </c>
      <c r="N696">
        <v>195</v>
      </c>
      <c r="O696">
        <v>225</v>
      </c>
      <c r="P696">
        <v>750</v>
      </c>
    </row>
    <row r="697" spans="1:16" x14ac:dyDescent="0.25">
      <c r="B697">
        <v>5771</v>
      </c>
      <c r="C697" t="s">
        <v>171</v>
      </c>
      <c r="D697" t="s">
        <v>494</v>
      </c>
      <c r="F697" t="s">
        <v>103</v>
      </c>
      <c r="G697">
        <v>135</v>
      </c>
      <c r="I697">
        <v>400</v>
      </c>
      <c r="J697">
        <v>535</v>
      </c>
      <c r="K697">
        <v>640</v>
      </c>
      <c r="L697">
        <v>670</v>
      </c>
      <c r="M697">
        <v>850</v>
      </c>
      <c r="N697">
        <v>620</v>
      </c>
      <c r="O697">
        <v>720</v>
      </c>
      <c r="P697">
        <v>640</v>
      </c>
    </row>
    <row r="698" spans="1:16" x14ac:dyDescent="0.25">
      <c r="B698">
        <v>5772</v>
      </c>
      <c r="C698" t="s">
        <v>171</v>
      </c>
      <c r="D698" t="s">
        <v>494</v>
      </c>
      <c r="F698" t="s">
        <v>36</v>
      </c>
      <c r="G698">
        <v>135</v>
      </c>
      <c r="I698">
        <v>400</v>
      </c>
      <c r="J698">
        <v>535</v>
      </c>
      <c r="K698">
        <v>640</v>
      </c>
      <c r="L698">
        <v>670</v>
      </c>
      <c r="M698">
        <v>850</v>
      </c>
      <c r="N698">
        <v>620</v>
      </c>
      <c r="O698">
        <v>720</v>
      </c>
      <c r="P698">
        <v>640</v>
      </c>
    </row>
    <row r="699" spans="1:16" x14ac:dyDescent="0.25">
      <c r="B699">
        <v>5773</v>
      </c>
      <c r="C699" t="s">
        <v>171</v>
      </c>
      <c r="D699" t="s">
        <v>494</v>
      </c>
      <c r="F699" t="s">
        <v>36</v>
      </c>
      <c r="G699">
        <v>135</v>
      </c>
      <c r="I699">
        <v>425</v>
      </c>
      <c r="J699">
        <v>560</v>
      </c>
      <c r="K699">
        <v>665</v>
      </c>
      <c r="L699">
        <v>700</v>
      </c>
      <c r="M699">
        <v>900</v>
      </c>
      <c r="N699">
        <v>645</v>
      </c>
      <c r="O699">
        <v>750</v>
      </c>
      <c r="P699">
        <v>640</v>
      </c>
    </row>
    <row r="700" spans="1:16" x14ac:dyDescent="0.25">
      <c r="A700">
        <v>2026</v>
      </c>
      <c r="B700">
        <v>5774</v>
      </c>
      <c r="C700" t="s">
        <v>171</v>
      </c>
      <c r="D700" t="s">
        <v>494</v>
      </c>
      <c r="E700" t="s">
        <v>191</v>
      </c>
      <c r="F700" t="s">
        <v>911</v>
      </c>
      <c r="G700">
        <v>165</v>
      </c>
      <c r="I700">
        <v>305</v>
      </c>
      <c r="J700">
        <v>470</v>
      </c>
      <c r="K700">
        <v>565</v>
      </c>
      <c r="L700">
        <v>590</v>
      </c>
      <c r="M700">
        <v>750</v>
      </c>
      <c r="N700">
        <v>545</v>
      </c>
      <c r="O700">
        <v>635</v>
      </c>
      <c r="P700">
        <v>750</v>
      </c>
    </row>
    <row r="701" spans="1:16" x14ac:dyDescent="0.25">
      <c r="B701">
        <v>5783</v>
      </c>
      <c r="C701" t="s">
        <v>171</v>
      </c>
      <c r="D701" t="s">
        <v>497</v>
      </c>
      <c r="E701" t="s">
        <v>197</v>
      </c>
      <c r="F701" t="s">
        <v>198</v>
      </c>
      <c r="G701">
        <v>475</v>
      </c>
      <c r="I701">
        <v>15</v>
      </c>
      <c r="J701">
        <v>490</v>
      </c>
      <c r="K701">
        <v>610</v>
      </c>
      <c r="L701">
        <v>640</v>
      </c>
      <c r="M701">
        <v>775</v>
      </c>
      <c r="N701">
        <v>590</v>
      </c>
      <c r="O701">
        <v>685</v>
      </c>
      <c r="P701">
        <v>1920</v>
      </c>
    </row>
    <row r="702" spans="1:16" x14ac:dyDescent="0.25">
      <c r="B702">
        <v>5784</v>
      </c>
      <c r="C702" t="s">
        <v>171</v>
      </c>
      <c r="D702" t="s">
        <v>497</v>
      </c>
      <c r="E702" t="s">
        <v>197</v>
      </c>
      <c r="F702" t="s">
        <v>199</v>
      </c>
      <c r="G702">
        <v>510</v>
      </c>
      <c r="I702">
        <v>15</v>
      </c>
      <c r="J702">
        <v>525</v>
      </c>
      <c r="K702">
        <v>655</v>
      </c>
      <c r="L702">
        <v>685</v>
      </c>
      <c r="M702">
        <v>850</v>
      </c>
      <c r="N702">
        <v>635</v>
      </c>
      <c r="O702">
        <v>735</v>
      </c>
      <c r="P702">
        <v>2050</v>
      </c>
    </row>
    <row r="703" spans="1:16" x14ac:dyDescent="0.25">
      <c r="B703">
        <v>5785</v>
      </c>
      <c r="C703" t="s">
        <v>171</v>
      </c>
      <c r="D703" t="s">
        <v>497</v>
      </c>
      <c r="E703" t="s">
        <v>197</v>
      </c>
      <c r="F703" t="s">
        <v>200</v>
      </c>
      <c r="G703">
        <v>575</v>
      </c>
      <c r="I703">
        <v>15</v>
      </c>
      <c r="J703">
        <v>590</v>
      </c>
      <c r="K703">
        <v>735</v>
      </c>
      <c r="L703">
        <v>770</v>
      </c>
      <c r="M703">
        <v>950</v>
      </c>
      <c r="N703">
        <v>710</v>
      </c>
      <c r="O703">
        <v>825</v>
      </c>
      <c r="P703">
        <v>2290</v>
      </c>
    </row>
    <row r="704" spans="1:16" x14ac:dyDescent="0.25">
      <c r="B704">
        <v>5786</v>
      </c>
      <c r="C704" t="s">
        <v>171</v>
      </c>
      <c r="D704" t="s">
        <v>497</v>
      </c>
      <c r="E704" t="s">
        <v>197</v>
      </c>
      <c r="F704" t="s">
        <v>201</v>
      </c>
      <c r="G704">
        <v>750</v>
      </c>
      <c r="I704">
        <v>15</v>
      </c>
      <c r="J704">
        <v>765</v>
      </c>
      <c r="K704">
        <v>950</v>
      </c>
      <c r="L704">
        <v>995</v>
      </c>
      <c r="M704">
        <v>1225</v>
      </c>
      <c r="N704">
        <v>920</v>
      </c>
      <c r="O704">
        <v>1065</v>
      </c>
      <c r="P704">
        <v>2960</v>
      </c>
    </row>
    <row r="705" spans="1:16" x14ac:dyDescent="0.25">
      <c r="B705">
        <v>5788</v>
      </c>
      <c r="C705" t="s">
        <v>171</v>
      </c>
      <c r="D705" t="s">
        <v>497</v>
      </c>
      <c r="E705" t="s">
        <v>197</v>
      </c>
      <c r="F705" t="s">
        <v>202</v>
      </c>
      <c r="G705">
        <v>510</v>
      </c>
      <c r="I705">
        <v>15</v>
      </c>
      <c r="J705">
        <v>525</v>
      </c>
      <c r="K705">
        <v>655</v>
      </c>
      <c r="L705">
        <v>685</v>
      </c>
      <c r="M705">
        <v>850</v>
      </c>
      <c r="N705">
        <v>635</v>
      </c>
      <c r="O705">
        <v>735</v>
      </c>
      <c r="P705">
        <v>2050</v>
      </c>
    </row>
    <row r="706" spans="1:16" x14ac:dyDescent="0.25">
      <c r="B706">
        <v>5789</v>
      </c>
      <c r="C706" t="s">
        <v>171</v>
      </c>
      <c r="D706" t="s">
        <v>497</v>
      </c>
      <c r="E706" t="s">
        <v>197</v>
      </c>
      <c r="F706" t="s">
        <v>203</v>
      </c>
      <c r="G706">
        <v>900</v>
      </c>
      <c r="I706">
        <v>15</v>
      </c>
      <c r="J706">
        <v>915</v>
      </c>
      <c r="K706">
        <v>1135</v>
      </c>
      <c r="L706">
        <v>1190</v>
      </c>
      <c r="M706">
        <v>1450</v>
      </c>
      <c r="N706">
        <v>1095</v>
      </c>
      <c r="O706">
        <v>1275</v>
      </c>
      <c r="P706">
        <v>3520</v>
      </c>
    </row>
    <row r="707" spans="1:16" x14ac:dyDescent="0.25">
      <c r="B707">
        <v>5821</v>
      </c>
      <c r="C707" t="s">
        <v>171</v>
      </c>
      <c r="D707" t="s">
        <v>494</v>
      </c>
      <c r="F707" t="s">
        <v>108</v>
      </c>
      <c r="G707">
        <v>180</v>
      </c>
      <c r="I707">
        <v>55</v>
      </c>
      <c r="J707">
        <v>235</v>
      </c>
      <c r="K707">
        <v>285</v>
      </c>
      <c r="L707">
        <v>295</v>
      </c>
      <c r="M707">
        <v>375</v>
      </c>
      <c r="N707">
        <v>275</v>
      </c>
      <c r="O707">
        <v>320</v>
      </c>
      <c r="P707">
        <v>800</v>
      </c>
    </row>
    <row r="708" spans="1:16" x14ac:dyDescent="0.25">
      <c r="B708">
        <v>5822</v>
      </c>
      <c r="C708" t="s">
        <v>171</v>
      </c>
      <c r="D708" t="s">
        <v>494</v>
      </c>
      <c r="F708" t="s">
        <v>101</v>
      </c>
      <c r="G708">
        <v>180</v>
      </c>
      <c r="I708">
        <v>107</v>
      </c>
      <c r="J708">
        <v>287</v>
      </c>
      <c r="K708">
        <v>345</v>
      </c>
      <c r="L708">
        <v>360</v>
      </c>
      <c r="M708">
        <v>475</v>
      </c>
      <c r="N708">
        <v>335</v>
      </c>
      <c r="O708">
        <v>390</v>
      </c>
      <c r="P708">
        <v>800</v>
      </c>
    </row>
    <row r="709" spans="1:16" x14ac:dyDescent="0.25">
      <c r="B709">
        <v>5823</v>
      </c>
      <c r="C709" t="s">
        <v>171</v>
      </c>
      <c r="D709" t="s">
        <v>494</v>
      </c>
      <c r="F709" t="s">
        <v>104</v>
      </c>
      <c r="G709">
        <v>180</v>
      </c>
      <c r="I709">
        <v>92</v>
      </c>
      <c r="J709">
        <v>272</v>
      </c>
      <c r="K709">
        <v>325</v>
      </c>
      <c r="L709">
        <v>340</v>
      </c>
      <c r="M709">
        <v>450</v>
      </c>
      <c r="N709">
        <v>315</v>
      </c>
      <c r="O709">
        <v>365</v>
      </c>
      <c r="P709">
        <v>800</v>
      </c>
    </row>
    <row r="710" spans="1:16" x14ac:dyDescent="0.25">
      <c r="A710">
        <v>2026</v>
      </c>
      <c r="B710">
        <v>8451</v>
      </c>
      <c r="C710" t="s">
        <v>171</v>
      </c>
      <c r="D710" t="s">
        <v>497</v>
      </c>
      <c r="E710" t="s">
        <v>673</v>
      </c>
      <c r="F710" t="s">
        <v>916</v>
      </c>
      <c r="G710">
        <v>675</v>
      </c>
      <c r="I710">
        <v>25</v>
      </c>
      <c r="J710">
        <v>700</v>
      </c>
      <c r="K710">
        <v>865</v>
      </c>
      <c r="L710">
        <v>910</v>
      </c>
      <c r="M710">
        <v>1125</v>
      </c>
      <c r="N710">
        <v>840</v>
      </c>
      <c r="O710">
        <v>975</v>
      </c>
      <c r="P710">
        <v>2670</v>
      </c>
    </row>
    <row r="711" spans="1:16" x14ac:dyDescent="0.25">
      <c r="A711">
        <v>2026</v>
      </c>
      <c r="B711">
        <v>8511</v>
      </c>
      <c r="C711" t="s">
        <v>171</v>
      </c>
      <c r="D711" t="s">
        <v>497</v>
      </c>
      <c r="F711" t="s">
        <v>986</v>
      </c>
      <c r="G711">
        <v>335</v>
      </c>
      <c r="I711">
        <v>325</v>
      </c>
      <c r="J711">
        <v>660</v>
      </c>
      <c r="K711">
        <v>820</v>
      </c>
      <c r="L711">
        <v>860</v>
      </c>
      <c r="M711">
        <v>1050</v>
      </c>
      <c r="N711">
        <v>795</v>
      </c>
      <c r="O711">
        <v>925</v>
      </c>
      <c r="P711">
        <v>1390</v>
      </c>
    </row>
    <row r="712" spans="1:16" x14ac:dyDescent="0.25">
      <c r="B712">
        <v>8512</v>
      </c>
      <c r="C712" t="s">
        <v>171</v>
      </c>
      <c r="D712" t="s">
        <v>497</v>
      </c>
      <c r="F712" t="s">
        <v>33</v>
      </c>
      <c r="G712">
        <v>185</v>
      </c>
      <c r="I712">
        <v>207</v>
      </c>
      <c r="J712">
        <v>392</v>
      </c>
      <c r="K712">
        <v>485</v>
      </c>
      <c r="L712">
        <v>510</v>
      </c>
      <c r="M712">
        <v>625</v>
      </c>
      <c r="N712">
        <v>470</v>
      </c>
      <c r="O712">
        <v>550</v>
      </c>
      <c r="P712">
        <v>820</v>
      </c>
    </row>
    <row r="713" spans="1:16" x14ac:dyDescent="0.25">
      <c r="B713">
        <v>8514</v>
      </c>
      <c r="C713" t="s">
        <v>171</v>
      </c>
      <c r="D713" t="s">
        <v>497</v>
      </c>
      <c r="F713" t="s">
        <v>87</v>
      </c>
      <c r="G713">
        <v>335</v>
      </c>
      <c r="I713">
        <v>1100</v>
      </c>
      <c r="J713">
        <v>1435</v>
      </c>
      <c r="K713">
        <v>1780</v>
      </c>
      <c r="L713">
        <v>1870</v>
      </c>
      <c r="M713">
        <v>2275</v>
      </c>
      <c r="N713">
        <v>1725</v>
      </c>
      <c r="O713">
        <v>2005</v>
      </c>
      <c r="P713">
        <v>1390</v>
      </c>
    </row>
    <row r="714" spans="1:16" x14ac:dyDescent="0.25">
      <c r="A714">
        <v>2026</v>
      </c>
      <c r="B714">
        <v>8515</v>
      </c>
      <c r="C714" t="s">
        <v>171</v>
      </c>
      <c r="D714" t="s">
        <v>494</v>
      </c>
      <c r="E714" t="s">
        <v>874</v>
      </c>
      <c r="F714" t="s">
        <v>877</v>
      </c>
      <c r="G714">
        <v>350</v>
      </c>
      <c r="I714">
        <v>25</v>
      </c>
      <c r="J714">
        <v>375</v>
      </c>
      <c r="K714">
        <v>470</v>
      </c>
      <c r="L714">
        <v>490</v>
      </c>
      <c r="M714">
        <v>600</v>
      </c>
      <c r="N714">
        <v>455</v>
      </c>
      <c r="O714">
        <v>525</v>
      </c>
      <c r="P714">
        <v>1450</v>
      </c>
    </row>
    <row r="715" spans="1:16" x14ac:dyDescent="0.25">
      <c r="A715">
        <v>2026</v>
      </c>
      <c r="B715">
        <v>8516</v>
      </c>
      <c r="C715" t="s">
        <v>171</v>
      </c>
      <c r="D715" t="s">
        <v>497</v>
      </c>
      <c r="E715" t="s">
        <v>574</v>
      </c>
      <c r="F715" t="s">
        <v>576</v>
      </c>
      <c r="G715">
        <v>1150</v>
      </c>
      <c r="I715">
        <v>25</v>
      </c>
      <c r="J715">
        <v>1175</v>
      </c>
      <c r="K715">
        <v>1455</v>
      </c>
      <c r="L715">
        <v>1530</v>
      </c>
      <c r="M715">
        <v>1875</v>
      </c>
      <c r="N715">
        <v>1410</v>
      </c>
      <c r="O715">
        <v>1640</v>
      </c>
      <c r="P715">
        <v>4460</v>
      </c>
    </row>
    <row r="716" spans="1:16" x14ac:dyDescent="0.25">
      <c r="B716">
        <v>8517</v>
      </c>
      <c r="C716" t="s">
        <v>171</v>
      </c>
      <c r="D716" t="s">
        <v>497</v>
      </c>
      <c r="F716" t="s">
        <v>102</v>
      </c>
      <c r="G716">
        <v>235</v>
      </c>
      <c r="I716">
        <v>25</v>
      </c>
      <c r="J716">
        <v>260</v>
      </c>
      <c r="K716">
        <v>325</v>
      </c>
      <c r="L716">
        <v>340</v>
      </c>
      <c r="M716">
        <v>425</v>
      </c>
      <c r="N716">
        <v>315</v>
      </c>
      <c r="O716">
        <v>365</v>
      </c>
      <c r="P716">
        <v>1010</v>
      </c>
    </row>
    <row r="717" spans="1:16" x14ac:dyDescent="0.25">
      <c r="B717">
        <v>8518</v>
      </c>
      <c r="C717" t="s">
        <v>171</v>
      </c>
      <c r="D717" t="s">
        <v>497</v>
      </c>
      <c r="F717" t="s">
        <v>116</v>
      </c>
      <c r="G717">
        <v>185</v>
      </c>
      <c r="I717">
        <v>1022</v>
      </c>
      <c r="J717">
        <v>1207</v>
      </c>
      <c r="K717">
        <v>1495</v>
      </c>
      <c r="L717">
        <v>1570</v>
      </c>
      <c r="M717">
        <v>1925</v>
      </c>
      <c r="N717">
        <v>1445</v>
      </c>
      <c r="O717">
        <v>1680</v>
      </c>
      <c r="P717">
        <v>820</v>
      </c>
    </row>
    <row r="718" spans="1:16" x14ac:dyDescent="0.25">
      <c r="B718">
        <v>8571</v>
      </c>
      <c r="C718" t="s">
        <v>171</v>
      </c>
      <c r="D718" t="s">
        <v>497</v>
      </c>
      <c r="F718" t="s">
        <v>96</v>
      </c>
      <c r="G718">
        <v>1000</v>
      </c>
      <c r="I718">
        <v>25</v>
      </c>
      <c r="J718">
        <v>1025</v>
      </c>
      <c r="K718">
        <v>1270</v>
      </c>
      <c r="L718">
        <v>1335</v>
      </c>
      <c r="M718">
        <v>1625</v>
      </c>
      <c r="N718">
        <v>1230</v>
      </c>
      <c r="O718">
        <v>1430</v>
      </c>
      <c r="P718">
        <v>3900</v>
      </c>
    </row>
    <row r="719" spans="1:16" x14ac:dyDescent="0.25">
      <c r="B719">
        <v>8681</v>
      </c>
      <c r="C719" t="s">
        <v>171</v>
      </c>
      <c r="D719" t="s">
        <v>497</v>
      </c>
      <c r="E719" t="s">
        <v>227</v>
      </c>
      <c r="F719" t="s">
        <v>229</v>
      </c>
      <c r="G719">
        <v>415</v>
      </c>
      <c r="I719">
        <v>25</v>
      </c>
      <c r="J719">
        <v>440</v>
      </c>
      <c r="K719">
        <v>550</v>
      </c>
      <c r="L719">
        <v>575</v>
      </c>
      <c r="M719">
        <v>700</v>
      </c>
      <c r="N719">
        <v>530</v>
      </c>
      <c r="O719">
        <v>620</v>
      </c>
      <c r="P719">
        <v>1690</v>
      </c>
    </row>
    <row r="720" spans="1:16" x14ac:dyDescent="0.25">
      <c r="A720">
        <v>2025</v>
      </c>
      <c r="B720">
        <v>8682</v>
      </c>
      <c r="C720" t="s">
        <v>171</v>
      </c>
      <c r="D720" t="s">
        <v>494</v>
      </c>
      <c r="E720" t="s">
        <v>345</v>
      </c>
      <c r="F720" t="s">
        <v>641</v>
      </c>
      <c r="G720">
        <v>600</v>
      </c>
      <c r="I720">
        <v>25</v>
      </c>
      <c r="J720">
        <v>625</v>
      </c>
      <c r="K720">
        <v>775</v>
      </c>
      <c r="L720">
        <v>815</v>
      </c>
      <c r="M720">
        <v>1000</v>
      </c>
      <c r="N720">
        <v>750</v>
      </c>
      <c r="O720">
        <v>875</v>
      </c>
      <c r="P720">
        <v>2390</v>
      </c>
    </row>
    <row r="721" spans="1:16" x14ac:dyDescent="0.25">
      <c r="A721">
        <v>2026</v>
      </c>
      <c r="B721">
        <v>8683</v>
      </c>
      <c r="C721" t="s">
        <v>171</v>
      </c>
      <c r="D721" t="s">
        <v>494</v>
      </c>
      <c r="E721" t="s">
        <v>673</v>
      </c>
      <c r="F721" t="s">
        <v>843</v>
      </c>
      <c r="G721">
        <v>500</v>
      </c>
      <c r="I721">
        <v>25</v>
      </c>
      <c r="J721">
        <v>525</v>
      </c>
      <c r="K721">
        <v>655</v>
      </c>
      <c r="L721">
        <v>685</v>
      </c>
      <c r="M721">
        <v>850</v>
      </c>
      <c r="N721">
        <v>635</v>
      </c>
      <c r="O721">
        <v>735</v>
      </c>
      <c r="P721">
        <v>2010</v>
      </c>
    </row>
    <row r="722" spans="1:16" x14ac:dyDescent="0.25">
      <c r="A722">
        <v>2026</v>
      </c>
      <c r="B722">
        <v>8684</v>
      </c>
      <c r="C722" t="s">
        <v>171</v>
      </c>
      <c r="D722" t="s">
        <v>494</v>
      </c>
      <c r="E722" t="s">
        <v>673</v>
      </c>
      <c r="F722" t="s">
        <v>844</v>
      </c>
      <c r="G722">
        <v>500</v>
      </c>
      <c r="I722">
        <v>25</v>
      </c>
      <c r="J722">
        <v>525</v>
      </c>
      <c r="K722">
        <v>655</v>
      </c>
      <c r="L722">
        <v>685</v>
      </c>
      <c r="M722">
        <v>850</v>
      </c>
      <c r="N722">
        <v>635</v>
      </c>
      <c r="O722">
        <v>735</v>
      </c>
      <c r="P722">
        <v>2010</v>
      </c>
    </row>
    <row r="723" spans="1:16" x14ac:dyDescent="0.25">
      <c r="B723" t="s">
        <v>410</v>
      </c>
      <c r="C723" t="s">
        <v>171</v>
      </c>
      <c r="D723" t="s">
        <v>496</v>
      </c>
      <c r="E723" t="s">
        <v>139</v>
      </c>
      <c r="F723" t="s">
        <v>410</v>
      </c>
      <c r="G723">
        <v>180</v>
      </c>
      <c r="I723">
        <v>10</v>
      </c>
      <c r="J723">
        <v>190</v>
      </c>
      <c r="K723">
        <v>230</v>
      </c>
      <c r="L723">
        <v>240</v>
      </c>
      <c r="M723">
        <v>300</v>
      </c>
      <c r="N723">
        <v>225</v>
      </c>
      <c r="O723">
        <v>260</v>
      </c>
      <c r="P723">
        <v>800</v>
      </c>
    </row>
    <row r="724" spans="1:16" x14ac:dyDescent="0.25">
      <c r="B724" t="s">
        <v>411</v>
      </c>
      <c r="C724" t="s">
        <v>171</v>
      </c>
      <c r="D724" t="s">
        <v>496</v>
      </c>
      <c r="E724" t="s">
        <v>139</v>
      </c>
      <c r="F724" t="s">
        <v>411</v>
      </c>
      <c r="G724">
        <v>200</v>
      </c>
      <c r="I724">
        <v>10</v>
      </c>
      <c r="J724">
        <v>210</v>
      </c>
      <c r="K724">
        <v>255</v>
      </c>
      <c r="L724">
        <v>265</v>
      </c>
      <c r="M724">
        <v>350</v>
      </c>
      <c r="N724">
        <v>245</v>
      </c>
      <c r="O724">
        <v>285</v>
      </c>
      <c r="P724">
        <v>880</v>
      </c>
    </row>
    <row r="725" spans="1:16" x14ac:dyDescent="0.25">
      <c r="B725" t="s">
        <v>258</v>
      </c>
      <c r="C725" t="s">
        <v>171</v>
      </c>
      <c r="D725" t="s">
        <v>496</v>
      </c>
      <c r="E725" t="s">
        <v>139</v>
      </c>
      <c r="F725" t="s">
        <v>259</v>
      </c>
      <c r="G725">
        <v>160</v>
      </c>
      <c r="I725">
        <v>10</v>
      </c>
      <c r="J725">
        <v>170</v>
      </c>
      <c r="K725">
        <v>205</v>
      </c>
      <c r="L725">
        <v>215</v>
      </c>
      <c r="M725">
        <v>275</v>
      </c>
      <c r="N725">
        <v>200</v>
      </c>
      <c r="O725">
        <v>235</v>
      </c>
      <c r="P725">
        <v>730</v>
      </c>
    </row>
    <row r="726" spans="1:16" x14ac:dyDescent="0.25">
      <c r="A726">
        <v>2025</v>
      </c>
      <c r="B726" t="s">
        <v>85</v>
      </c>
      <c r="C726" t="s">
        <v>171</v>
      </c>
      <c r="D726" t="s">
        <v>496</v>
      </c>
      <c r="E726" t="s">
        <v>139</v>
      </c>
      <c r="F726" t="s">
        <v>609</v>
      </c>
      <c r="G726">
        <v>280</v>
      </c>
      <c r="I726">
        <v>10</v>
      </c>
      <c r="J726">
        <v>290</v>
      </c>
      <c r="K726">
        <v>350</v>
      </c>
      <c r="L726">
        <v>365</v>
      </c>
      <c r="M726">
        <v>475</v>
      </c>
      <c r="N726">
        <v>340</v>
      </c>
      <c r="O726">
        <v>395</v>
      </c>
      <c r="P726">
        <v>1180</v>
      </c>
    </row>
    <row r="727" spans="1:16" x14ac:dyDescent="0.25">
      <c r="A727">
        <v>2025</v>
      </c>
      <c r="B727" t="s">
        <v>86</v>
      </c>
      <c r="C727" t="s">
        <v>171</v>
      </c>
      <c r="D727" t="s">
        <v>496</v>
      </c>
      <c r="E727" t="s">
        <v>139</v>
      </c>
      <c r="F727" t="s">
        <v>603</v>
      </c>
      <c r="G727">
        <v>280</v>
      </c>
      <c r="I727">
        <v>10</v>
      </c>
      <c r="J727">
        <v>290</v>
      </c>
      <c r="K727">
        <v>350</v>
      </c>
      <c r="L727">
        <v>365</v>
      </c>
      <c r="M727">
        <v>475</v>
      </c>
      <c r="N727">
        <v>340</v>
      </c>
      <c r="O727">
        <v>395</v>
      </c>
      <c r="P727">
        <v>1180</v>
      </c>
    </row>
    <row r="728" spans="1:16" x14ac:dyDescent="0.25">
      <c r="A728">
        <v>2025</v>
      </c>
      <c r="B728" t="s">
        <v>412</v>
      </c>
      <c r="C728" t="s">
        <v>171</v>
      </c>
      <c r="D728" t="s">
        <v>496</v>
      </c>
      <c r="E728" t="s">
        <v>139</v>
      </c>
      <c r="F728" t="s">
        <v>604</v>
      </c>
      <c r="G728">
        <v>280</v>
      </c>
      <c r="I728">
        <v>10</v>
      </c>
      <c r="J728">
        <v>290</v>
      </c>
      <c r="K728">
        <v>350</v>
      </c>
      <c r="L728">
        <v>365</v>
      </c>
      <c r="M728">
        <v>475</v>
      </c>
      <c r="N728">
        <v>340</v>
      </c>
      <c r="O728">
        <v>395</v>
      </c>
      <c r="P728">
        <v>1180</v>
      </c>
    </row>
    <row r="729" spans="1:16" x14ac:dyDescent="0.25">
      <c r="B729" t="s">
        <v>141</v>
      </c>
      <c r="C729" t="s">
        <v>171</v>
      </c>
      <c r="D729" t="s">
        <v>496</v>
      </c>
      <c r="E729" t="s">
        <v>139</v>
      </c>
      <c r="F729" t="s">
        <v>276</v>
      </c>
      <c r="G729">
        <v>295</v>
      </c>
      <c r="I729">
        <v>10</v>
      </c>
      <c r="J729">
        <v>305</v>
      </c>
      <c r="K729">
        <v>370</v>
      </c>
      <c r="L729">
        <v>385</v>
      </c>
      <c r="M729">
        <v>500</v>
      </c>
      <c r="N729">
        <v>355</v>
      </c>
      <c r="O729">
        <v>415</v>
      </c>
      <c r="P729">
        <v>1240</v>
      </c>
    </row>
    <row r="730" spans="1:16" x14ac:dyDescent="0.25">
      <c r="B730" t="s">
        <v>354</v>
      </c>
      <c r="C730" t="s">
        <v>171</v>
      </c>
      <c r="D730" t="s">
        <v>496</v>
      </c>
      <c r="E730" t="s">
        <v>139</v>
      </c>
      <c r="F730" t="s">
        <v>354</v>
      </c>
      <c r="G730">
        <v>240</v>
      </c>
      <c r="I730">
        <v>10</v>
      </c>
      <c r="J730">
        <v>250</v>
      </c>
      <c r="K730">
        <v>300</v>
      </c>
      <c r="L730">
        <v>315</v>
      </c>
      <c r="M730">
        <v>400</v>
      </c>
      <c r="N730">
        <v>290</v>
      </c>
      <c r="O730">
        <v>340</v>
      </c>
      <c r="P730">
        <v>1030</v>
      </c>
    </row>
    <row r="731" spans="1:16" x14ac:dyDescent="0.25">
      <c r="A731">
        <v>2025</v>
      </c>
      <c r="B731" t="s">
        <v>608</v>
      </c>
      <c r="C731" t="s">
        <v>171</v>
      </c>
      <c r="D731" t="s">
        <v>496</v>
      </c>
      <c r="E731" t="s">
        <v>139</v>
      </c>
      <c r="F731" t="s">
        <v>608</v>
      </c>
      <c r="G731">
        <v>220</v>
      </c>
      <c r="I731">
        <v>10</v>
      </c>
      <c r="J731">
        <v>230</v>
      </c>
      <c r="K731">
        <v>280</v>
      </c>
      <c r="L731">
        <v>290</v>
      </c>
      <c r="M731">
        <v>375</v>
      </c>
      <c r="N731">
        <v>270</v>
      </c>
      <c r="O731">
        <v>315</v>
      </c>
      <c r="P731">
        <v>960</v>
      </c>
    </row>
    <row r="732" spans="1:16" x14ac:dyDescent="0.25">
      <c r="A732">
        <v>2025</v>
      </c>
      <c r="B732" t="s">
        <v>607</v>
      </c>
      <c r="C732" t="s">
        <v>171</v>
      </c>
      <c r="D732" t="s">
        <v>496</v>
      </c>
      <c r="E732" t="s">
        <v>139</v>
      </c>
      <c r="F732" t="s">
        <v>607</v>
      </c>
      <c r="G732">
        <v>220</v>
      </c>
      <c r="I732">
        <v>10</v>
      </c>
      <c r="J732">
        <v>230</v>
      </c>
      <c r="K732">
        <v>280</v>
      </c>
      <c r="L732">
        <v>290</v>
      </c>
      <c r="M732">
        <v>375</v>
      </c>
      <c r="N732">
        <v>270</v>
      </c>
      <c r="O732">
        <v>315</v>
      </c>
      <c r="P732">
        <v>960</v>
      </c>
    </row>
    <row r="733" spans="1:16" x14ac:dyDescent="0.25">
      <c r="B733" t="s">
        <v>356</v>
      </c>
      <c r="C733" t="s">
        <v>171</v>
      </c>
      <c r="D733" t="s">
        <v>496</v>
      </c>
      <c r="E733" t="s">
        <v>139</v>
      </c>
      <c r="F733" t="s">
        <v>356</v>
      </c>
      <c r="G733">
        <v>180</v>
      </c>
      <c r="I733">
        <v>10</v>
      </c>
      <c r="J733">
        <v>190</v>
      </c>
      <c r="K733">
        <v>230</v>
      </c>
      <c r="L733">
        <v>240</v>
      </c>
      <c r="M733">
        <v>300</v>
      </c>
      <c r="N733">
        <v>225</v>
      </c>
      <c r="O733">
        <v>260</v>
      </c>
      <c r="P733">
        <v>800</v>
      </c>
    </row>
    <row r="734" spans="1:16" x14ac:dyDescent="0.25">
      <c r="B734" t="s">
        <v>371</v>
      </c>
      <c r="C734" t="s">
        <v>171</v>
      </c>
      <c r="D734" t="s">
        <v>496</v>
      </c>
      <c r="E734" t="s">
        <v>139</v>
      </c>
      <c r="F734" t="s">
        <v>372</v>
      </c>
      <c r="G734">
        <v>200</v>
      </c>
      <c r="I734">
        <v>10</v>
      </c>
      <c r="J734">
        <v>210</v>
      </c>
      <c r="K734">
        <v>255</v>
      </c>
      <c r="L734">
        <v>265</v>
      </c>
      <c r="M734">
        <v>350</v>
      </c>
      <c r="N734">
        <v>245</v>
      </c>
      <c r="O734">
        <v>285</v>
      </c>
      <c r="P734">
        <v>880</v>
      </c>
    </row>
    <row r="735" spans="1:16" x14ac:dyDescent="0.25">
      <c r="B735" t="s">
        <v>413</v>
      </c>
      <c r="C735" t="s">
        <v>171</v>
      </c>
      <c r="D735" t="s">
        <v>496</v>
      </c>
      <c r="E735" t="s">
        <v>139</v>
      </c>
      <c r="F735" t="s">
        <v>413</v>
      </c>
      <c r="G735">
        <v>180</v>
      </c>
      <c r="I735">
        <v>10</v>
      </c>
      <c r="J735">
        <v>190</v>
      </c>
      <c r="K735">
        <v>230</v>
      </c>
      <c r="L735">
        <v>240</v>
      </c>
      <c r="M735">
        <v>300</v>
      </c>
      <c r="N735">
        <v>225</v>
      </c>
      <c r="O735">
        <v>260</v>
      </c>
      <c r="P735">
        <v>800</v>
      </c>
    </row>
    <row r="736" spans="1:16" x14ac:dyDescent="0.25">
      <c r="A736">
        <v>2025</v>
      </c>
      <c r="B736" t="s">
        <v>611</v>
      </c>
      <c r="C736" t="s">
        <v>171</v>
      </c>
      <c r="D736" t="s">
        <v>496</v>
      </c>
      <c r="E736" t="s">
        <v>139</v>
      </c>
      <c r="F736" t="s">
        <v>611</v>
      </c>
      <c r="G736">
        <v>250</v>
      </c>
      <c r="I736">
        <v>10</v>
      </c>
      <c r="J736">
        <v>260</v>
      </c>
      <c r="K736">
        <v>310</v>
      </c>
      <c r="L736">
        <v>325</v>
      </c>
      <c r="M736">
        <v>425</v>
      </c>
      <c r="N736">
        <v>300</v>
      </c>
      <c r="O736">
        <v>350</v>
      </c>
      <c r="P736">
        <v>1070</v>
      </c>
    </row>
    <row r="737" spans="1:16" x14ac:dyDescent="0.25">
      <c r="B737" t="s">
        <v>414</v>
      </c>
      <c r="C737" t="s">
        <v>171</v>
      </c>
      <c r="D737" t="s">
        <v>496</v>
      </c>
      <c r="E737" t="s">
        <v>139</v>
      </c>
      <c r="F737" t="s">
        <v>414</v>
      </c>
      <c r="G737">
        <v>200</v>
      </c>
      <c r="I737">
        <v>10</v>
      </c>
      <c r="J737">
        <v>210</v>
      </c>
      <c r="K737">
        <v>255</v>
      </c>
      <c r="L737">
        <v>265</v>
      </c>
      <c r="M737">
        <v>350</v>
      </c>
      <c r="N737">
        <v>245</v>
      </c>
      <c r="O737">
        <v>285</v>
      </c>
      <c r="P737">
        <v>880</v>
      </c>
    </row>
    <row r="738" spans="1:16" x14ac:dyDescent="0.25">
      <c r="B738" t="s">
        <v>142</v>
      </c>
      <c r="C738" t="s">
        <v>171</v>
      </c>
      <c r="D738" t="s">
        <v>496</v>
      </c>
      <c r="E738" t="s">
        <v>139</v>
      </c>
      <c r="F738" t="s">
        <v>142</v>
      </c>
      <c r="G738">
        <v>240</v>
      </c>
      <c r="I738">
        <v>10</v>
      </c>
      <c r="J738">
        <v>250</v>
      </c>
      <c r="K738">
        <v>300</v>
      </c>
      <c r="L738">
        <v>315</v>
      </c>
      <c r="M738">
        <v>400</v>
      </c>
      <c r="N738">
        <v>290</v>
      </c>
      <c r="O738">
        <v>340</v>
      </c>
      <c r="P738">
        <v>1030</v>
      </c>
    </row>
    <row r="739" spans="1:16" x14ac:dyDescent="0.25">
      <c r="B739" t="s">
        <v>143</v>
      </c>
      <c r="C739" t="s">
        <v>171</v>
      </c>
      <c r="D739" t="s">
        <v>496</v>
      </c>
      <c r="E739" t="s">
        <v>139</v>
      </c>
      <c r="F739" t="s">
        <v>143</v>
      </c>
      <c r="G739">
        <v>240</v>
      </c>
      <c r="I739">
        <v>10</v>
      </c>
      <c r="J739">
        <v>250</v>
      </c>
      <c r="K739">
        <v>300</v>
      </c>
      <c r="L739">
        <v>315</v>
      </c>
      <c r="M739">
        <v>400</v>
      </c>
      <c r="N739">
        <v>290</v>
      </c>
      <c r="O739">
        <v>340</v>
      </c>
      <c r="P739">
        <v>1030</v>
      </c>
    </row>
    <row r="740" spans="1:16" x14ac:dyDescent="0.25">
      <c r="B740" t="s">
        <v>144</v>
      </c>
      <c r="C740" t="s">
        <v>171</v>
      </c>
      <c r="D740" t="s">
        <v>496</v>
      </c>
      <c r="E740" t="s">
        <v>139</v>
      </c>
      <c r="F740" t="s">
        <v>144</v>
      </c>
      <c r="G740">
        <v>220</v>
      </c>
      <c r="I740">
        <v>10</v>
      </c>
      <c r="J740">
        <v>230</v>
      </c>
      <c r="K740">
        <v>280</v>
      </c>
      <c r="L740">
        <v>290</v>
      </c>
      <c r="M740">
        <v>375</v>
      </c>
      <c r="N740">
        <v>270</v>
      </c>
      <c r="O740">
        <v>315</v>
      </c>
      <c r="P740">
        <v>960</v>
      </c>
    </row>
    <row r="741" spans="1:16" x14ac:dyDescent="0.25">
      <c r="B741" t="s">
        <v>423</v>
      </c>
      <c r="C741" t="s">
        <v>171</v>
      </c>
      <c r="D741" t="s">
        <v>496</v>
      </c>
      <c r="E741" t="s">
        <v>139</v>
      </c>
      <c r="F741" t="s">
        <v>423</v>
      </c>
      <c r="G741">
        <v>200</v>
      </c>
      <c r="I741">
        <v>10</v>
      </c>
      <c r="J741">
        <v>210</v>
      </c>
      <c r="K741">
        <v>255</v>
      </c>
      <c r="L741">
        <v>265</v>
      </c>
      <c r="M741">
        <v>350</v>
      </c>
      <c r="N741">
        <v>245</v>
      </c>
      <c r="O741">
        <v>285</v>
      </c>
      <c r="P741">
        <v>880</v>
      </c>
    </row>
    <row r="742" spans="1:16" x14ac:dyDescent="0.25">
      <c r="B742" t="s">
        <v>363</v>
      </c>
      <c r="C742" t="s">
        <v>171</v>
      </c>
      <c r="D742" t="s">
        <v>496</v>
      </c>
      <c r="E742" t="s">
        <v>139</v>
      </c>
      <c r="F742" t="s">
        <v>363</v>
      </c>
      <c r="G742">
        <v>230</v>
      </c>
      <c r="I742">
        <v>10</v>
      </c>
      <c r="J742">
        <v>240</v>
      </c>
      <c r="K742">
        <v>285</v>
      </c>
      <c r="L742">
        <v>300</v>
      </c>
      <c r="M742">
        <v>400</v>
      </c>
      <c r="N742">
        <v>280</v>
      </c>
      <c r="O742">
        <v>325</v>
      </c>
      <c r="P742">
        <v>990</v>
      </c>
    </row>
    <row r="743" spans="1:16" x14ac:dyDescent="0.25">
      <c r="B743" t="s">
        <v>415</v>
      </c>
      <c r="C743" t="s">
        <v>171</v>
      </c>
      <c r="D743" t="s">
        <v>496</v>
      </c>
      <c r="E743" t="s">
        <v>139</v>
      </c>
      <c r="F743" t="s">
        <v>415</v>
      </c>
      <c r="G743">
        <v>200</v>
      </c>
      <c r="I743">
        <v>10</v>
      </c>
      <c r="J743">
        <v>210</v>
      </c>
      <c r="K743">
        <v>255</v>
      </c>
      <c r="L743">
        <v>265</v>
      </c>
      <c r="M743">
        <v>350</v>
      </c>
      <c r="N743">
        <v>245</v>
      </c>
      <c r="O743">
        <v>285</v>
      </c>
      <c r="P743">
        <v>880</v>
      </c>
    </row>
    <row r="744" spans="1:16" x14ac:dyDescent="0.25">
      <c r="A744">
        <v>2025</v>
      </c>
      <c r="B744" t="s">
        <v>610</v>
      </c>
      <c r="C744" t="s">
        <v>171</v>
      </c>
      <c r="D744" t="s">
        <v>496</v>
      </c>
      <c r="E744" t="s">
        <v>139</v>
      </c>
      <c r="F744" t="s">
        <v>610</v>
      </c>
      <c r="G744">
        <v>190</v>
      </c>
      <c r="I744">
        <v>10</v>
      </c>
      <c r="J744">
        <v>200</v>
      </c>
      <c r="K744">
        <v>240</v>
      </c>
      <c r="L744">
        <v>250</v>
      </c>
      <c r="M744">
        <v>325</v>
      </c>
      <c r="N744">
        <v>230</v>
      </c>
      <c r="O744">
        <v>270</v>
      </c>
      <c r="P744">
        <v>840</v>
      </c>
    </row>
    <row r="745" spans="1:16" x14ac:dyDescent="0.25">
      <c r="B745" t="s">
        <v>145</v>
      </c>
      <c r="C745" t="s">
        <v>171</v>
      </c>
      <c r="D745" t="s">
        <v>496</v>
      </c>
      <c r="E745" t="s">
        <v>139</v>
      </c>
      <c r="F745" t="s">
        <v>145</v>
      </c>
      <c r="G745">
        <v>240</v>
      </c>
      <c r="I745">
        <v>10</v>
      </c>
      <c r="J745">
        <v>250</v>
      </c>
      <c r="K745">
        <v>300</v>
      </c>
      <c r="L745">
        <v>315</v>
      </c>
      <c r="M745">
        <v>400</v>
      </c>
      <c r="N745">
        <v>290</v>
      </c>
      <c r="O745">
        <v>340</v>
      </c>
      <c r="P745">
        <v>1030</v>
      </c>
    </row>
    <row r="746" spans="1:16" x14ac:dyDescent="0.25">
      <c r="B746" t="s">
        <v>353</v>
      </c>
      <c r="C746" t="s">
        <v>171</v>
      </c>
      <c r="D746" t="s">
        <v>496</v>
      </c>
      <c r="E746" t="s">
        <v>139</v>
      </c>
      <c r="F746" t="s">
        <v>353</v>
      </c>
      <c r="G746">
        <v>230</v>
      </c>
      <c r="I746">
        <v>10</v>
      </c>
      <c r="J746">
        <v>240</v>
      </c>
      <c r="K746">
        <v>285</v>
      </c>
      <c r="L746">
        <v>300</v>
      </c>
      <c r="M746">
        <v>400</v>
      </c>
      <c r="N746">
        <v>280</v>
      </c>
      <c r="O746">
        <v>325</v>
      </c>
      <c r="P746">
        <v>990</v>
      </c>
    </row>
    <row r="747" spans="1:16" x14ac:dyDescent="0.25">
      <c r="B747" t="s">
        <v>364</v>
      </c>
      <c r="C747" t="s">
        <v>171</v>
      </c>
      <c r="D747" t="s">
        <v>496</v>
      </c>
      <c r="E747" t="s">
        <v>139</v>
      </c>
      <c r="F747" t="s">
        <v>364</v>
      </c>
      <c r="G747">
        <v>190</v>
      </c>
      <c r="I747">
        <v>10</v>
      </c>
      <c r="J747">
        <v>200</v>
      </c>
      <c r="K747">
        <v>240</v>
      </c>
      <c r="L747">
        <v>250</v>
      </c>
      <c r="M747">
        <v>325</v>
      </c>
      <c r="N747">
        <v>230</v>
      </c>
      <c r="O747">
        <v>270</v>
      </c>
      <c r="P747">
        <v>840</v>
      </c>
    </row>
    <row r="748" spans="1:16" x14ac:dyDescent="0.25">
      <c r="B748" t="s">
        <v>357</v>
      </c>
      <c r="C748" t="s">
        <v>171</v>
      </c>
      <c r="D748" t="s">
        <v>496</v>
      </c>
      <c r="E748" t="s">
        <v>139</v>
      </c>
      <c r="F748" t="s">
        <v>357</v>
      </c>
      <c r="G748">
        <v>235</v>
      </c>
      <c r="I748">
        <v>10</v>
      </c>
      <c r="J748">
        <v>245</v>
      </c>
      <c r="K748">
        <v>295</v>
      </c>
      <c r="L748">
        <v>310</v>
      </c>
      <c r="M748">
        <v>400</v>
      </c>
      <c r="N748">
        <v>290</v>
      </c>
      <c r="O748">
        <v>335</v>
      </c>
      <c r="P748">
        <v>1010</v>
      </c>
    </row>
    <row r="749" spans="1:16" x14ac:dyDescent="0.25">
      <c r="B749" t="s">
        <v>405</v>
      </c>
      <c r="C749" t="s">
        <v>171</v>
      </c>
      <c r="D749" t="s">
        <v>496</v>
      </c>
      <c r="E749" t="s">
        <v>139</v>
      </c>
      <c r="F749" t="s">
        <v>405</v>
      </c>
      <c r="G749">
        <v>170</v>
      </c>
      <c r="I749">
        <v>10</v>
      </c>
      <c r="J749">
        <v>180</v>
      </c>
      <c r="K749">
        <v>215</v>
      </c>
      <c r="L749">
        <v>225</v>
      </c>
      <c r="M749">
        <v>300</v>
      </c>
      <c r="N749">
        <v>210</v>
      </c>
      <c r="O749">
        <v>245</v>
      </c>
      <c r="P749">
        <v>770</v>
      </c>
    </row>
    <row r="750" spans="1:16" x14ac:dyDescent="0.25">
      <c r="B750" t="s">
        <v>359</v>
      </c>
      <c r="C750" t="s">
        <v>171</v>
      </c>
      <c r="D750" t="s">
        <v>496</v>
      </c>
      <c r="E750" t="s">
        <v>139</v>
      </c>
      <c r="F750" t="s">
        <v>359</v>
      </c>
      <c r="G750">
        <v>220</v>
      </c>
      <c r="I750">
        <v>10</v>
      </c>
      <c r="J750">
        <v>230</v>
      </c>
      <c r="K750">
        <v>280</v>
      </c>
      <c r="L750">
        <v>290</v>
      </c>
      <c r="M750">
        <v>375</v>
      </c>
      <c r="N750">
        <v>270</v>
      </c>
      <c r="O750">
        <v>315</v>
      </c>
      <c r="P750">
        <v>960</v>
      </c>
    </row>
    <row r="751" spans="1:16" x14ac:dyDescent="0.25">
      <c r="B751" t="s">
        <v>409</v>
      </c>
      <c r="C751" t="s">
        <v>171</v>
      </c>
      <c r="D751" t="s">
        <v>496</v>
      </c>
      <c r="E751" t="s">
        <v>139</v>
      </c>
      <c r="F751" t="s">
        <v>409</v>
      </c>
      <c r="G751">
        <v>220</v>
      </c>
      <c r="I751">
        <v>10</v>
      </c>
      <c r="J751">
        <v>230</v>
      </c>
      <c r="K751">
        <v>280</v>
      </c>
      <c r="L751">
        <v>290</v>
      </c>
      <c r="M751">
        <v>375</v>
      </c>
      <c r="N751">
        <v>270</v>
      </c>
      <c r="O751">
        <v>315</v>
      </c>
      <c r="P751">
        <v>960</v>
      </c>
    </row>
    <row r="752" spans="1:16" x14ac:dyDescent="0.25">
      <c r="B752" t="s">
        <v>271</v>
      </c>
      <c r="C752" t="s">
        <v>171</v>
      </c>
      <c r="D752" t="s">
        <v>496</v>
      </c>
      <c r="E752" t="s">
        <v>139</v>
      </c>
      <c r="F752" t="s">
        <v>271</v>
      </c>
      <c r="G752">
        <v>240</v>
      </c>
      <c r="I752">
        <v>10</v>
      </c>
      <c r="J752">
        <v>250</v>
      </c>
      <c r="K752">
        <v>300</v>
      </c>
      <c r="L752">
        <v>315</v>
      </c>
      <c r="M752">
        <v>400</v>
      </c>
      <c r="N752">
        <v>290</v>
      </c>
      <c r="O752">
        <v>340</v>
      </c>
      <c r="P752">
        <v>1030</v>
      </c>
    </row>
    <row r="753" spans="1:16" x14ac:dyDescent="0.25">
      <c r="B753" t="s">
        <v>274</v>
      </c>
      <c r="C753" t="s">
        <v>171</v>
      </c>
      <c r="D753" t="s">
        <v>496</v>
      </c>
      <c r="E753" t="s">
        <v>139</v>
      </c>
      <c r="F753" t="s">
        <v>274</v>
      </c>
      <c r="G753">
        <v>240</v>
      </c>
      <c r="I753">
        <v>10</v>
      </c>
      <c r="J753">
        <v>250</v>
      </c>
      <c r="K753">
        <v>300</v>
      </c>
      <c r="L753">
        <v>315</v>
      </c>
      <c r="M753">
        <v>400</v>
      </c>
      <c r="N753">
        <v>290</v>
      </c>
      <c r="O753">
        <v>340</v>
      </c>
      <c r="P753">
        <v>1030</v>
      </c>
    </row>
    <row r="754" spans="1:16" x14ac:dyDescent="0.25">
      <c r="B754" t="s">
        <v>140</v>
      </c>
      <c r="C754" t="s">
        <v>171</v>
      </c>
      <c r="D754" t="s">
        <v>496</v>
      </c>
      <c r="E754" t="s">
        <v>139</v>
      </c>
      <c r="F754" t="s">
        <v>140</v>
      </c>
      <c r="G754">
        <v>230</v>
      </c>
      <c r="I754">
        <v>10</v>
      </c>
      <c r="J754">
        <v>240</v>
      </c>
      <c r="K754">
        <v>285</v>
      </c>
      <c r="L754">
        <v>300</v>
      </c>
      <c r="M754">
        <v>400</v>
      </c>
      <c r="N754">
        <v>280</v>
      </c>
      <c r="O754">
        <v>325</v>
      </c>
      <c r="P754">
        <v>990</v>
      </c>
    </row>
    <row r="755" spans="1:16" x14ac:dyDescent="0.25">
      <c r="B755" t="s">
        <v>365</v>
      </c>
      <c r="C755" t="s">
        <v>171</v>
      </c>
      <c r="D755" t="s">
        <v>496</v>
      </c>
      <c r="E755" t="s">
        <v>139</v>
      </c>
      <c r="F755" t="s">
        <v>365</v>
      </c>
      <c r="G755">
        <v>235</v>
      </c>
      <c r="I755">
        <v>10</v>
      </c>
      <c r="J755">
        <v>245</v>
      </c>
      <c r="K755">
        <v>295</v>
      </c>
      <c r="L755">
        <v>310</v>
      </c>
      <c r="M755">
        <v>400</v>
      </c>
      <c r="N755">
        <v>290</v>
      </c>
      <c r="O755">
        <v>335</v>
      </c>
      <c r="P755">
        <v>1010</v>
      </c>
    </row>
    <row r="756" spans="1:16" x14ac:dyDescent="0.25">
      <c r="B756" t="s">
        <v>270</v>
      </c>
      <c r="C756" t="s">
        <v>171</v>
      </c>
      <c r="D756" t="s">
        <v>496</v>
      </c>
      <c r="E756" t="s">
        <v>139</v>
      </c>
      <c r="F756" t="s">
        <v>270</v>
      </c>
      <c r="G756">
        <v>220</v>
      </c>
      <c r="I756">
        <v>10</v>
      </c>
      <c r="J756">
        <v>230</v>
      </c>
      <c r="K756">
        <v>280</v>
      </c>
      <c r="L756">
        <v>290</v>
      </c>
      <c r="M756">
        <v>375</v>
      </c>
      <c r="N756">
        <v>270</v>
      </c>
      <c r="O756">
        <v>315</v>
      </c>
      <c r="P756">
        <v>960</v>
      </c>
    </row>
    <row r="757" spans="1:16" x14ac:dyDescent="0.25">
      <c r="B757" t="s">
        <v>352</v>
      </c>
      <c r="C757" t="s">
        <v>171</v>
      </c>
      <c r="D757" t="s">
        <v>496</v>
      </c>
      <c r="E757" t="s">
        <v>139</v>
      </c>
      <c r="F757" t="s">
        <v>352</v>
      </c>
      <c r="G757">
        <v>210</v>
      </c>
      <c r="I757">
        <v>10</v>
      </c>
      <c r="J757">
        <v>220</v>
      </c>
      <c r="K757">
        <v>265</v>
      </c>
      <c r="L757">
        <v>275</v>
      </c>
      <c r="M757">
        <v>350</v>
      </c>
      <c r="N757">
        <v>255</v>
      </c>
      <c r="O757">
        <v>295</v>
      </c>
      <c r="P757">
        <v>920</v>
      </c>
    </row>
    <row r="758" spans="1:16" x14ac:dyDescent="0.25">
      <c r="B758" t="s">
        <v>416</v>
      </c>
      <c r="C758" t="s">
        <v>171</v>
      </c>
      <c r="D758" t="s">
        <v>496</v>
      </c>
      <c r="E758" t="s">
        <v>139</v>
      </c>
      <c r="F758" t="s">
        <v>416</v>
      </c>
      <c r="G758">
        <v>180</v>
      </c>
      <c r="I758">
        <v>10</v>
      </c>
      <c r="J758">
        <v>190</v>
      </c>
      <c r="K758">
        <v>230</v>
      </c>
      <c r="L758">
        <v>240</v>
      </c>
      <c r="M758">
        <v>300</v>
      </c>
      <c r="N758">
        <v>225</v>
      </c>
      <c r="O758">
        <v>260</v>
      </c>
      <c r="P758">
        <v>800</v>
      </c>
    </row>
    <row r="759" spans="1:16" x14ac:dyDescent="0.25">
      <c r="B759" t="s">
        <v>361</v>
      </c>
      <c r="C759" t="s">
        <v>171</v>
      </c>
      <c r="D759" t="s">
        <v>496</v>
      </c>
      <c r="E759" t="s">
        <v>139</v>
      </c>
      <c r="F759" t="s">
        <v>361</v>
      </c>
      <c r="G759">
        <v>210</v>
      </c>
      <c r="I759">
        <v>10</v>
      </c>
      <c r="J759">
        <v>220</v>
      </c>
      <c r="K759">
        <v>265</v>
      </c>
      <c r="L759">
        <v>275</v>
      </c>
      <c r="M759">
        <v>350</v>
      </c>
      <c r="N759">
        <v>255</v>
      </c>
      <c r="O759">
        <v>295</v>
      </c>
      <c r="P759">
        <v>920</v>
      </c>
    </row>
    <row r="760" spans="1:16" x14ac:dyDescent="0.25">
      <c r="B760" t="s">
        <v>406</v>
      </c>
      <c r="C760" t="s">
        <v>171</v>
      </c>
      <c r="D760" t="s">
        <v>496</v>
      </c>
      <c r="E760" t="s">
        <v>139</v>
      </c>
      <c r="F760" t="s">
        <v>407</v>
      </c>
      <c r="G760">
        <v>200</v>
      </c>
      <c r="I760">
        <v>10</v>
      </c>
      <c r="J760">
        <v>210</v>
      </c>
      <c r="K760">
        <v>255</v>
      </c>
      <c r="L760">
        <v>265</v>
      </c>
      <c r="M760">
        <v>350</v>
      </c>
      <c r="N760">
        <v>245</v>
      </c>
      <c r="O760">
        <v>285</v>
      </c>
      <c r="P760">
        <v>880</v>
      </c>
    </row>
    <row r="761" spans="1:16" x14ac:dyDescent="0.25">
      <c r="B761" t="s">
        <v>355</v>
      </c>
      <c r="C761" t="s">
        <v>171</v>
      </c>
      <c r="D761" t="s">
        <v>496</v>
      </c>
      <c r="E761" t="s">
        <v>139</v>
      </c>
      <c r="F761" t="s">
        <v>355</v>
      </c>
      <c r="G761">
        <v>220</v>
      </c>
      <c r="I761">
        <v>10</v>
      </c>
      <c r="J761">
        <v>230</v>
      </c>
      <c r="K761">
        <v>280</v>
      </c>
      <c r="L761">
        <v>290</v>
      </c>
      <c r="M761">
        <v>375</v>
      </c>
      <c r="N761">
        <v>270</v>
      </c>
      <c r="O761">
        <v>315</v>
      </c>
      <c r="P761">
        <v>960</v>
      </c>
    </row>
    <row r="762" spans="1:16" x14ac:dyDescent="0.25">
      <c r="B762" t="s">
        <v>369</v>
      </c>
      <c r="C762" t="s">
        <v>171</v>
      </c>
      <c r="D762" t="s">
        <v>496</v>
      </c>
      <c r="E762" t="s">
        <v>139</v>
      </c>
      <c r="F762" t="s">
        <v>369</v>
      </c>
      <c r="G762">
        <v>150</v>
      </c>
      <c r="I762">
        <v>10</v>
      </c>
      <c r="J762">
        <v>160</v>
      </c>
      <c r="K762">
        <v>190</v>
      </c>
      <c r="L762">
        <v>200</v>
      </c>
      <c r="M762">
        <v>275</v>
      </c>
      <c r="N762">
        <v>185</v>
      </c>
      <c r="O762">
        <v>215</v>
      </c>
      <c r="P762">
        <v>690</v>
      </c>
    </row>
    <row r="763" spans="1:16" x14ac:dyDescent="0.25">
      <c r="B763" t="s">
        <v>417</v>
      </c>
      <c r="C763" t="s">
        <v>171</v>
      </c>
      <c r="D763" t="s">
        <v>496</v>
      </c>
      <c r="E763" t="s">
        <v>139</v>
      </c>
      <c r="F763" t="s">
        <v>417</v>
      </c>
      <c r="G763">
        <v>220</v>
      </c>
      <c r="I763">
        <v>10</v>
      </c>
      <c r="J763">
        <v>230</v>
      </c>
      <c r="K763">
        <v>280</v>
      </c>
      <c r="L763">
        <v>290</v>
      </c>
      <c r="M763">
        <v>375</v>
      </c>
      <c r="N763">
        <v>270</v>
      </c>
      <c r="O763">
        <v>315</v>
      </c>
      <c r="P763">
        <v>960</v>
      </c>
    </row>
    <row r="764" spans="1:16" x14ac:dyDescent="0.25">
      <c r="B764" t="s">
        <v>418</v>
      </c>
      <c r="C764" t="s">
        <v>171</v>
      </c>
      <c r="D764" t="s">
        <v>496</v>
      </c>
      <c r="E764" t="s">
        <v>139</v>
      </c>
      <c r="F764" t="s">
        <v>418</v>
      </c>
      <c r="G764">
        <v>220</v>
      </c>
      <c r="I764">
        <v>10</v>
      </c>
      <c r="J764">
        <v>230</v>
      </c>
      <c r="K764">
        <v>280</v>
      </c>
      <c r="L764">
        <v>290</v>
      </c>
      <c r="M764">
        <v>375</v>
      </c>
      <c r="N764">
        <v>270</v>
      </c>
      <c r="O764">
        <v>315</v>
      </c>
      <c r="P764">
        <v>960</v>
      </c>
    </row>
    <row r="765" spans="1:16" x14ac:dyDescent="0.25">
      <c r="B765" t="s">
        <v>419</v>
      </c>
      <c r="C765" t="s">
        <v>171</v>
      </c>
      <c r="D765" t="s">
        <v>496</v>
      </c>
      <c r="E765" t="s">
        <v>139</v>
      </c>
      <c r="F765" t="s">
        <v>419</v>
      </c>
      <c r="G765">
        <v>180</v>
      </c>
      <c r="I765">
        <v>10</v>
      </c>
      <c r="J765">
        <v>190</v>
      </c>
      <c r="K765">
        <v>230</v>
      </c>
      <c r="L765">
        <v>240</v>
      </c>
      <c r="M765">
        <v>300</v>
      </c>
      <c r="N765">
        <v>225</v>
      </c>
      <c r="O765">
        <v>260</v>
      </c>
      <c r="P765">
        <v>800</v>
      </c>
    </row>
    <row r="766" spans="1:16" x14ac:dyDescent="0.25">
      <c r="A766">
        <v>2025</v>
      </c>
      <c r="B766" t="s">
        <v>612</v>
      </c>
      <c r="C766" t="s">
        <v>171</v>
      </c>
      <c r="D766" t="s">
        <v>496</v>
      </c>
      <c r="E766" t="s">
        <v>139</v>
      </c>
      <c r="F766" t="s">
        <v>598</v>
      </c>
      <c r="G766">
        <v>240</v>
      </c>
      <c r="I766">
        <v>10</v>
      </c>
      <c r="J766">
        <v>250</v>
      </c>
      <c r="K766">
        <v>300</v>
      </c>
      <c r="L766">
        <v>315</v>
      </c>
      <c r="M766">
        <v>400</v>
      </c>
      <c r="N766">
        <v>290</v>
      </c>
      <c r="O766">
        <v>340</v>
      </c>
      <c r="P766">
        <v>1030</v>
      </c>
    </row>
    <row r="767" spans="1:16" x14ac:dyDescent="0.25">
      <c r="B767" t="s">
        <v>349</v>
      </c>
      <c r="C767" t="s">
        <v>171</v>
      </c>
      <c r="D767" t="s">
        <v>496</v>
      </c>
      <c r="E767" t="s">
        <v>139</v>
      </c>
      <c r="F767" t="s">
        <v>349</v>
      </c>
      <c r="G767">
        <v>270</v>
      </c>
      <c r="I767">
        <v>10</v>
      </c>
      <c r="J767">
        <v>280</v>
      </c>
      <c r="K767">
        <v>335</v>
      </c>
      <c r="L767">
        <v>350</v>
      </c>
      <c r="M767">
        <v>450</v>
      </c>
      <c r="N767">
        <v>325</v>
      </c>
      <c r="O767">
        <v>375</v>
      </c>
      <c r="P767">
        <v>1140</v>
      </c>
    </row>
    <row r="768" spans="1:16" x14ac:dyDescent="0.25">
      <c r="A768">
        <v>2025</v>
      </c>
      <c r="B768" t="s">
        <v>596</v>
      </c>
      <c r="C768" t="s">
        <v>171</v>
      </c>
      <c r="D768" t="s">
        <v>496</v>
      </c>
      <c r="E768" t="s">
        <v>139</v>
      </c>
      <c r="F768" t="s">
        <v>597</v>
      </c>
      <c r="G768">
        <v>230</v>
      </c>
      <c r="I768">
        <v>10</v>
      </c>
      <c r="J768">
        <v>240</v>
      </c>
      <c r="K768">
        <v>285</v>
      </c>
      <c r="L768">
        <v>300</v>
      </c>
      <c r="M768">
        <v>400</v>
      </c>
      <c r="N768">
        <v>280</v>
      </c>
      <c r="O768">
        <v>325</v>
      </c>
      <c r="P768">
        <v>990</v>
      </c>
    </row>
    <row r="769" spans="1:16" x14ac:dyDescent="0.25">
      <c r="B769" t="s">
        <v>350</v>
      </c>
      <c r="C769" t="s">
        <v>171</v>
      </c>
      <c r="D769" t="s">
        <v>496</v>
      </c>
      <c r="E769" t="s">
        <v>139</v>
      </c>
      <c r="F769" t="s">
        <v>350</v>
      </c>
      <c r="G769">
        <v>290</v>
      </c>
      <c r="I769">
        <v>10</v>
      </c>
      <c r="J769">
        <v>300</v>
      </c>
      <c r="K769">
        <v>360</v>
      </c>
      <c r="L769">
        <v>375</v>
      </c>
      <c r="M769">
        <v>475</v>
      </c>
      <c r="N769">
        <v>345</v>
      </c>
      <c r="O769">
        <v>405</v>
      </c>
      <c r="P769">
        <v>1220</v>
      </c>
    </row>
    <row r="770" spans="1:16" x14ac:dyDescent="0.25">
      <c r="B770" t="s">
        <v>264</v>
      </c>
      <c r="C770" t="s">
        <v>171</v>
      </c>
      <c r="D770" t="s">
        <v>496</v>
      </c>
      <c r="E770" t="s">
        <v>139</v>
      </c>
      <c r="F770" t="s">
        <v>265</v>
      </c>
      <c r="G770">
        <v>170</v>
      </c>
      <c r="I770">
        <v>10</v>
      </c>
      <c r="J770">
        <v>180</v>
      </c>
      <c r="K770">
        <v>215</v>
      </c>
      <c r="L770">
        <v>225</v>
      </c>
      <c r="M770">
        <v>300</v>
      </c>
      <c r="N770">
        <v>210</v>
      </c>
      <c r="O770">
        <v>245</v>
      </c>
      <c r="P770">
        <v>770</v>
      </c>
    </row>
    <row r="771" spans="1:16" x14ac:dyDescent="0.25">
      <c r="B771" t="s">
        <v>272</v>
      </c>
      <c r="C771" t="s">
        <v>171</v>
      </c>
      <c r="D771" t="s">
        <v>496</v>
      </c>
      <c r="E771" t="s">
        <v>139</v>
      </c>
      <c r="F771" t="s">
        <v>272</v>
      </c>
      <c r="G771">
        <v>220</v>
      </c>
      <c r="I771">
        <v>10</v>
      </c>
      <c r="J771">
        <v>230</v>
      </c>
      <c r="K771">
        <v>280</v>
      </c>
      <c r="L771">
        <v>290</v>
      </c>
      <c r="M771">
        <v>375</v>
      </c>
      <c r="N771">
        <v>270</v>
      </c>
      <c r="O771">
        <v>315</v>
      </c>
      <c r="P771">
        <v>960</v>
      </c>
    </row>
    <row r="772" spans="1:16" x14ac:dyDescent="0.25">
      <c r="B772" t="s">
        <v>273</v>
      </c>
      <c r="C772" t="s">
        <v>171</v>
      </c>
      <c r="D772" t="s">
        <v>496</v>
      </c>
      <c r="E772" t="s">
        <v>139</v>
      </c>
      <c r="F772" t="s">
        <v>273</v>
      </c>
      <c r="G772">
        <v>220</v>
      </c>
      <c r="I772">
        <v>10</v>
      </c>
      <c r="J772">
        <v>230</v>
      </c>
      <c r="K772">
        <v>280</v>
      </c>
      <c r="L772">
        <v>290</v>
      </c>
      <c r="M772">
        <v>375</v>
      </c>
      <c r="N772">
        <v>270</v>
      </c>
      <c r="O772">
        <v>315</v>
      </c>
      <c r="P772">
        <v>960</v>
      </c>
    </row>
    <row r="773" spans="1:16" x14ac:dyDescent="0.25">
      <c r="B773" t="s">
        <v>367</v>
      </c>
      <c r="C773" t="s">
        <v>171</v>
      </c>
      <c r="D773" t="s">
        <v>496</v>
      </c>
      <c r="E773" t="s">
        <v>139</v>
      </c>
      <c r="F773" t="s">
        <v>367</v>
      </c>
      <c r="G773">
        <v>250</v>
      </c>
      <c r="I773">
        <v>10</v>
      </c>
      <c r="J773">
        <v>260</v>
      </c>
      <c r="K773">
        <v>310</v>
      </c>
      <c r="L773">
        <v>325</v>
      </c>
      <c r="M773">
        <v>425</v>
      </c>
      <c r="N773">
        <v>300</v>
      </c>
      <c r="O773">
        <v>350</v>
      </c>
      <c r="P773">
        <v>1070</v>
      </c>
    </row>
    <row r="774" spans="1:16" x14ac:dyDescent="0.25">
      <c r="A774">
        <v>2025</v>
      </c>
      <c r="B774" t="s">
        <v>601</v>
      </c>
      <c r="C774" t="s">
        <v>171</v>
      </c>
      <c r="D774" t="s">
        <v>496</v>
      </c>
      <c r="E774" t="s">
        <v>139</v>
      </c>
      <c r="F774" t="s">
        <v>602</v>
      </c>
      <c r="G774">
        <v>230</v>
      </c>
      <c r="I774">
        <v>10</v>
      </c>
      <c r="J774">
        <v>240</v>
      </c>
      <c r="K774">
        <v>285</v>
      </c>
      <c r="L774">
        <v>300</v>
      </c>
      <c r="M774">
        <v>400</v>
      </c>
      <c r="N774">
        <v>280</v>
      </c>
      <c r="O774">
        <v>325</v>
      </c>
      <c r="P774">
        <v>990</v>
      </c>
    </row>
    <row r="775" spans="1:16" x14ac:dyDescent="0.25">
      <c r="B775" t="s">
        <v>358</v>
      </c>
      <c r="C775" t="s">
        <v>171</v>
      </c>
      <c r="D775" t="s">
        <v>496</v>
      </c>
      <c r="E775" t="s">
        <v>139</v>
      </c>
      <c r="F775" t="s">
        <v>358</v>
      </c>
      <c r="G775">
        <v>250</v>
      </c>
      <c r="I775">
        <v>10</v>
      </c>
      <c r="J775">
        <v>260</v>
      </c>
      <c r="K775">
        <v>310</v>
      </c>
      <c r="L775">
        <v>325</v>
      </c>
      <c r="M775">
        <v>425</v>
      </c>
      <c r="N775">
        <v>300</v>
      </c>
      <c r="O775">
        <v>350</v>
      </c>
      <c r="P775">
        <v>1070</v>
      </c>
    </row>
    <row r="776" spans="1:16" x14ac:dyDescent="0.25">
      <c r="B776" t="s">
        <v>420</v>
      </c>
      <c r="C776" t="s">
        <v>171</v>
      </c>
      <c r="D776" t="s">
        <v>496</v>
      </c>
      <c r="E776" t="s">
        <v>139</v>
      </c>
      <c r="F776" t="s">
        <v>420</v>
      </c>
      <c r="G776">
        <v>180</v>
      </c>
      <c r="I776">
        <v>10</v>
      </c>
      <c r="J776">
        <v>190</v>
      </c>
      <c r="K776">
        <v>230</v>
      </c>
      <c r="L776">
        <v>240</v>
      </c>
      <c r="M776">
        <v>300</v>
      </c>
      <c r="N776">
        <v>225</v>
      </c>
      <c r="O776">
        <v>260</v>
      </c>
      <c r="P776">
        <v>800</v>
      </c>
    </row>
    <row r="777" spans="1:16" x14ac:dyDescent="0.25">
      <c r="B777" t="s">
        <v>366</v>
      </c>
      <c r="C777" t="s">
        <v>171</v>
      </c>
      <c r="D777" t="s">
        <v>496</v>
      </c>
      <c r="E777" t="s">
        <v>139</v>
      </c>
      <c r="F777" t="s">
        <v>366</v>
      </c>
      <c r="G777">
        <v>190</v>
      </c>
      <c r="I777">
        <v>10</v>
      </c>
      <c r="J777">
        <v>200</v>
      </c>
      <c r="K777">
        <v>240</v>
      </c>
      <c r="L777">
        <v>250</v>
      </c>
      <c r="M777">
        <v>325</v>
      </c>
      <c r="N777">
        <v>230</v>
      </c>
      <c r="O777">
        <v>270</v>
      </c>
      <c r="P777">
        <v>840</v>
      </c>
    </row>
    <row r="778" spans="1:16" x14ac:dyDescent="0.25">
      <c r="A778">
        <v>2025</v>
      </c>
      <c r="B778" t="s">
        <v>599</v>
      </c>
      <c r="C778" t="s">
        <v>171</v>
      </c>
      <c r="D778" t="s">
        <v>496</v>
      </c>
      <c r="E778" t="s">
        <v>139</v>
      </c>
      <c r="F778" t="s">
        <v>600</v>
      </c>
      <c r="G778">
        <v>240</v>
      </c>
      <c r="I778">
        <v>10</v>
      </c>
      <c r="J778">
        <v>250</v>
      </c>
      <c r="K778">
        <v>300</v>
      </c>
      <c r="L778">
        <v>315</v>
      </c>
      <c r="M778">
        <v>400</v>
      </c>
      <c r="N778">
        <v>290</v>
      </c>
      <c r="O778">
        <v>340</v>
      </c>
      <c r="P778">
        <v>1030</v>
      </c>
    </row>
    <row r="779" spans="1:16" x14ac:dyDescent="0.25">
      <c r="B779" t="s">
        <v>146</v>
      </c>
      <c r="C779" t="s">
        <v>171</v>
      </c>
      <c r="D779" t="s">
        <v>496</v>
      </c>
      <c r="E779" t="s">
        <v>139</v>
      </c>
      <c r="F779" t="s">
        <v>146</v>
      </c>
      <c r="G779">
        <v>240</v>
      </c>
      <c r="I779">
        <v>10</v>
      </c>
      <c r="J779">
        <v>250</v>
      </c>
      <c r="K779">
        <v>300</v>
      </c>
      <c r="L779">
        <v>315</v>
      </c>
      <c r="M779">
        <v>400</v>
      </c>
      <c r="N779">
        <v>290</v>
      </c>
      <c r="O779">
        <v>340</v>
      </c>
      <c r="P779">
        <v>1030</v>
      </c>
    </row>
    <row r="780" spans="1:16" x14ac:dyDescent="0.25">
      <c r="B780" t="s">
        <v>147</v>
      </c>
      <c r="C780" t="s">
        <v>171</v>
      </c>
      <c r="D780" t="s">
        <v>496</v>
      </c>
      <c r="E780" t="s">
        <v>139</v>
      </c>
      <c r="F780" t="s">
        <v>147</v>
      </c>
      <c r="G780">
        <v>220</v>
      </c>
      <c r="I780">
        <v>10</v>
      </c>
      <c r="J780">
        <v>230</v>
      </c>
      <c r="K780">
        <v>280</v>
      </c>
      <c r="L780">
        <v>290</v>
      </c>
      <c r="M780">
        <v>375</v>
      </c>
      <c r="N780">
        <v>270</v>
      </c>
      <c r="O780">
        <v>315</v>
      </c>
      <c r="P780">
        <v>960</v>
      </c>
    </row>
    <row r="781" spans="1:16" x14ac:dyDescent="0.25">
      <c r="B781" t="s">
        <v>148</v>
      </c>
      <c r="C781" t="s">
        <v>171</v>
      </c>
      <c r="D781" t="s">
        <v>496</v>
      </c>
      <c r="E781" t="s">
        <v>139</v>
      </c>
      <c r="F781" t="s">
        <v>148</v>
      </c>
      <c r="G781">
        <v>220</v>
      </c>
      <c r="I781">
        <v>10</v>
      </c>
      <c r="J781">
        <v>230</v>
      </c>
      <c r="K781">
        <v>280</v>
      </c>
      <c r="L781">
        <v>290</v>
      </c>
      <c r="M781">
        <v>375</v>
      </c>
      <c r="N781">
        <v>270</v>
      </c>
      <c r="O781">
        <v>315</v>
      </c>
      <c r="P781">
        <v>960</v>
      </c>
    </row>
    <row r="782" spans="1:16" x14ac:dyDescent="0.25">
      <c r="B782" t="s">
        <v>149</v>
      </c>
      <c r="C782" t="s">
        <v>171</v>
      </c>
      <c r="D782" t="s">
        <v>496</v>
      </c>
      <c r="E782" t="s">
        <v>139</v>
      </c>
      <c r="F782" t="s">
        <v>149</v>
      </c>
      <c r="G782">
        <v>220</v>
      </c>
      <c r="I782">
        <v>10</v>
      </c>
      <c r="J782">
        <v>230</v>
      </c>
      <c r="K782">
        <v>280</v>
      </c>
      <c r="L782">
        <v>290</v>
      </c>
      <c r="M782">
        <v>375</v>
      </c>
      <c r="N782">
        <v>270</v>
      </c>
      <c r="O782">
        <v>315</v>
      </c>
      <c r="P782">
        <v>960</v>
      </c>
    </row>
    <row r="783" spans="1:16" x14ac:dyDescent="0.25">
      <c r="B783" t="s">
        <v>260</v>
      </c>
      <c r="C783" t="s">
        <v>171</v>
      </c>
      <c r="D783" t="s">
        <v>496</v>
      </c>
      <c r="E783" t="s">
        <v>139</v>
      </c>
      <c r="F783" t="s">
        <v>261</v>
      </c>
      <c r="G783">
        <v>110</v>
      </c>
      <c r="I783">
        <v>10</v>
      </c>
      <c r="J783">
        <v>120</v>
      </c>
      <c r="K783">
        <v>145</v>
      </c>
      <c r="L783">
        <v>150</v>
      </c>
      <c r="M783">
        <v>200</v>
      </c>
      <c r="N783">
        <v>140</v>
      </c>
      <c r="O783">
        <v>165</v>
      </c>
      <c r="P783">
        <v>540</v>
      </c>
    </row>
    <row r="784" spans="1:16" x14ac:dyDescent="0.25">
      <c r="B784" t="s">
        <v>348</v>
      </c>
      <c r="C784" t="s">
        <v>171</v>
      </c>
      <c r="D784" t="s">
        <v>496</v>
      </c>
      <c r="E784" t="s">
        <v>139</v>
      </c>
      <c r="F784" t="s">
        <v>348</v>
      </c>
      <c r="G784">
        <v>90</v>
      </c>
      <c r="I784">
        <v>10</v>
      </c>
      <c r="J784">
        <v>100</v>
      </c>
      <c r="K784">
        <v>120</v>
      </c>
      <c r="L784">
        <v>125</v>
      </c>
      <c r="M784">
        <v>175</v>
      </c>
      <c r="N784">
        <v>115</v>
      </c>
      <c r="O784">
        <v>135</v>
      </c>
      <c r="P784">
        <v>470</v>
      </c>
    </row>
    <row r="785" spans="1:16" x14ac:dyDescent="0.25">
      <c r="B785" t="s">
        <v>351</v>
      </c>
      <c r="C785" t="s">
        <v>171</v>
      </c>
      <c r="D785" t="s">
        <v>496</v>
      </c>
      <c r="E785" t="s">
        <v>139</v>
      </c>
      <c r="F785" t="s">
        <v>351</v>
      </c>
      <c r="G785">
        <v>450</v>
      </c>
      <c r="I785">
        <v>10</v>
      </c>
      <c r="J785">
        <v>460</v>
      </c>
      <c r="K785">
        <v>550</v>
      </c>
      <c r="L785">
        <v>575</v>
      </c>
      <c r="M785">
        <v>725</v>
      </c>
      <c r="N785">
        <v>530</v>
      </c>
      <c r="O785">
        <v>620</v>
      </c>
      <c r="P785">
        <v>1820</v>
      </c>
    </row>
    <row r="786" spans="1:16" x14ac:dyDescent="0.25">
      <c r="B786" t="s">
        <v>368</v>
      </c>
      <c r="C786" t="s">
        <v>171</v>
      </c>
      <c r="D786" t="s">
        <v>496</v>
      </c>
      <c r="E786" t="s">
        <v>139</v>
      </c>
      <c r="F786" t="s">
        <v>368</v>
      </c>
      <c r="G786">
        <v>460</v>
      </c>
      <c r="I786">
        <v>10</v>
      </c>
      <c r="J786">
        <v>470</v>
      </c>
      <c r="K786">
        <v>565</v>
      </c>
      <c r="L786">
        <v>590</v>
      </c>
      <c r="M786">
        <v>750</v>
      </c>
      <c r="N786">
        <v>545</v>
      </c>
      <c r="O786">
        <v>635</v>
      </c>
      <c r="P786">
        <v>1860</v>
      </c>
    </row>
    <row r="787" spans="1:16" x14ac:dyDescent="0.25">
      <c r="B787" t="s">
        <v>266</v>
      </c>
      <c r="C787" t="s">
        <v>171</v>
      </c>
      <c r="D787" t="s">
        <v>496</v>
      </c>
      <c r="E787" t="s">
        <v>139</v>
      </c>
      <c r="F787" t="s">
        <v>267</v>
      </c>
      <c r="G787">
        <v>225</v>
      </c>
      <c r="I787">
        <v>10</v>
      </c>
      <c r="J787">
        <v>235</v>
      </c>
      <c r="K787">
        <v>285</v>
      </c>
      <c r="L787">
        <v>295</v>
      </c>
      <c r="M787">
        <v>375</v>
      </c>
      <c r="N787">
        <v>275</v>
      </c>
      <c r="O787">
        <v>320</v>
      </c>
      <c r="P787">
        <v>970</v>
      </c>
    </row>
    <row r="788" spans="1:16" x14ac:dyDescent="0.25">
      <c r="B788" t="s">
        <v>268</v>
      </c>
      <c r="C788" t="s">
        <v>171</v>
      </c>
      <c r="D788" t="s">
        <v>496</v>
      </c>
      <c r="E788" t="s">
        <v>139</v>
      </c>
      <c r="F788" t="s">
        <v>269</v>
      </c>
      <c r="G788">
        <v>210</v>
      </c>
      <c r="I788">
        <v>10</v>
      </c>
      <c r="J788">
        <v>220</v>
      </c>
      <c r="K788">
        <v>265</v>
      </c>
      <c r="L788">
        <v>275</v>
      </c>
      <c r="M788">
        <v>350</v>
      </c>
      <c r="N788">
        <v>255</v>
      </c>
      <c r="O788">
        <v>295</v>
      </c>
      <c r="P788">
        <v>920</v>
      </c>
    </row>
    <row r="789" spans="1:16" x14ac:dyDescent="0.25">
      <c r="B789" t="s">
        <v>360</v>
      </c>
      <c r="C789" t="s">
        <v>171</v>
      </c>
      <c r="D789" t="s">
        <v>496</v>
      </c>
      <c r="E789" t="s">
        <v>139</v>
      </c>
      <c r="F789" t="s">
        <v>360</v>
      </c>
      <c r="G789">
        <v>220</v>
      </c>
      <c r="I789">
        <v>10</v>
      </c>
      <c r="J789">
        <v>230</v>
      </c>
      <c r="K789">
        <v>280</v>
      </c>
      <c r="L789">
        <v>290</v>
      </c>
      <c r="M789">
        <v>375</v>
      </c>
      <c r="N789">
        <v>270</v>
      </c>
      <c r="O789">
        <v>315</v>
      </c>
      <c r="P789">
        <v>960</v>
      </c>
    </row>
    <row r="790" spans="1:16" x14ac:dyDescent="0.25">
      <c r="B790" t="s">
        <v>275</v>
      </c>
      <c r="C790" t="s">
        <v>171</v>
      </c>
      <c r="D790" t="s">
        <v>496</v>
      </c>
      <c r="E790" t="s">
        <v>139</v>
      </c>
      <c r="F790" t="s">
        <v>275</v>
      </c>
      <c r="G790">
        <v>230</v>
      </c>
      <c r="I790">
        <v>10</v>
      </c>
      <c r="J790">
        <v>240</v>
      </c>
      <c r="K790">
        <v>285</v>
      </c>
      <c r="L790">
        <v>300</v>
      </c>
      <c r="M790">
        <v>400</v>
      </c>
      <c r="N790">
        <v>280</v>
      </c>
      <c r="O790">
        <v>325</v>
      </c>
      <c r="P790">
        <v>990</v>
      </c>
    </row>
    <row r="791" spans="1:16" x14ac:dyDescent="0.25">
      <c r="A791">
        <v>2025</v>
      </c>
      <c r="B791" t="s">
        <v>605</v>
      </c>
      <c r="C791" t="s">
        <v>171</v>
      </c>
      <c r="D791" t="s">
        <v>496</v>
      </c>
      <c r="E791" t="s">
        <v>139</v>
      </c>
      <c r="F791" t="s">
        <v>606</v>
      </c>
      <c r="G791">
        <v>280</v>
      </c>
      <c r="I791">
        <v>10</v>
      </c>
      <c r="J791">
        <v>290</v>
      </c>
      <c r="K791">
        <v>350</v>
      </c>
      <c r="L791">
        <v>365</v>
      </c>
      <c r="M791">
        <v>475</v>
      </c>
      <c r="N791">
        <v>340</v>
      </c>
      <c r="O791">
        <v>395</v>
      </c>
      <c r="P791">
        <v>1180</v>
      </c>
    </row>
    <row r="792" spans="1:16" x14ac:dyDescent="0.25">
      <c r="B792" t="s">
        <v>262</v>
      </c>
      <c r="C792" t="s">
        <v>171</v>
      </c>
      <c r="D792" t="s">
        <v>496</v>
      </c>
      <c r="E792" t="s">
        <v>139</v>
      </c>
      <c r="F792" t="s">
        <v>263</v>
      </c>
      <c r="G792">
        <v>125</v>
      </c>
      <c r="I792">
        <v>10</v>
      </c>
      <c r="J792">
        <v>135</v>
      </c>
      <c r="K792">
        <v>165</v>
      </c>
      <c r="L792">
        <v>170</v>
      </c>
      <c r="M792">
        <v>225</v>
      </c>
      <c r="N792">
        <v>160</v>
      </c>
      <c r="O792">
        <v>185</v>
      </c>
      <c r="P792">
        <v>600</v>
      </c>
    </row>
    <row r="793" spans="1:16" x14ac:dyDescent="0.25">
      <c r="B793" t="s">
        <v>150</v>
      </c>
      <c r="C793" t="s">
        <v>171</v>
      </c>
      <c r="D793" t="s">
        <v>496</v>
      </c>
      <c r="E793" t="s">
        <v>139</v>
      </c>
      <c r="F793" t="s">
        <v>150</v>
      </c>
      <c r="G793">
        <v>230</v>
      </c>
      <c r="I793">
        <v>10</v>
      </c>
      <c r="J793">
        <v>240</v>
      </c>
      <c r="K793">
        <v>285</v>
      </c>
      <c r="L793">
        <v>300</v>
      </c>
      <c r="M793">
        <v>400</v>
      </c>
      <c r="N793">
        <v>280</v>
      </c>
      <c r="O793">
        <v>325</v>
      </c>
      <c r="P793">
        <v>990</v>
      </c>
    </row>
    <row r="794" spans="1:16" x14ac:dyDescent="0.25">
      <c r="B794" t="s">
        <v>593</v>
      </c>
      <c r="C794" t="s">
        <v>171</v>
      </c>
      <c r="D794" t="s">
        <v>496</v>
      </c>
      <c r="E794" t="s">
        <v>595</v>
      </c>
      <c r="F794" t="s">
        <v>593</v>
      </c>
      <c r="G794">
        <v>180</v>
      </c>
      <c r="I794">
        <v>10</v>
      </c>
      <c r="J794">
        <v>190</v>
      </c>
      <c r="K794">
        <v>230</v>
      </c>
      <c r="L794">
        <v>240</v>
      </c>
      <c r="M794">
        <v>300</v>
      </c>
      <c r="N794">
        <v>225</v>
      </c>
      <c r="O794">
        <v>260</v>
      </c>
      <c r="P794">
        <v>800</v>
      </c>
    </row>
    <row r="795" spans="1:16" x14ac:dyDescent="0.25">
      <c r="B795" t="s">
        <v>594</v>
      </c>
      <c r="C795" t="s">
        <v>171</v>
      </c>
      <c r="D795" t="s">
        <v>496</v>
      </c>
      <c r="E795" t="s">
        <v>595</v>
      </c>
      <c r="F795" t="s">
        <v>594</v>
      </c>
      <c r="G795">
        <v>180</v>
      </c>
      <c r="I795">
        <v>10</v>
      </c>
      <c r="J795">
        <v>190</v>
      </c>
      <c r="K795">
        <v>230</v>
      </c>
      <c r="L795">
        <v>240</v>
      </c>
      <c r="M795">
        <v>300</v>
      </c>
      <c r="N795">
        <v>225</v>
      </c>
      <c r="O795">
        <v>260</v>
      </c>
      <c r="P795">
        <v>800</v>
      </c>
    </row>
    <row r="796" spans="1:16" x14ac:dyDescent="0.25">
      <c r="B796" t="s">
        <v>592</v>
      </c>
      <c r="C796" t="s">
        <v>171</v>
      </c>
      <c r="D796" t="s">
        <v>496</v>
      </c>
      <c r="E796" t="s">
        <v>595</v>
      </c>
      <c r="F796" t="s">
        <v>592</v>
      </c>
      <c r="G796">
        <v>250</v>
      </c>
      <c r="I796">
        <v>10</v>
      </c>
      <c r="J796">
        <v>260</v>
      </c>
      <c r="K796">
        <v>310</v>
      </c>
      <c r="L796">
        <v>325</v>
      </c>
      <c r="M796">
        <v>425</v>
      </c>
      <c r="N796">
        <v>300</v>
      </c>
      <c r="O796">
        <v>350</v>
      </c>
      <c r="P796">
        <v>1070</v>
      </c>
    </row>
    <row r="797" spans="1:16" x14ac:dyDescent="0.25">
      <c r="B797" t="s">
        <v>590</v>
      </c>
      <c r="C797" t="s">
        <v>171</v>
      </c>
      <c r="D797" t="s">
        <v>496</v>
      </c>
      <c r="E797" t="s">
        <v>595</v>
      </c>
      <c r="F797" t="s">
        <v>590</v>
      </c>
      <c r="G797">
        <v>210</v>
      </c>
      <c r="I797">
        <v>10</v>
      </c>
      <c r="J797">
        <v>220</v>
      </c>
      <c r="K797">
        <v>265</v>
      </c>
      <c r="L797">
        <v>275</v>
      </c>
      <c r="M797">
        <v>350</v>
      </c>
      <c r="N797">
        <v>255</v>
      </c>
      <c r="O797">
        <v>295</v>
      </c>
      <c r="P797">
        <v>920</v>
      </c>
    </row>
    <row r="798" spans="1:16" x14ac:dyDescent="0.25">
      <c r="B798" t="s">
        <v>591</v>
      </c>
      <c r="C798" t="s">
        <v>171</v>
      </c>
      <c r="D798" t="s">
        <v>496</v>
      </c>
      <c r="E798" t="s">
        <v>595</v>
      </c>
      <c r="F798" t="s">
        <v>591</v>
      </c>
      <c r="G798">
        <v>180</v>
      </c>
      <c r="I798">
        <v>10</v>
      </c>
      <c r="J798">
        <v>190</v>
      </c>
      <c r="K798">
        <v>230</v>
      </c>
      <c r="L798">
        <v>240</v>
      </c>
      <c r="M798">
        <v>300</v>
      </c>
      <c r="N798">
        <v>225</v>
      </c>
      <c r="O798">
        <v>260</v>
      </c>
      <c r="P798">
        <v>800</v>
      </c>
    </row>
    <row r="799" spans="1:16" x14ac:dyDescent="0.25">
      <c r="B799" t="s">
        <v>586</v>
      </c>
      <c r="C799" t="s">
        <v>171</v>
      </c>
      <c r="D799" t="s">
        <v>496</v>
      </c>
      <c r="E799" t="s">
        <v>595</v>
      </c>
      <c r="F799" t="s">
        <v>586</v>
      </c>
      <c r="G799">
        <v>240</v>
      </c>
      <c r="I799">
        <v>10</v>
      </c>
      <c r="J799">
        <v>250</v>
      </c>
      <c r="K799">
        <v>300</v>
      </c>
      <c r="L799">
        <v>315</v>
      </c>
      <c r="M799">
        <v>400</v>
      </c>
      <c r="N799">
        <v>290</v>
      </c>
      <c r="O799">
        <v>340</v>
      </c>
      <c r="P799">
        <v>1030</v>
      </c>
    </row>
    <row r="800" spans="1:16" x14ac:dyDescent="0.25">
      <c r="B800" t="s">
        <v>585</v>
      </c>
      <c r="C800" t="s">
        <v>171</v>
      </c>
      <c r="D800" t="s">
        <v>496</v>
      </c>
      <c r="E800" t="s">
        <v>595</v>
      </c>
      <c r="F800" t="s">
        <v>585</v>
      </c>
      <c r="G800">
        <v>215</v>
      </c>
      <c r="I800">
        <v>10</v>
      </c>
      <c r="J800">
        <v>225</v>
      </c>
      <c r="K800">
        <v>275</v>
      </c>
      <c r="L800">
        <v>285</v>
      </c>
      <c r="M800">
        <v>375</v>
      </c>
      <c r="N800">
        <v>265</v>
      </c>
      <c r="O800">
        <v>305</v>
      </c>
      <c r="P800">
        <v>940</v>
      </c>
    </row>
    <row r="801" spans="1:16" x14ac:dyDescent="0.25">
      <c r="B801" t="s">
        <v>589</v>
      </c>
      <c r="C801" t="s">
        <v>171</v>
      </c>
      <c r="D801" t="s">
        <v>496</v>
      </c>
      <c r="E801" t="s">
        <v>595</v>
      </c>
      <c r="F801" t="s">
        <v>589</v>
      </c>
      <c r="G801">
        <v>178</v>
      </c>
      <c r="I801">
        <v>10</v>
      </c>
      <c r="J801">
        <v>188</v>
      </c>
      <c r="K801">
        <v>225</v>
      </c>
      <c r="L801">
        <v>235</v>
      </c>
      <c r="M801">
        <v>300</v>
      </c>
      <c r="N801">
        <v>220</v>
      </c>
      <c r="O801">
        <v>255</v>
      </c>
      <c r="P801">
        <v>800</v>
      </c>
    </row>
    <row r="802" spans="1:16" x14ac:dyDescent="0.25">
      <c r="B802" t="s">
        <v>588</v>
      </c>
      <c r="C802" t="s">
        <v>171</v>
      </c>
      <c r="D802" t="s">
        <v>496</v>
      </c>
      <c r="E802" t="s">
        <v>595</v>
      </c>
      <c r="F802" t="s">
        <v>588</v>
      </c>
      <c r="G802">
        <v>178</v>
      </c>
      <c r="I802">
        <v>10</v>
      </c>
      <c r="J802">
        <v>188</v>
      </c>
      <c r="K802">
        <v>225</v>
      </c>
      <c r="L802">
        <v>235</v>
      </c>
      <c r="M802">
        <v>300</v>
      </c>
      <c r="N802">
        <v>220</v>
      </c>
      <c r="O802">
        <v>255</v>
      </c>
      <c r="P802">
        <v>800</v>
      </c>
    </row>
    <row r="803" spans="1:16" x14ac:dyDescent="0.25">
      <c r="B803" t="s">
        <v>587</v>
      </c>
      <c r="C803" t="s">
        <v>171</v>
      </c>
      <c r="D803" t="s">
        <v>496</v>
      </c>
      <c r="E803" t="s">
        <v>595</v>
      </c>
      <c r="F803" t="s">
        <v>587</v>
      </c>
      <c r="G803">
        <v>200</v>
      </c>
      <c r="I803">
        <v>10</v>
      </c>
      <c r="J803">
        <v>210</v>
      </c>
      <c r="K803">
        <v>255</v>
      </c>
      <c r="L803">
        <v>265</v>
      </c>
      <c r="M803">
        <v>350</v>
      </c>
      <c r="N803">
        <v>245</v>
      </c>
      <c r="O803">
        <v>285</v>
      </c>
      <c r="P803">
        <v>880</v>
      </c>
    </row>
    <row r="804" spans="1:16" x14ac:dyDescent="0.25">
      <c r="A804">
        <v>2025</v>
      </c>
      <c r="B804" t="s">
        <v>649</v>
      </c>
      <c r="C804" t="s">
        <v>162</v>
      </c>
      <c r="D804" t="s">
        <v>701</v>
      </c>
      <c r="E804" t="s">
        <v>647</v>
      </c>
      <c r="F804" t="s">
        <v>650</v>
      </c>
      <c r="G804">
        <v>840</v>
      </c>
      <c r="I804">
        <v>10</v>
      </c>
      <c r="J804">
        <v>850</v>
      </c>
      <c r="K804">
        <v>1015</v>
      </c>
      <c r="L804">
        <v>1065</v>
      </c>
      <c r="M804">
        <v>1250</v>
      </c>
      <c r="N804">
        <v>980</v>
      </c>
      <c r="O804">
        <v>1140</v>
      </c>
      <c r="P804">
        <v>3290</v>
      </c>
    </row>
    <row r="805" spans="1:16" x14ac:dyDescent="0.25">
      <c r="A805">
        <v>2025</v>
      </c>
      <c r="B805" t="s">
        <v>676</v>
      </c>
      <c r="C805" t="s">
        <v>162</v>
      </c>
      <c r="D805" t="s">
        <v>702</v>
      </c>
      <c r="E805" t="s">
        <v>673</v>
      </c>
      <c r="F805" t="s">
        <v>677</v>
      </c>
      <c r="G805">
        <v>765</v>
      </c>
      <c r="I805">
        <v>10</v>
      </c>
      <c r="J805">
        <v>775</v>
      </c>
      <c r="K805">
        <v>925</v>
      </c>
      <c r="L805">
        <v>970</v>
      </c>
      <c r="M805">
        <v>1225</v>
      </c>
      <c r="N805">
        <v>895</v>
      </c>
      <c r="O805">
        <v>1040</v>
      </c>
      <c r="P805">
        <v>3010</v>
      </c>
    </row>
    <row r="806" spans="1:16" x14ac:dyDescent="0.25">
      <c r="A806">
        <v>2025</v>
      </c>
      <c r="B806" t="s">
        <v>666</v>
      </c>
      <c r="C806" t="s">
        <v>162</v>
      </c>
      <c r="D806" t="s">
        <v>701</v>
      </c>
      <c r="E806" t="s">
        <v>647</v>
      </c>
      <c r="F806" t="s">
        <v>666</v>
      </c>
      <c r="G806">
        <v>750</v>
      </c>
      <c r="I806">
        <v>10</v>
      </c>
      <c r="J806">
        <v>760</v>
      </c>
      <c r="K806">
        <v>905</v>
      </c>
      <c r="L806">
        <v>950</v>
      </c>
      <c r="M806">
        <v>1120</v>
      </c>
      <c r="N806">
        <v>875</v>
      </c>
      <c r="O806">
        <v>1020</v>
      </c>
      <c r="P806">
        <v>2960</v>
      </c>
    </row>
    <row r="807" spans="1:16" x14ac:dyDescent="0.25">
      <c r="A807">
        <v>2025</v>
      </c>
      <c r="B807" t="s">
        <v>617</v>
      </c>
      <c r="C807" t="s">
        <v>162</v>
      </c>
      <c r="D807" t="s">
        <v>702</v>
      </c>
      <c r="E807" t="s">
        <v>328</v>
      </c>
      <c r="F807" t="s">
        <v>618</v>
      </c>
      <c r="G807">
        <v>4850</v>
      </c>
      <c r="I807">
        <v>10</v>
      </c>
      <c r="J807">
        <v>4860</v>
      </c>
      <c r="K807">
        <v>5775</v>
      </c>
      <c r="L807">
        <v>6075</v>
      </c>
      <c r="M807">
        <v>7700</v>
      </c>
      <c r="N807">
        <v>5590</v>
      </c>
      <c r="O807">
        <v>6505</v>
      </c>
      <c r="P807">
        <v>20700</v>
      </c>
    </row>
    <row r="808" spans="1:16" x14ac:dyDescent="0.25">
      <c r="A808">
        <v>2025</v>
      </c>
      <c r="B808" t="s">
        <v>619</v>
      </c>
      <c r="C808" t="s">
        <v>162</v>
      </c>
      <c r="D808" t="s">
        <v>702</v>
      </c>
      <c r="E808" t="s">
        <v>328</v>
      </c>
      <c r="F808" t="s">
        <v>620</v>
      </c>
      <c r="G808">
        <v>4200</v>
      </c>
      <c r="I808">
        <v>10</v>
      </c>
      <c r="J808">
        <v>4210</v>
      </c>
      <c r="K808">
        <v>5005</v>
      </c>
      <c r="L808">
        <v>5265</v>
      </c>
      <c r="M808">
        <v>6650</v>
      </c>
      <c r="N808">
        <v>4845</v>
      </c>
      <c r="O808">
        <v>5635</v>
      </c>
      <c r="P808">
        <v>17950</v>
      </c>
    </row>
    <row r="809" spans="1:16" x14ac:dyDescent="0.25">
      <c r="A809">
        <v>2025</v>
      </c>
      <c r="B809" t="s">
        <v>621</v>
      </c>
      <c r="C809" t="s">
        <v>162</v>
      </c>
      <c r="D809" t="s">
        <v>702</v>
      </c>
      <c r="E809" t="s">
        <v>328</v>
      </c>
      <c r="F809" t="s">
        <v>622</v>
      </c>
      <c r="G809">
        <v>3650</v>
      </c>
      <c r="I809">
        <v>10</v>
      </c>
      <c r="J809">
        <v>3660</v>
      </c>
      <c r="K809">
        <v>4350</v>
      </c>
      <c r="L809">
        <v>4575</v>
      </c>
      <c r="M809">
        <v>5800</v>
      </c>
      <c r="N809">
        <v>4210</v>
      </c>
      <c r="O809">
        <v>4900</v>
      </c>
      <c r="P809">
        <v>15620</v>
      </c>
    </row>
    <row r="810" spans="1:16" x14ac:dyDescent="0.25">
      <c r="A810">
        <v>2025</v>
      </c>
      <c r="B810" t="s">
        <v>630</v>
      </c>
      <c r="C810" t="s">
        <v>162</v>
      </c>
      <c r="D810" t="s">
        <v>702</v>
      </c>
      <c r="E810" t="s">
        <v>290</v>
      </c>
      <c r="F810" t="s">
        <v>631</v>
      </c>
      <c r="G810">
        <v>2395</v>
      </c>
      <c r="I810">
        <v>10</v>
      </c>
      <c r="J810">
        <v>2405</v>
      </c>
      <c r="K810">
        <v>2860</v>
      </c>
      <c r="L810">
        <v>3010</v>
      </c>
      <c r="M810">
        <v>3800</v>
      </c>
      <c r="N810">
        <v>2770</v>
      </c>
      <c r="O810">
        <v>3225</v>
      </c>
      <c r="P810">
        <v>10290</v>
      </c>
    </row>
    <row r="811" spans="1:16" x14ac:dyDescent="0.25">
      <c r="A811">
        <v>2025</v>
      </c>
      <c r="B811" t="s">
        <v>652</v>
      </c>
      <c r="C811" t="s">
        <v>162</v>
      </c>
      <c r="D811" t="s">
        <v>701</v>
      </c>
      <c r="E811" t="s">
        <v>647</v>
      </c>
      <c r="F811" t="s">
        <v>651</v>
      </c>
      <c r="G811">
        <v>810</v>
      </c>
      <c r="I811">
        <v>10</v>
      </c>
      <c r="J811">
        <v>820</v>
      </c>
      <c r="K811">
        <v>975</v>
      </c>
      <c r="L811">
        <v>1025</v>
      </c>
      <c r="M811">
        <v>1210</v>
      </c>
      <c r="N811">
        <v>945</v>
      </c>
      <c r="O811">
        <v>1100</v>
      </c>
      <c r="P811">
        <v>3180</v>
      </c>
    </row>
    <row r="812" spans="1:16" x14ac:dyDescent="0.25">
      <c r="A812">
        <v>2026</v>
      </c>
      <c r="B812" t="s">
        <v>942</v>
      </c>
      <c r="C812" t="s">
        <v>162</v>
      </c>
      <c r="D812" t="s">
        <v>702</v>
      </c>
      <c r="E812" t="s">
        <v>136</v>
      </c>
      <c r="F812" t="s">
        <v>944</v>
      </c>
      <c r="G812">
        <v>1250</v>
      </c>
      <c r="I812">
        <v>25</v>
      </c>
      <c r="J812">
        <v>1275</v>
      </c>
      <c r="K812">
        <v>1520</v>
      </c>
      <c r="L812">
        <v>1595</v>
      </c>
      <c r="M812">
        <v>2025</v>
      </c>
      <c r="N812">
        <v>1470</v>
      </c>
      <c r="O812">
        <v>1710</v>
      </c>
      <c r="P812">
        <v>4840</v>
      </c>
    </row>
    <row r="813" spans="1:16" x14ac:dyDescent="0.25">
      <c r="B813" t="s">
        <v>164</v>
      </c>
      <c r="C813" t="s">
        <v>162</v>
      </c>
      <c r="D813" t="s">
        <v>702</v>
      </c>
      <c r="E813" t="s">
        <v>79</v>
      </c>
      <c r="F813" t="s">
        <v>163</v>
      </c>
      <c r="G813">
        <v>800</v>
      </c>
      <c r="I813">
        <v>10</v>
      </c>
      <c r="J813">
        <v>810</v>
      </c>
      <c r="K813">
        <v>965</v>
      </c>
      <c r="L813">
        <v>1015</v>
      </c>
      <c r="M813">
        <v>1300</v>
      </c>
      <c r="N813">
        <v>935</v>
      </c>
      <c r="O813">
        <v>1090</v>
      </c>
      <c r="P813">
        <v>3140</v>
      </c>
    </row>
    <row r="814" spans="1:16" x14ac:dyDescent="0.25">
      <c r="A814">
        <v>2025</v>
      </c>
      <c r="B814" t="s">
        <v>646</v>
      </c>
      <c r="C814" t="s">
        <v>162</v>
      </c>
      <c r="D814" t="s">
        <v>701</v>
      </c>
      <c r="E814" t="s">
        <v>647</v>
      </c>
      <c r="F814" t="s">
        <v>648</v>
      </c>
      <c r="G814">
        <v>820</v>
      </c>
      <c r="I814">
        <v>10</v>
      </c>
      <c r="J814">
        <v>830</v>
      </c>
      <c r="K814">
        <v>990</v>
      </c>
      <c r="L814">
        <v>1040</v>
      </c>
      <c r="M814">
        <v>1225</v>
      </c>
      <c r="N814">
        <v>960</v>
      </c>
      <c r="O814">
        <v>1115</v>
      </c>
      <c r="P814">
        <v>3220</v>
      </c>
    </row>
    <row r="815" spans="1:16" x14ac:dyDescent="0.25">
      <c r="A815">
        <v>2025</v>
      </c>
      <c r="B815" t="s">
        <v>654</v>
      </c>
      <c r="C815" t="s">
        <v>162</v>
      </c>
      <c r="D815" t="s">
        <v>701</v>
      </c>
      <c r="E815" t="s">
        <v>647</v>
      </c>
      <c r="F815" t="s">
        <v>654</v>
      </c>
      <c r="G815">
        <v>760</v>
      </c>
      <c r="I815">
        <v>10</v>
      </c>
      <c r="J815">
        <v>770</v>
      </c>
      <c r="K815">
        <v>920</v>
      </c>
      <c r="L815">
        <v>965</v>
      </c>
      <c r="M815">
        <v>1135</v>
      </c>
      <c r="N815">
        <v>890</v>
      </c>
      <c r="O815">
        <v>1035</v>
      </c>
      <c r="P815">
        <v>2990</v>
      </c>
    </row>
    <row r="816" spans="1:16" x14ac:dyDescent="0.25">
      <c r="A816">
        <v>2026</v>
      </c>
      <c r="B816" t="s">
        <v>943</v>
      </c>
      <c r="C816" t="s">
        <v>162</v>
      </c>
      <c r="D816" t="s">
        <v>702</v>
      </c>
      <c r="E816" t="s">
        <v>136</v>
      </c>
      <c r="F816" t="s">
        <v>941</v>
      </c>
      <c r="G816">
        <v>1550</v>
      </c>
      <c r="I816">
        <v>25</v>
      </c>
      <c r="J816">
        <v>1575</v>
      </c>
      <c r="K816">
        <v>1875</v>
      </c>
      <c r="L816">
        <v>1970</v>
      </c>
      <c r="M816">
        <v>2500</v>
      </c>
      <c r="N816">
        <v>1815</v>
      </c>
      <c r="O816">
        <v>2110</v>
      </c>
      <c r="P816">
        <v>6710</v>
      </c>
    </row>
    <row r="817" spans="1:16" x14ac:dyDescent="0.25">
      <c r="A817">
        <v>2025</v>
      </c>
      <c r="B817" t="s">
        <v>669</v>
      </c>
      <c r="C817" t="s">
        <v>162</v>
      </c>
      <c r="D817" t="s">
        <v>701</v>
      </c>
      <c r="E817" t="s">
        <v>647</v>
      </c>
      <c r="F817" t="s">
        <v>670</v>
      </c>
      <c r="G817">
        <v>850</v>
      </c>
      <c r="I817">
        <v>10</v>
      </c>
      <c r="J817">
        <v>860</v>
      </c>
      <c r="K817">
        <v>1025</v>
      </c>
      <c r="L817">
        <v>1075</v>
      </c>
      <c r="M817">
        <v>1265</v>
      </c>
      <c r="N817">
        <v>990</v>
      </c>
      <c r="O817">
        <v>1155</v>
      </c>
      <c r="P817">
        <v>3330</v>
      </c>
    </row>
    <row r="818" spans="1:16" x14ac:dyDescent="0.25">
      <c r="B818" t="s">
        <v>298</v>
      </c>
      <c r="C818" t="s">
        <v>162</v>
      </c>
      <c r="D818" t="s">
        <v>701</v>
      </c>
      <c r="E818" t="s">
        <v>297</v>
      </c>
      <c r="F818">
        <v>610</v>
      </c>
      <c r="G818">
        <v>540</v>
      </c>
      <c r="I818">
        <v>10</v>
      </c>
      <c r="J818">
        <v>550</v>
      </c>
      <c r="K818">
        <v>660</v>
      </c>
      <c r="L818">
        <v>690</v>
      </c>
      <c r="M818">
        <v>810</v>
      </c>
      <c r="N818">
        <v>635</v>
      </c>
      <c r="O818">
        <v>740</v>
      </c>
      <c r="P818">
        <v>2160</v>
      </c>
    </row>
    <row r="819" spans="1:16" x14ac:dyDescent="0.25">
      <c r="B819" t="s">
        <v>299</v>
      </c>
      <c r="C819" t="s">
        <v>162</v>
      </c>
      <c r="D819" t="s">
        <v>701</v>
      </c>
      <c r="E819" t="s">
        <v>297</v>
      </c>
      <c r="F819">
        <v>611</v>
      </c>
      <c r="G819">
        <v>540</v>
      </c>
      <c r="I819">
        <v>10</v>
      </c>
      <c r="J819">
        <v>550</v>
      </c>
      <c r="K819">
        <v>660</v>
      </c>
      <c r="L819">
        <v>690</v>
      </c>
      <c r="M819">
        <v>810</v>
      </c>
      <c r="N819">
        <v>635</v>
      </c>
      <c r="O819">
        <v>740</v>
      </c>
      <c r="P819">
        <v>2160</v>
      </c>
    </row>
    <row r="820" spans="1:16" x14ac:dyDescent="0.25">
      <c r="B820" t="s">
        <v>300</v>
      </c>
      <c r="C820" t="s">
        <v>162</v>
      </c>
      <c r="D820" t="s">
        <v>701</v>
      </c>
      <c r="E820" t="s">
        <v>297</v>
      </c>
      <c r="F820">
        <v>612</v>
      </c>
      <c r="G820">
        <v>540</v>
      </c>
      <c r="I820">
        <v>10</v>
      </c>
      <c r="J820">
        <v>550</v>
      </c>
      <c r="K820">
        <v>660</v>
      </c>
      <c r="L820">
        <v>690</v>
      </c>
      <c r="M820">
        <v>810</v>
      </c>
      <c r="N820">
        <v>635</v>
      </c>
      <c r="O820">
        <v>740</v>
      </c>
      <c r="P820">
        <v>2160</v>
      </c>
    </row>
    <row r="821" spans="1:16" x14ac:dyDescent="0.25">
      <c r="B821" t="s">
        <v>301</v>
      </c>
      <c r="C821" t="s">
        <v>162</v>
      </c>
      <c r="D821" t="s">
        <v>701</v>
      </c>
      <c r="E821" t="s">
        <v>297</v>
      </c>
      <c r="F821">
        <v>613</v>
      </c>
      <c r="G821">
        <v>540</v>
      </c>
      <c r="I821">
        <v>10</v>
      </c>
      <c r="J821">
        <v>550</v>
      </c>
      <c r="K821">
        <v>660</v>
      </c>
      <c r="L821">
        <v>690</v>
      </c>
      <c r="M821">
        <v>810</v>
      </c>
      <c r="N821">
        <v>635</v>
      </c>
      <c r="O821">
        <v>740</v>
      </c>
      <c r="P821">
        <v>2160</v>
      </c>
    </row>
    <row r="822" spans="1:16" x14ac:dyDescent="0.25">
      <c r="B822" t="s">
        <v>302</v>
      </c>
      <c r="C822" t="s">
        <v>162</v>
      </c>
      <c r="D822" t="s">
        <v>701</v>
      </c>
      <c r="E822" t="s">
        <v>297</v>
      </c>
      <c r="F822">
        <v>614</v>
      </c>
      <c r="G822">
        <v>540</v>
      </c>
      <c r="I822">
        <v>10</v>
      </c>
      <c r="J822">
        <v>550</v>
      </c>
      <c r="K822">
        <v>660</v>
      </c>
      <c r="L822">
        <v>690</v>
      </c>
      <c r="M822">
        <v>810</v>
      </c>
      <c r="N822">
        <v>635</v>
      </c>
      <c r="O822">
        <v>740</v>
      </c>
      <c r="P822">
        <v>2160</v>
      </c>
    </row>
    <row r="823" spans="1:16" x14ac:dyDescent="0.25">
      <c r="B823" t="s">
        <v>306</v>
      </c>
      <c r="C823" t="s">
        <v>162</v>
      </c>
      <c r="D823" t="s">
        <v>701</v>
      </c>
      <c r="E823" t="s">
        <v>297</v>
      </c>
      <c r="F823">
        <v>832</v>
      </c>
      <c r="G823">
        <v>800</v>
      </c>
      <c r="I823">
        <v>10</v>
      </c>
      <c r="J823">
        <v>810</v>
      </c>
      <c r="K823">
        <v>965</v>
      </c>
      <c r="L823">
        <v>1015</v>
      </c>
      <c r="M823">
        <v>1195</v>
      </c>
      <c r="N823">
        <v>935</v>
      </c>
      <c r="O823">
        <v>1090</v>
      </c>
      <c r="P823">
        <v>3140</v>
      </c>
    </row>
    <row r="824" spans="1:16" x14ac:dyDescent="0.25">
      <c r="B824" t="s">
        <v>307</v>
      </c>
      <c r="C824" t="s">
        <v>162</v>
      </c>
      <c r="D824" t="s">
        <v>701</v>
      </c>
      <c r="E824" t="s">
        <v>297</v>
      </c>
      <c r="F824">
        <v>833</v>
      </c>
      <c r="G824">
        <v>800</v>
      </c>
      <c r="I824">
        <v>10</v>
      </c>
      <c r="J824">
        <v>810</v>
      </c>
      <c r="K824">
        <v>965</v>
      </c>
      <c r="L824">
        <v>1015</v>
      </c>
      <c r="M824">
        <v>1195</v>
      </c>
      <c r="N824">
        <v>935</v>
      </c>
      <c r="O824">
        <v>1090</v>
      </c>
      <c r="P824">
        <v>3140</v>
      </c>
    </row>
    <row r="825" spans="1:16" x14ac:dyDescent="0.25">
      <c r="B825" t="s">
        <v>308</v>
      </c>
      <c r="C825" t="s">
        <v>162</v>
      </c>
      <c r="D825" t="s">
        <v>701</v>
      </c>
      <c r="E825" t="s">
        <v>297</v>
      </c>
      <c r="F825">
        <v>834</v>
      </c>
      <c r="G825">
        <v>800</v>
      </c>
      <c r="I825">
        <v>10</v>
      </c>
      <c r="J825">
        <v>810</v>
      </c>
      <c r="K825">
        <v>965</v>
      </c>
      <c r="L825">
        <v>1015</v>
      </c>
      <c r="M825">
        <v>1195</v>
      </c>
      <c r="N825">
        <v>935</v>
      </c>
      <c r="O825">
        <v>1090</v>
      </c>
      <c r="P825">
        <v>3140</v>
      </c>
    </row>
    <row r="826" spans="1:16" x14ac:dyDescent="0.25">
      <c r="B826" t="s">
        <v>309</v>
      </c>
      <c r="C826" t="s">
        <v>162</v>
      </c>
      <c r="D826" t="s">
        <v>701</v>
      </c>
      <c r="E826" t="s">
        <v>297</v>
      </c>
      <c r="F826">
        <v>836</v>
      </c>
      <c r="G826">
        <v>800</v>
      </c>
      <c r="I826">
        <v>10</v>
      </c>
      <c r="J826">
        <v>810</v>
      </c>
      <c r="K826">
        <v>965</v>
      </c>
      <c r="L826">
        <v>1015</v>
      </c>
      <c r="M826">
        <v>1195</v>
      </c>
      <c r="N826">
        <v>935</v>
      </c>
      <c r="O826">
        <v>1090</v>
      </c>
      <c r="P826">
        <v>3140</v>
      </c>
    </row>
    <row r="827" spans="1:16" x14ac:dyDescent="0.25">
      <c r="B827" t="s">
        <v>310</v>
      </c>
      <c r="C827" t="s">
        <v>162</v>
      </c>
      <c r="D827" t="s">
        <v>701</v>
      </c>
      <c r="E827" t="s">
        <v>297</v>
      </c>
      <c r="F827">
        <v>837</v>
      </c>
      <c r="G827">
        <v>800</v>
      </c>
      <c r="I827">
        <v>10</v>
      </c>
      <c r="J827">
        <v>810</v>
      </c>
      <c r="K827">
        <v>965</v>
      </c>
      <c r="L827">
        <v>1015</v>
      </c>
      <c r="M827">
        <v>1195</v>
      </c>
      <c r="N827">
        <v>935</v>
      </c>
      <c r="O827">
        <v>1090</v>
      </c>
      <c r="P827">
        <v>3140</v>
      </c>
    </row>
    <row r="828" spans="1:16" x14ac:dyDescent="0.25">
      <c r="B828" t="s">
        <v>303</v>
      </c>
      <c r="C828" t="s">
        <v>162</v>
      </c>
      <c r="D828" t="s">
        <v>701</v>
      </c>
      <c r="E828" t="s">
        <v>297</v>
      </c>
      <c r="F828">
        <v>839</v>
      </c>
      <c r="G828">
        <v>800</v>
      </c>
      <c r="I828">
        <v>10</v>
      </c>
      <c r="J828">
        <v>810</v>
      </c>
      <c r="K828">
        <v>965</v>
      </c>
      <c r="L828">
        <v>1015</v>
      </c>
      <c r="M828">
        <v>1195</v>
      </c>
      <c r="N828">
        <v>935</v>
      </c>
      <c r="O828">
        <v>1090</v>
      </c>
      <c r="P828">
        <v>3140</v>
      </c>
    </row>
    <row r="829" spans="1:16" x14ac:dyDescent="0.25">
      <c r="B829" t="s">
        <v>311</v>
      </c>
      <c r="C829" t="s">
        <v>162</v>
      </c>
      <c r="D829" t="s">
        <v>701</v>
      </c>
      <c r="E829" t="s">
        <v>297</v>
      </c>
      <c r="F829">
        <v>845</v>
      </c>
      <c r="G829">
        <v>800</v>
      </c>
      <c r="I829">
        <v>10</v>
      </c>
      <c r="J829">
        <v>810</v>
      </c>
      <c r="K829">
        <v>965</v>
      </c>
      <c r="L829">
        <v>1015</v>
      </c>
      <c r="M829">
        <v>1195</v>
      </c>
      <c r="N829">
        <v>935</v>
      </c>
      <c r="O829">
        <v>1090</v>
      </c>
      <c r="P829">
        <v>3140</v>
      </c>
    </row>
    <row r="830" spans="1:16" x14ac:dyDescent="0.25">
      <c r="B830" t="s">
        <v>304</v>
      </c>
      <c r="C830" t="s">
        <v>162</v>
      </c>
      <c r="D830" t="s">
        <v>701</v>
      </c>
      <c r="E830" t="s">
        <v>297</v>
      </c>
      <c r="F830">
        <v>846</v>
      </c>
      <c r="G830">
        <v>800</v>
      </c>
      <c r="I830">
        <v>10</v>
      </c>
      <c r="J830">
        <v>810</v>
      </c>
      <c r="K830">
        <v>965</v>
      </c>
      <c r="L830">
        <v>1015</v>
      </c>
      <c r="M830">
        <v>1195</v>
      </c>
      <c r="N830">
        <v>935</v>
      </c>
      <c r="O830">
        <v>1090</v>
      </c>
      <c r="P830">
        <v>3140</v>
      </c>
    </row>
    <row r="831" spans="1:16" x14ac:dyDescent="0.25">
      <c r="B831" t="s">
        <v>305</v>
      </c>
      <c r="C831" t="s">
        <v>162</v>
      </c>
      <c r="D831" t="s">
        <v>701</v>
      </c>
      <c r="E831" t="s">
        <v>297</v>
      </c>
      <c r="F831">
        <v>849</v>
      </c>
      <c r="G831">
        <v>800</v>
      </c>
      <c r="I831">
        <v>10</v>
      </c>
      <c r="J831">
        <v>810</v>
      </c>
      <c r="K831">
        <v>965</v>
      </c>
      <c r="L831">
        <v>1015</v>
      </c>
      <c r="M831">
        <v>1195</v>
      </c>
      <c r="N831">
        <v>935</v>
      </c>
      <c r="O831">
        <v>1090</v>
      </c>
      <c r="P831">
        <v>3140</v>
      </c>
    </row>
    <row r="832" spans="1:16" x14ac:dyDescent="0.25">
      <c r="A832">
        <v>2025</v>
      </c>
      <c r="B832" t="s">
        <v>688</v>
      </c>
      <c r="C832" t="s">
        <v>162</v>
      </c>
      <c r="D832" t="s">
        <v>702</v>
      </c>
      <c r="E832" t="s">
        <v>689</v>
      </c>
      <c r="F832" t="s">
        <v>690</v>
      </c>
      <c r="G832">
        <v>860</v>
      </c>
      <c r="I832">
        <v>100</v>
      </c>
      <c r="J832">
        <v>960</v>
      </c>
      <c r="K832">
        <v>1140</v>
      </c>
      <c r="L832">
        <v>1200</v>
      </c>
      <c r="M832">
        <v>1525</v>
      </c>
      <c r="N832">
        <v>1105</v>
      </c>
      <c r="O832">
        <v>1285</v>
      </c>
      <c r="P832">
        <v>3370</v>
      </c>
    </row>
    <row r="833" spans="1:16" x14ac:dyDescent="0.25">
      <c r="B833" t="s">
        <v>333</v>
      </c>
      <c r="C833" t="s">
        <v>162</v>
      </c>
      <c r="D833" t="s">
        <v>702</v>
      </c>
      <c r="E833" t="s">
        <v>331</v>
      </c>
      <c r="F833" t="s">
        <v>332</v>
      </c>
      <c r="G833">
        <v>3250</v>
      </c>
      <c r="I833">
        <v>50</v>
      </c>
      <c r="J833">
        <v>3300</v>
      </c>
      <c r="K833">
        <v>3920</v>
      </c>
      <c r="L833">
        <v>4125</v>
      </c>
      <c r="M833">
        <v>5200</v>
      </c>
      <c r="N833">
        <v>3795</v>
      </c>
      <c r="O833">
        <v>4415</v>
      </c>
      <c r="P833">
        <v>13920</v>
      </c>
    </row>
    <row r="834" spans="1:16" x14ac:dyDescent="0.25">
      <c r="B834" t="s">
        <v>324</v>
      </c>
      <c r="C834" t="s">
        <v>162</v>
      </c>
      <c r="D834" t="s">
        <v>702</v>
      </c>
      <c r="E834" t="s">
        <v>328</v>
      </c>
      <c r="F834" t="s">
        <v>325</v>
      </c>
      <c r="G834">
        <v>4650</v>
      </c>
      <c r="I834">
        <v>50</v>
      </c>
      <c r="J834">
        <v>4700</v>
      </c>
      <c r="K834">
        <v>5585</v>
      </c>
      <c r="L834">
        <v>5875</v>
      </c>
      <c r="M834">
        <v>7450</v>
      </c>
      <c r="N834">
        <v>5405</v>
      </c>
      <c r="O834">
        <v>6290</v>
      </c>
      <c r="P834">
        <v>19860</v>
      </c>
    </row>
    <row r="835" spans="1:16" x14ac:dyDescent="0.25">
      <c r="A835">
        <v>2025</v>
      </c>
      <c r="B835" t="s">
        <v>671</v>
      </c>
      <c r="C835" t="s">
        <v>162</v>
      </c>
      <c r="D835" t="s">
        <v>701</v>
      </c>
      <c r="E835" t="s">
        <v>647</v>
      </c>
      <c r="F835" t="s">
        <v>672</v>
      </c>
      <c r="G835">
        <v>675</v>
      </c>
      <c r="I835">
        <v>10</v>
      </c>
      <c r="J835">
        <v>685</v>
      </c>
      <c r="K835">
        <v>820</v>
      </c>
      <c r="L835">
        <v>860</v>
      </c>
      <c r="M835">
        <v>1010</v>
      </c>
      <c r="N835">
        <v>795</v>
      </c>
      <c r="O835">
        <v>925</v>
      </c>
      <c r="P835">
        <v>2670</v>
      </c>
    </row>
    <row r="836" spans="1:16" x14ac:dyDescent="0.25">
      <c r="A836">
        <v>2025</v>
      </c>
      <c r="B836" t="s">
        <v>665</v>
      </c>
      <c r="C836" t="s">
        <v>162</v>
      </c>
      <c r="D836" t="s">
        <v>701</v>
      </c>
      <c r="E836" t="s">
        <v>647</v>
      </c>
      <c r="F836" t="s">
        <v>665</v>
      </c>
      <c r="G836">
        <v>750</v>
      </c>
      <c r="I836">
        <v>10</v>
      </c>
      <c r="J836">
        <v>760</v>
      </c>
      <c r="K836">
        <v>905</v>
      </c>
      <c r="L836">
        <v>950</v>
      </c>
      <c r="M836">
        <v>1120</v>
      </c>
      <c r="N836">
        <v>875</v>
      </c>
      <c r="O836">
        <v>1020</v>
      </c>
      <c r="P836">
        <v>2960</v>
      </c>
    </row>
    <row r="837" spans="1:16" x14ac:dyDescent="0.25">
      <c r="B837" t="s">
        <v>322</v>
      </c>
      <c r="C837" t="s">
        <v>162</v>
      </c>
      <c r="D837" t="s">
        <v>702</v>
      </c>
      <c r="E837" t="s">
        <v>79</v>
      </c>
      <c r="F837" t="s">
        <v>78</v>
      </c>
      <c r="G837">
        <v>820</v>
      </c>
      <c r="I837">
        <v>10</v>
      </c>
      <c r="J837">
        <v>830</v>
      </c>
      <c r="K837">
        <v>990</v>
      </c>
      <c r="L837">
        <v>1040</v>
      </c>
      <c r="M837">
        <v>1325</v>
      </c>
      <c r="N837">
        <v>960</v>
      </c>
      <c r="O837">
        <v>1115</v>
      </c>
      <c r="P837">
        <v>3220</v>
      </c>
    </row>
    <row r="838" spans="1:16" x14ac:dyDescent="0.25">
      <c r="A838">
        <v>2025</v>
      </c>
      <c r="B838" t="s">
        <v>653</v>
      </c>
      <c r="C838" t="s">
        <v>162</v>
      </c>
      <c r="D838" t="s">
        <v>701</v>
      </c>
      <c r="E838" t="s">
        <v>647</v>
      </c>
      <c r="F838" t="s">
        <v>653</v>
      </c>
      <c r="G838">
        <v>840</v>
      </c>
      <c r="I838">
        <v>10</v>
      </c>
      <c r="J838">
        <v>850</v>
      </c>
      <c r="K838">
        <v>1015</v>
      </c>
      <c r="L838">
        <v>1065</v>
      </c>
      <c r="M838">
        <v>1250</v>
      </c>
      <c r="N838">
        <v>980</v>
      </c>
      <c r="O838">
        <v>1140</v>
      </c>
      <c r="P838">
        <v>3290</v>
      </c>
    </row>
    <row r="839" spans="1:16" x14ac:dyDescent="0.25">
      <c r="A839">
        <v>2025</v>
      </c>
      <c r="B839" t="s">
        <v>667</v>
      </c>
      <c r="C839" t="s">
        <v>162</v>
      </c>
      <c r="D839" t="s">
        <v>701</v>
      </c>
      <c r="E839" t="s">
        <v>647</v>
      </c>
      <c r="F839" t="s">
        <v>667</v>
      </c>
      <c r="G839">
        <v>750</v>
      </c>
      <c r="I839">
        <v>10</v>
      </c>
      <c r="J839">
        <v>760</v>
      </c>
      <c r="K839">
        <v>905</v>
      </c>
      <c r="L839">
        <v>950</v>
      </c>
      <c r="M839">
        <v>1120</v>
      </c>
      <c r="N839">
        <v>875</v>
      </c>
      <c r="O839">
        <v>1020</v>
      </c>
      <c r="P839">
        <v>2960</v>
      </c>
    </row>
    <row r="840" spans="1:16" x14ac:dyDescent="0.25">
      <c r="A840">
        <v>2025</v>
      </c>
      <c r="B840" t="s">
        <v>678</v>
      </c>
      <c r="C840" t="s">
        <v>162</v>
      </c>
      <c r="D840" t="s">
        <v>702</v>
      </c>
      <c r="E840" t="s">
        <v>673</v>
      </c>
      <c r="F840" t="s">
        <v>679</v>
      </c>
      <c r="G840">
        <v>895</v>
      </c>
      <c r="I840">
        <v>10</v>
      </c>
      <c r="J840">
        <v>905</v>
      </c>
      <c r="K840">
        <v>1080</v>
      </c>
      <c r="L840">
        <v>1135</v>
      </c>
      <c r="M840">
        <v>1450</v>
      </c>
      <c r="N840">
        <v>1045</v>
      </c>
      <c r="O840">
        <v>1215</v>
      </c>
      <c r="P840">
        <v>3500</v>
      </c>
    </row>
    <row r="841" spans="1:16" x14ac:dyDescent="0.25">
      <c r="A841">
        <v>2025</v>
      </c>
      <c r="B841" t="s">
        <v>674</v>
      </c>
      <c r="C841" t="s">
        <v>162</v>
      </c>
      <c r="D841" t="s">
        <v>702</v>
      </c>
      <c r="E841" t="s">
        <v>673</v>
      </c>
      <c r="F841" t="s">
        <v>675</v>
      </c>
      <c r="G841">
        <v>645</v>
      </c>
      <c r="I841">
        <v>10</v>
      </c>
      <c r="J841">
        <v>655</v>
      </c>
      <c r="K841">
        <v>780</v>
      </c>
      <c r="L841">
        <v>820</v>
      </c>
      <c r="M841">
        <v>1050</v>
      </c>
      <c r="N841">
        <v>755</v>
      </c>
      <c r="O841">
        <v>880</v>
      </c>
      <c r="P841">
        <v>2560</v>
      </c>
    </row>
    <row r="842" spans="1:16" x14ac:dyDescent="0.25">
      <c r="B842" t="s">
        <v>334</v>
      </c>
      <c r="C842" t="s">
        <v>162</v>
      </c>
      <c r="D842" t="s">
        <v>701</v>
      </c>
      <c r="E842" t="s">
        <v>331</v>
      </c>
      <c r="F842" t="s">
        <v>335</v>
      </c>
      <c r="G842">
        <v>440</v>
      </c>
      <c r="I842">
        <v>10</v>
      </c>
      <c r="J842">
        <v>450</v>
      </c>
      <c r="K842">
        <v>540</v>
      </c>
      <c r="L842">
        <v>565</v>
      </c>
      <c r="M842">
        <v>665</v>
      </c>
      <c r="N842">
        <v>520</v>
      </c>
      <c r="O842">
        <v>605</v>
      </c>
      <c r="P842">
        <v>1790</v>
      </c>
    </row>
    <row r="843" spans="1:16" x14ac:dyDescent="0.25">
      <c r="B843" t="s">
        <v>320</v>
      </c>
      <c r="C843" t="s">
        <v>162</v>
      </c>
      <c r="D843" t="s">
        <v>702</v>
      </c>
      <c r="E843" t="s">
        <v>79</v>
      </c>
      <c r="F843" t="s">
        <v>320</v>
      </c>
      <c r="G843">
        <v>950</v>
      </c>
      <c r="I843">
        <v>10</v>
      </c>
      <c r="J843">
        <v>960</v>
      </c>
      <c r="K843">
        <v>1140</v>
      </c>
      <c r="L843">
        <v>1200</v>
      </c>
      <c r="M843">
        <v>1525</v>
      </c>
      <c r="N843">
        <v>1105</v>
      </c>
      <c r="O843">
        <v>1285</v>
      </c>
      <c r="P843">
        <v>3710</v>
      </c>
    </row>
    <row r="844" spans="1:16" x14ac:dyDescent="0.25">
      <c r="B844" t="s">
        <v>340</v>
      </c>
      <c r="C844" t="s">
        <v>162</v>
      </c>
      <c r="D844" t="s">
        <v>701</v>
      </c>
      <c r="E844" t="s">
        <v>331</v>
      </c>
      <c r="F844" t="s">
        <v>340</v>
      </c>
      <c r="G844">
        <v>820</v>
      </c>
      <c r="I844">
        <v>10</v>
      </c>
      <c r="J844">
        <v>830</v>
      </c>
      <c r="K844">
        <v>990</v>
      </c>
      <c r="L844">
        <v>1040</v>
      </c>
      <c r="M844">
        <v>1225</v>
      </c>
      <c r="N844">
        <v>960</v>
      </c>
      <c r="O844">
        <v>1115</v>
      </c>
      <c r="P844">
        <v>3220</v>
      </c>
    </row>
    <row r="845" spans="1:16" x14ac:dyDescent="0.25">
      <c r="B845" t="s">
        <v>336</v>
      </c>
      <c r="C845" t="s">
        <v>162</v>
      </c>
      <c r="D845" t="s">
        <v>701</v>
      </c>
      <c r="E845" t="s">
        <v>331</v>
      </c>
      <c r="F845" t="s">
        <v>337</v>
      </c>
      <c r="G845">
        <v>600</v>
      </c>
      <c r="I845">
        <v>10</v>
      </c>
      <c r="J845">
        <v>610</v>
      </c>
      <c r="K845">
        <v>730</v>
      </c>
      <c r="L845">
        <v>765</v>
      </c>
      <c r="M845">
        <v>900</v>
      </c>
      <c r="N845">
        <v>705</v>
      </c>
      <c r="O845">
        <v>820</v>
      </c>
      <c r="P845">
        <v>2390</v>
      </c>
    </row>
    <row r="846" spans="1:16" x14ac:dyDescent="0.25">
      <c r="B846" t="s">
        <v>166</v>
      </c>
      <c r="C846" t="s">
        <v>162</v>
      </c>
      <c r="D846" t="s">
        <v>702</v>
      </c>
      <c r="E846" t="s">
        <v>79</v>
      </c>
      <c r="F846" t="s">
        <v>163</v>
      </c>
      <c r="G846">
        <v>700</v>
      </c>
      <c r="I846">
        <v>10</v>
      </c>
      <c r="J846">
        <v>710</v>
      </c>
      <c r="K846">
        <v>850</v>
      </c>
      <c r="L846">
        <v>890</v>
      </c>
      <c r="M846">
        <v>1125</v>
      </c>
      <c r="N846">
        <v>820</v>
      </c>
      <c r="O846">
        <v>955</v>
      </c>
      <c r="P846">
        <v>2770</v>
      </c>
    </row>
    <row r="847" spans="1:16" x14ac:dyDescent="0.25">
      <c r="B847" t="s">
        <v>165</v>
      </c>
      <c r="C847" t="s">
        <v>162</v>
      </c>
      <c r="D847" t="s">
        <v>702</v>
      </c>
      <c r="E847" t="s">
        <v>79</v>
      </c>
      <c r="F847" t="s">
        <v>321</v>
      </c>
      <c r="G847">
        <v>750</v>
      </c>
      <c r="I847">
        <v>25</v>
      </c>
      <c r="J847">
        <v>775</v>
      </c>
      <c r="K847">
        <v>925</v>
      </c>
      <c r="L847">
        <v>970</v>
      </c>
      <c r="M847">
        <v>1225</v>
      </c>
      <c r="N847">
        <v>895</v>
      </c>
      <c r="O847">
        <v>1040</v>
      </c>
      <c r="P847">
        <v>2960</v>
      </c>
    </row>
    <row r="848" spans="1:16" x14ac:dyDescent="0.25">
      <c r="B848" t="s">
        <v>341</v>
      </c>
      <c r="C848" t="s">
        <v>162</v>
      </c>
      <c r="D848" t="s">
        <v>702</v>
      </c>
      <c r="E848" t="s">
        <v>79</v>
      </c>
      <c r="F848" t="s">
        <v>163</v>
      </c>
      <c r="G848">
        <v>750</v>
      </c>
      <c r="I848">
        <v>10</v>
      </c>
      <c r="J848">
        <v>760</v>
      </c>
      <c r="K848">
        <v>905</v>
      </c>
      <c r="L848">
        <v>950</v>
      </c>
      <c r="M848">
        <v>1200</v>
      </c>
      <c r="N848">
        <v>875</v>
      </c>
      <c r="O848">
        <v>1020</v>
      </c>
      <c r="P848">
        <v>2960</v>
      </c>
    </row>
    <row r="849" spans="1:16" x14ac:dyDescent="0.25">
      <c r="B849" t="s">
        <v>339</v>
      </c>
      <c r="C849" t="s">
        <v>162</v>
      </c>
      <c r="D849" t="s">
        <v>701</v>
      </c>
      <c r="E849" t="s">
        <v>331</v>
      </c>
      <c r="F849" t="s">
        <v>339</v>
      </c>
      <c r="G849">
        <v>535</v>
      </c>
      <c r="I849">
        <v>10</v>
      </c>
      <c r="J849">
        <v>545</v>
      </c>
      <c r="K849">
        <v>655</v>
      </c>
      <c r="L849">
        <v>685</v>
      </c>
      <c r="M849">
        <v>805</v>
      </c>
      <c r="N849">
        <v>635</v>
      </c>
      <c r="O849">
        <v>735</v>
      </c>
      <c r="P849">
        <v>2140</v>
      </c>
    </row>
    <row r="850" spans="1:16" x14ac:dyDescent="0.25">
      <c r="B850" t="s">
        <v>338</v>
      </c>
      <c r="C850" t="s">
        <v>162</v>
      </c>
      <c r="D850" t="s">
        <v>701</v>
      </c>
      <c r="E850" t="s">
        <v>331</v>
      </c>
      <c r="F850" t="s">
        <v>338</v>
      </c>
      <c r="G850">
        <v>650</v>
      </c>
      <c r="I850">
        <v>10</v>
      </c>
      <c r="J850">
        <v>660</v>
      </c>
      <c r="K850">
        <v>785</v>
      </c>
      <c r="L850">
        <v>825</v>
      </c>
      <c r="M850">
        <v>975</v>
      </c>
      <c r="N850">
        <v>760</v>
      </c>
      <c r="O850">
        <v>885</v>
      </c>
      <c r="P850">
        <v>2580</v>
      </c>
    </row>
    <row r="851" spans="1:16" x14ac:dyDescent="0.25">
      <c r="P851">
        <v>130</v>
      </c>
    </row>
    <row r="852" spans="1:16" x14ac:dyDescent="0.25">
      <c r="A852">
        <v>2026</v>
      </c>
      <c r="B852">
        <v>5590</v>
      </c>
      <c r="G852">
        <v>165</v>
      </c>
      <c r="J852">
        <v>165</v>
      </c>
      <c r="K852">
        <v>200</v>
      </c>
      <c r="L852">
        <v>210</v>
      </c>
      <c r="M852">
        <v>275</v>
      </c>
      <c r="N852">
        <v>195</v>
      </c>
      <c r="O852">
        <v>225</v>
      </c>
      <c r="P852">
        <v>750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92B5-9668-4B0E-90EC-9A1D9ADD1861}">
  <dimension ref="A1:X61"/>
  <sheetViews>
    <sheetView workbookViewId="0">
      <selection activeCell="A2" sqref="A2"/>
    </sheetView>
  </sheetViews>
  <sheetFormatPr defaultRowHeight="18.75" x14ac:dyDescent="0.3"/>
  <cols>
    <col min="1" max="1" width="8.85546875" style="77" bestFit="1" customWidth="1"/>
    <col min="2" max="2" width="11.140625" style="78" bestFit="1" customWidth="1"/>
    <col min="3" max="4" width="9.140625" style="79"/>
    <col min="5" max="5" width="11.140625" style="84" bestFit="1" customWidth="1"/>
    <col min="6" max="6" width="11.140625" style="85" bestFit="1" customWidth="1"/>
    <col min="7" max="8" width="9.140625" style="79"/>
    <col min="9" max="9" width="8.85546875" style="77" bestFit="1" customWidth="1"/>
    <col min="10" max="10" width="22" style="78" bestFit="1" customWidth="1"/>
    <col min="11" max="12" width="9.140625" style="79"/>
    <col min="13" max="13" width="8.85546875" style="86" bestFit="1" customWidth="1"/>
    <col min="14" max="14" width="20.28515625" style="87" bestFit="1" customWidth="1"/>
    <col min="15" max="16" width="9.140625" style="79"/>
    <col min="17" max="17" width="8.85546875" style="86" bestFit="1" customWidth="1"/>
    <col min="18" max="18" width="10.140625" style="87" bestFit="1" customWidth="1"/>
    <col min="19" max="19" width="9.140625" style="79"/>
    <col min="20" max="20" width="8.85546875" style="77" bestFit="1" customWidth="1"/>
    <col min="21" max="21" width="12.7109375" style="82" bestFit="1" customWidth="1"/>
    <col min="22" max="22" width="9.140625" style="79"/>
    <col min="23" max="23" width="8.85546875" style="77" bestFit="1" customWidth="1"/>
    <col min="24" max="24" width="14" style="78" bestFit="1" customWidth="1"/>
  </cols>
  <sheetData>
    <row r="1" spans="1:24" x14ac:dyDescent="0.3">
      <c r="A1" s="77" t="s">
        <v>427</v>
      </c>
      <c r="B1" s="78" t="s">
        <v>752</v>
      </c>
      <c r="E1" s="80" t="s">
        <v>427</v>
      </c>
      <c r="F1" s="81" t="s">
        <v>432</v>
      </c>
      <c r="I1" s="77" t="s">
        <v>427</v>
      </c>
      <c r="J1" s="78" t="s">
        <v>751</v>
      </c>
      <c r="M1" s="77" t="s">
        <v>427</v>
      </c>
      <c r="N1" s="78" t="s">
        <v>756</v>
      </c>
      <c r="Q1" s="77" t="s">
        <v>427</v>
      </c>
      <c r="R1" s="78" t="s">
        <v>754</v>
      </c>
      <c r="T1" s="77" t="s">
        <v>427</v>
      </c>
      <c r="U1" s="82" t="s">
        <v>918</v>
      </c>
      <c r="W1"/>
      <c r="X1"/>
    </row>
    <row r="2" spans="1:24" x14ac:dyDescent="0.3">
      <c r="B2" s="78" t="str">
        <f>IF(A2&gt;0,VLOOKUP(A2,'Full Price List'!$B$1:$O$1131,11,FALSE),"")</f>
        <v/>
      </c>
      <c r="E2" s="80"/>
      <c r="F2" s="81" t="str">
        <f>IF(E2&gt;0,VLOOKUP(E2,'Full Price List'!$B$1:$O$1131,12,FALSE),"")</f>
        <v/>
      </c>
      <c r="J2" s="78" t="str">
        <f>IF(I2&gt;0,VLOOKUP(I2,'Full Price List'!$B$1:$O$1131,10,FALSE),"")</f>
        <v/>
      </c>
      <c r="M2" s="77"/>
      <c r="N2" s="78" t="str">
        <f>IF(M2&gt;0,VLOOKUP(M2,'Full Price List'!$B$1:$O$1131,13,FALSE),"")</f>
        <v/>
      </c>
      <c r="Q2" s="77"/>
      <c r="R2" s="78" t="str">
        <f>IF(Q2&gt;0,VLOOKUP(Q2,'Full Price List'!$B$1:$O$1131,14,FALSE),"")</f>
        <v/>
      </c>
      <c r="U2" s="82" t="str">
        <f>IF(T2&gt;0,VLOOKUP(T2,'Full Price List'!$B$1:$P$1131,15,FALSE),"")</f>
        <v/>
      </c>
      <c r="W2"/>
      <c r="X2"/>
    </row>
    <row r="3" spans="1:24" x14ac:dyDescent="0.3">
      <c r="B3" s="78" t="str">
        <f>IF(A3&gt;0,VLOOKUP(A3,'Full Price List'!$B$1:$O$1131,11,FALSE),"")</f>
        <v/>
      </c>
      <c r="E3" s="80"/>
      <c r="F3" s="81" t="str">
        <f>IF(E3&gt;0,VLOOKUP(E3,'Full Price List'!$B$1:$O$1131,12,FALSE),"")</f>
        <v/>
      </c>
      <c r="J3" s="78" t="str">
        <f>IF(I3&gt;0,VLOOKUP(I3,'Full Price List'!$B$1:$O$1131,10,FALSE),"")</f>
        <v/>
      </c>
      <c r="M3" s="77"/>
      <c r="N3" s="78" t="str">
        <f>IF(M3&gt;0,VLOOKUP(M3,'Full Price List'!$B$1:$O$1131,13,FALSE),"")</f>
        <v/>
      </c>
      <c r="Q3" s="77"/>
      <c r="R3" s="78" t="str">
        <f>IF(Q3&gt;0,VLOOKUP(Q3,'Full Price List'!$B$1:$O$1131,14,FALSE),"")</f>
        <v/>
      </c>
      <c r="U3" s="82" t="str">
        <f>IF(T3&gt;0,VLOOKUP(T3,'Full Price List'!$B$1:$P$1131,15,FALSE),"")</f>
        <v/>
      </c>
      <c r="W3"/>
      <c r="X3"/>
    </row>
    <row r="4" spans="1:24" x14ac:dyDescent="0.3">
      <c r="B4" s="78" t="str">
        <f>IF(A4&gt;0,VLOOKUP(A4,'Full Price List'!$B$1:$O$1131,11,FALSE),"")</f>
        <v/>
      </c>
      <c r="E4" s="80"/>
      <c r="F4" s="81" t="str">
        <f>IF(E4&gt;0,VLOOKUP(E4,'Full Price List'!$B$1:$O$1131,12,FALSE),"")</f>
        <v/>
      </c>
      <c r="J4" s="78" t="str">
        <f>IF(I4&gt;0,VLOOKUP(I4,'Full Price List'!$B$1:$O$1131,10,FALSE),"")</f>
        <v/>
      </c>
      <c r="M4" s="77"/>
      <c r="N4" s="78" t="str">
        <f>IF(M4&gt;0,VLOOKUP(M4,'Full Price List'!$B$1:$O$1131,13,FALSE),"")</f>
        <v/>
      </c>
      <c r="Q4" s="77"/>
      <c r="R4" s="78" t="str">
        <f>IF(Q4&gt;0,VLOOKUP(Q4,'Full Price List'!$B$1:$O$1131,14,FALSE),"")</f>
        <v/>
      </c>
      <c r="U4" s="82" t="str">
        <f>IF(T4&gt;0,VLOOKUP(T4,'Full Price List'!$B$1:$P$1131,15,FALSE),"")</f>
        <v/>
      </c>
      <c r="W4"/>
      <c r="X4"/>
    </row>
    <row r="5" spans="1:24" x14ac:dyDescent="0.3">
      <c r="B5" s="78" t="str">
        <f>IF(A5&gt;0,VLOOKUP(A5,'Full Price List'!$B$1:$O$1131,11,FALSE),"")</f>
        <v/>
      </c>
      <c r="E5" s="80"/>
      <c r="F5" s="81" t="str">
        <f>IF(E5&gt;0,VLOOKUP(E5,'Full Price List'!$B$1:$O$1131,12,FALSE),"")</f>
        <v/>
      </c>
      <c r="J5" s="78" t="str">
        <f>IF(I5&gt;0,VLOOKUP(I5,'Full Price List'!$B$1:$O$1131,10,FALSE),"")</f>
        <v/>
      </c>
      <c r="M5" s="77"/>
      <c r="N5" s="78" t="str">
        <f>IF(M5&gt;0,VLOOKUP(M5,'Full Price List'!$B$1:$O$1131,13,FALSE),"")</f>
        <v/>
      </c>
      <c r="Q5" s="77"/>
      <c r="R5" s="78" t="str">
        <f>IF(Q5&gt;0,VLOOKUP(Q5,'Full Price List'!$B$1:$O$1131,14,FALSE),"")</f>
        <v/>
      </c>
      <c r="U5" s="82" t="str">
        <f>IF(T5&gt;0,VLOOKUP(T5,'Full Price List'!$B$1:$P$1131,15,FALSE),"")</f>
        <v/>
      </c>
      <c r="W5"/>
      <c r="X5"/>
    </row>
    <row r="6" spans="1:24" x14ac:dyDescent="0.3">
      <c r="B6" s="78" t="str">
        <f>IF(A6&gt;0,VLOOKUP(A6,'Full Price List'!$B$1:$O$1131,11,FALSE),"")</f>
        <v/>
      </c>
      <c r="E6" s="80"/>
      <c r="F6" s="81" t="str">
        <f>IF(E6&gt;0,VLOOKUP(E6,'Full Price List'!$B$1:$O$1131,12,FALSE),"")</f>
        <v/>
      </c>
      <c r="J6" s="78" t="str">
        <f>IF(I6&gt;0,VLOOKUP(I6,'Full Price List'!$B$1:$O$1131,10,FALSE),"")</f>
        <v/>
      </c>
      <c r="M6" s="77"/>
      <c r="N6" s="78" t="str">
        <f>IF(M6&gt;0,VLOOKUP(M6,'Full Price List'!$B$1:$O$1131,13,FALSE),"")</f>
        <v/>
      </c>
      <c r="Q6" s="77"/>
      <c r="R6" s="78" t="str">
        <f>IF(Q6&gt;0,VLOOKUP(Q6,'Full Price List'!$B$1:$O$1131,14,FALSE),"")</f>
        <v/>
      </c>
      <c r="U6" s="82" t="str">
        <f>IF(T6&gt;0,VLOOKUP(T6,'Full Price List'!$B$1:$P$1131,15,FALSE),"")</f>
        <v/>
      </c>
      <c r="W6"/>
      <c r="X6"/>
    </row>
    <row r="7" spans="1:24" x14ac:dyDescent="0.3">
      <c r="B7" s="78" t="str">
        <f>IF(A7&gt;0,VLOOKUP(A7,'Full Price List'!$B$1:$O$1131,11,FALSE),"")</f>
        <v/>
      </c>
      <c r="E7" s="80"/>
      <c r="F7" s="81" t="str">
        <f>IF(E7&gt;0,VLOOKUP(E7,'Full Price List'!$B$1:$O$1131,12,FALSE),"")</f>
        <v/>
      </c>
      <c r="J7" s="78" t="str">
        <f>IF(I7&gt;0,VLOOKUP(I7,'Full Price List'!$B$1:$O$1131,10,FALSE),"")</f>
        <v/>
      </c>
      <c r="M7" s="77"/>
      <c r="N7" s="78" t="str">
        <f>IF(M7&gt;0,VLOOKUP(M7,'Full Price List'!$B$1:$O$1131,13,FALSE),"")</f>
        <v/>
      </c>
      <c r="Q7" s="77"/>
      <c r="R7" s="78" t="str">
        <f>IF(Q7&gt;0,VLOOKUP(Q7,'Full Price List'!$B$1:$O$1131,14,FALSE),"")</f>
        <v/>
      </c>
      <c r="U7" s="82" t="str">
        <f>IF(T7&gt;0,VLOOKUP(T7,'Full Price List'!$B$1:$P$1131,15,FALSE),"")</f>
        <v/>
      </c>
      <c r="W7"/>
      <c r="X7"/>
    </row>
    <row r="8" spans="1:24" x14ac:dyDescent="0.3">
      <c r="B8" s="78" t="str">
        <f>IF(A8&gt;0,VLOOKUP(A8,'Full Price List'!$B$1:$O$1131,11,FALSE),"")</f>
        <v/>
      </c>
      <c r="E8" s="80"/>
      <c r="F8" s="81" t="str">
        <f>IF(E8&gt;0,VLOOKUP(E8,'Full Price List'!$B$1:$O$1131,12,FALSE),"")</f>
        <v/>
      </c>
      <c r="J8" s="78" t="str">
        <f>IF(I8&gt;0,VLOOKUP(I8,'Full Price List'!$B$1:$O$1131,10,FALSE),"")</f>
        <v/>
      </c>
      <c r="M8" s="77"/>
      <c r="N8" s="78" t="str">
        <f>IF(M8&gt;0,VLOOKUP(M8,'Full Price List'!$B$1:$O$1131,13,FALSE),"")</f>
        <v/>
      </c>
      <c r="Q8" s="77"/>
      <c r="R8" s="78" t="str">
        <f>IF(Q8&gt;0,VLOOKUP(Q8,'Full Price List'!$B$1:$O$1131,14,FALSE),"")</f>
        <v/>
      </c>
      <c r="U8" s="82" t="str">
        <f>IF(T8&gt;0,VLOOKUP(T8,'Full Price List'!$B$1:$P$1131,15,FALSE),"")</f>
        <v/>
      </c>
      <c r="W8"/>
      <c r="X8"/>
    </row>
    <row r="9" spans="1:24" x14ac:dyDescent="0.3">
      <c r="B9" s="78" t="str">
        <f>IF(A9&gt;0,VLOOKUP(A9,'Full Price List'!$B$1:$O$1131,11,FALSE),"")</f>
        <v/>
      </c>
      <c r="E9" s="80"/>
      <c r="F9" s="81" t="str">
        <f>IF(E9&gt;0,VLOOKUP(E9,'Full Price List'!$B$1:$O$1131,12,FALSE),"")</f>
        <v/>
      </c>
      <c r="J9" s="78" t="str">
        <f>IF(I9&gt;0,VLOOKUP(I9,'Full Price List'!$B$1:$O$1131,10,FALSE),"")</f>
        <v/>
      </c>
      <c r="M9" s="77"/>
      <c r="N9" s="78" t="str">
        <f>IF(M9&gt;0,VLOOKUP(M9,'Full Price List'!$B$1:$O$1131,13,FALSE),"")</f>
        <v/>
      </c>
      <c r="Q9" s="77"/>
      <c r="R9" s="78" t="str">
        <f>IF(Q9&gt;0,VLOOKUP(Q9,'Full Price List'!$B$1:$O$1131,14,FALSE),"")</f>
        <v/>
      </c>
      <c r="U9" s="82" t="str">
        <f>IF(T9&gt;0,VLOOKUP(T9,'Full Price List'!$B$1:$P$1131,15,FALSE),"")</f>
        <v/>
      </c>
      <c r="W9"/>
      <c r="X9"/>
    </row>
    <row r="10" spans="1:24" x14ac:dyDescent="0.3">
      <c r="B10" s="78" t="str">
        <f>IF(A10&gt;0,VLOOKUP(A10,'Full Price List'!$B$1:$O$1131,11,FALSE),"")</f>
        <v/>
      </c>
      <c r="E10" s="80"/>
      <c r="F10" s="81" t="str">
        <f>IF(E10&gt;0,VLOOKUP(E10,'Full Price List'!$B$1:$O$1131,12,FALSE),"")</f>
        <v/>
      </c>
      <c r="J10" s="78" t="str">
        <f>IF(I10&gt;0,VLOOKUP(I10,'Full Price List'!$B$1:$O$1131,10,FALSE),"")</f>
        <v/>
      </c>
      <c r="M10" s="77"/>
      <c r="N10" s="78" t="str">
        <f>IF(M10&gt;0,VLOOKUP(M10,'Full Price List'!$B$1:$O$1131,13,FALSE),"")</f>
        <v/>
      </c>
      <c r="Q10" s="77"/>
      <c r="R10" s="78" t="str">
        <f>IF(Q10&gt;0,VLOOKUP(Q10,'Full Price List'!$B$1:$O$1131,14,FALSE),"")</f>
        <v/>
      </c>
      <c r="U10" s="82" t="str">
        <f>IF(T10&gt;0,VLOOKUP(T10,'Full Price List'!$B$1:$P$1131,15,FALSE),"")</f>
        <v/>
      </c>
      <c r="W10"/>
      <c r="X10"/>
    </row>
    <row r="11" spans="1:24" x14ac:dyDescent="0.3">
      <c r="B11" s="78" t="str">
        <f>IF(A11&gt;0,VLOOKUP(A11,'Full Price List'!$B$1:$O$1131,11,FALSE),"")</f>
        <v/>
      </c>
      <c r="E11" s="80"/>
      <c r="F11" s="81" t="str">
        <f>IF(E11&gt;0,VLOOKUP(E11,'Full Price List'!$B$1:$O$1131,12,FALSE),"")</f>
        <v/>
      </c>
      <c r="J11" s="78" t="str">
        <f>IF(I11&gt;0,VLOOKUP(I11,'Full Price List'!$B$1:$O$1131,10,FALSE),"")</f>
        <v/>
      </c>
      <c r="M11" s="77"/>
      <c r="N11" s="78" t="str">
        <f>IF(M11&gt;0,VLOOKUP(M11,'Full Price List'!$B$1:$O$1131,13,FALSE),"")</f>
        <v/>
      </c>
      <c r="Q11" s="77"/>
      <c r="R11" s="78" t="str">
        <f>IF(Q11&gt;0,VLOOKUP(Q11,'Full Price List'!$B$1:$O$1131,14,FALSE),"")</f>
        <v/>
      </c>
      <c r="U11" s="82" t="str">
        <f>IF(T11&gt;0,VLOOKUP(T11,'Full Price List'!$B$1:$P$1131,15,FALSE),"")</f>
        <v/>
      </c>
      <c r="W11"/>
      <c r="X11"/>
    </row>
    <row r="12" spans="1:24" x14ac:dyDescent="0.3">
      <c r="B12" s="78" t="str">
        <f>IF(A12&gt;0,VLOOKUP(A12,'Full Price List'!$B$1:$O$1131,11,FALSE),"")</f>
        <v/>
      </c>
      <c r="E12" s="80"/>
      <c r="F12" s="81" t="str">
        <f>IF(E12&gt;0,VLOOKUP(E12,'Full Price List'!$B$1:$O$1131,12,FALSE),"")</f>
        <v/>
      </c>
      <c r="J12" s="78" t="str">
        <f>IF(I12&gt;0,VLOOKUP(I12,'Full Price List'!$B$1:$O$1131,10,FALSE),"")</f>
        <v/>
      </c>
      <c r="M12" s="77"/>
      <c r="N12" s="78" t="str">
        <f>IF(M12&gt;0,VLOOKUP(M12,'Full Price List'!$B$1:$O$1131,13,FALSE),"")</f>
        <v/>
      </c>
      <c r="Q12" s="77"/>
      <c r="R12" s="78" t="str">
        <f>IF(Q12&gt;0,VLOOKUP(Q12,'Full Price List'!$B$1:$O$1131,14,FALSE),"")</f>
        <v/>
      </c>
      <c r="U12" s="82" t="str">
        <f>IF(T12&gt;0,VLOOKUP(T12,'Full Price List'!$B$1:$P$1131,15,FALSE),"")</f>
        <v/>
      </c>
      <c r="W12"/>
      <c r="X12"/>
    </row>
    <row r="13" spans="1:24" x14ac:dyDescent="0.3">
      <c r="B13" s="78" t="str">
        <f>IF(A13&gt;0,VLOOKUP(A13,'Full Price List'!$B$1:$O$1131,11,FALSE),"")</f>
        <v/>
      </c>
      <c r="E13" s="80"/>
      <c r="F13" s="81" t="str">
        <f>IF(E13&gt;0,VLOOKUP(E13,'Full Price List'!$B$1:$O$1131,12,FALSE),"")</f>
        <v/>
      </c>
      <c r="J13" s="78" t="str">
        <f>IF(I13&gt;0,VLOOKUP(I13,'Full Price List'!$B$1:$O$1131,10,FALSE),"")</f>
        <v/>
      </c>
      <c r="M13" s="77"/>
      <c r="N13" s="78" t="str">
        <f>IF(M13&gt;0,VLOOKUP(M13,'Full Price List'!$B$1:$O$1131,13,FALSE),"")</f>
        <v/>
      </c>
      <c r="Q13" s="77"/>
      <c r="R13" s="78" t="str">
        <f>IF(Q13&gt;0,VLOOKUP(Q13,'Full Price List'!$B$1:$O$1131,14,FALSE),"")</f>
        <v/>
      </c>
      <c r="U13" s="82" t="str">
        <f>IF(T13&gt;0,VLOOKUP(T13,'Full Price List'!$B$1:$P$1131,15,FALSE),"")</f>
        <v/>
      </c>
      <c r="W13"/>
      <c r="X13"/>
    </row>
    <row r="14" spans="1:24" x14ac:dyDescent="0.3">
      <c r="B14" s="78" t="str">
        <f>IF(A14&gt;0,VLOOKUP(A14,'Full Price List'!$B$1:$O$1131,11,FALSE),"")</f>
        <v/>
      </c>
      <c r="E14" s="80"/>
      <c r="F14" s="81" t="str">
        <f>IF(E14&gt;0,VLOOKUP(E14,'Full Price List'!$B$1:$O$1131,12,FALSE),"")</f>
        <v/>
      </c>
      <c r="J14" s="78" t="str">
        <f>IF(I14&gt;0,VLOOKUP(I14,'Full Price List'!$B$1:$O$1131,10,FALSE),"")</f>
        <v/>
      </c>
      <c r="M14" s="77"/>
      <c r="N14" s="78" t="str">
        <f>IF(M14&gt;0,VLOOKUP(M14,'Full Price List'!$B$1:$O$1131,13,FALSE),"")</f>
        <v/>
      </c>
      <c r="Q14" s="77"/>
      <c r="R14" s="78" t="str">
        <f>IF(Q14&gt;0,VLOOKUP(Q14,'Full Price List'!$B$1:$O$1131,14,FALSE),"")</f>
        <v/>
      </c>
      <c r="U14" s="82" t="str">
        <f>IF(T14&gt;0,VLOOKUP(T14,'Full Price List'!$B$1:$P$1131,15,FALSE),"")</f>
        <v/>
      </c>
      <c r="W14"/>
      <c r="X14"/>
    </row>
    <row r="15" spans="1:24" x14ac:dyDescent="0.3">
      <c r="B15" s="78" t="str">
        <f>IF(A15&gt;0,VLOOKUP(A15,'Full Price List'!$B$1:$O$1131,11,FALSE),"")</f>
        <v/>
      </c>
      <c r="E15" s="80"/>
      <c r="F15" s="81" t="str">
        <f>IF(E15&gt;0,VLOOKUP(E15,'Full Price List'!$B$1:$O$1131,12,FALSE),"")</f>
        <v/>
      </c>
      <c r="J15" s="78" t="str">
        <f>IF(I15&gt;0,VLOOKUP(I15,'Full Price List'!$B$1:$O$1131,10,FALSE),"")</f>
        <v/>
      </c>
      <c r="M15" s="77"/>
      <c r="N15" s="78" t="str">
        <f>IF(M15&gt;0,VLOOKUP(M15,'Full Price List'!$B$1:$O$1131,13,FALSE),"")</f>
        <v/>
      </c>
      <c r="Q15" s="77"/>
      <c r="R15" s="78" t="str">
        <f>IF(Q15&gt;0,VLOOKUP(Q15,'Full Price List'!$B$1:$O$1131,14,FALSE),"")</f>
        <v/>
      </c>
      <c r="U15" s="82" t="str">
        <f>IF(T15&gt;0,VLOOKUP(T15,'Full Price List'!$B$1:$P$1131,15,FALSE),"")</f>
        <v/>
      </c>
      <c r="W15"/>
      <c r="X15"/>
    </row>
    <row r="16" spans="1:24" x14ac:dyDescent="0.3">
      <c r="B16" s="78" t="str">
        <f>IF(A16&gt;0,VLOOKUP(A16,'Full Price List'!$B$1:$O$1131,11,FALSE),"")</f>
        <v/>
      </c>
      <c r="E16" s="80"/>
      <c r="F16" s="81" t="str">
        <f>IF(E16&gt;0,VLOOKUP(E16,'Full Price List'!$B$1:$O$1131,12,FALSE),"")</f>
        <v/>
      </c>
      <c r="J16" s="78" t="str">
        <f>IF(I16&gt;0,VLOOKUP(I16,'Full Price List'!$B$1:$O$1131,10,FALSE),"")</f>
        <v/>
      </c>
      <c r="M16" s="77"/>
      <c r="N16" s="78" t="str">
        <f>IF(M16&gt;0,VLOOKUP(M16,'Full Price List'!$B$1:$O$1131,13,FALSE),"")</f>
        <v/>
      </c>
      <c r="Q16" s="77"/>
      <c r="R16" s="78" t="str">
        <f>IF(Q16&gt;0,VLOOKUP(Q16,'Full Price List'!$B$1:$O$1131,14,FALSE),"")</f>
        <v/>
      </c>
      <c r="U16" s="82" t="str">
        <f>IF(T16&gt;0,VLOOKUP(T16,'Full Price List'!$B$1:$P$1131,15,FALSE),"")</f>
        <v/>
      </c>
      <c r="W16"/>
      <c r="X16"/>
    </row>
    <row r="17" spans="2:24" x14ac:dyDescent="0.3">
      <c r="B17" s="78" t="str">
        <f>IF(A17&gt;0,VLOOKUP(A17,'Full Price List'!$B$1:$O$1131,11,FALSE),"")</f>
        <v/>
      </c>
      <c r="E17" s="80"/>
      <c r="F17" s="81" t="str">
        <f>IF(E17&gt;0,VLOOKUP(E17,'Full Price List'!$B$1:$O$1131,12,FALSE),"")</f>
        <v/>
      </c>
      <c r="J17" s="78" t="str">
        <f>IF(I17&gt;0,VLOOKUP(I17,'Full Price List'!$B$1:$O$1131,10,FALSE),"")</f>
        <v/>
      </c>
      <c r="M17" s="77"/>
      <c r="N17" s="78" t="str">
        <f>IF(M17&gt;0,VLOOKUP(M17,'Full Price List'!$B$1:$O$1131,13,FALSE),"")</f>
        <v/>
      </c>
      <c r="Q17" s="77"/>
      <c r="R17" s="78" t="str">
        <f>IF(Q17&gt;0,VLOOKUP(Q17,'Full Price List'!$B$1:$O$1131,14,FALSE),"")</f>
        <v/>
      </c>
      <c r="U17" s="82" t="str">
        <f>IF(T17&gt;0,VLOOKUP(T17,'Full Price List'!$B$1:$P$1131,15,FALSE),"")</f>
        <v/>
      </c>
      <c r="W17"/>
      <c r="X17"/>
    </row>
    <row r="18" spans="2:24" x14ac:dyDescent="0.3">
      <c r="B18" s="78" t="str">
        <f>IF(A18&gt;0,VLOOKUP(A18,'Full Price List'!$B$1:$O$1131,11,FALSE),"")</f>
        <v/>
      </c>
      <c r="E18" s="80"/>
      <c r="F18" s="81" t="str">
        <f>IF(E18&gt;0,VLOOKUP(E18,'Full Price List'!$B$1:$O$1131,12,FALSE),"")</f>
        <v/>
      </c>
      <c r="J18" s="78" t="str">
        <f>IF(I18&gt;0,VLOOKUP(I18,'Full Price List'!$B$1:$O$1131,10,FALSE),"")</f>
        <v/>
      </c>
      <c r="M18" s="77"/>
      <c r="N18" s="78" t="str">
        <f>IF(M18&gt;0,VLOOKUP(M18,'Full Price List'!$B$1:$O$1131,13,FALSE),"")</f>
        <v/>
      </c>
      <c r="Q18" s="77"/>
      <c r="R18" s="78" t="str">
        <f>IF(Q18&gt;0,VLOOKUP(Q18,'Full Price List'!$B$1:$O$1131,14,FALSE),"")</f>
        <v/>
      </c>
      <c r="U18" s="82" t="str">
        <f>IF(T18&gt;0,VLOOKUP(T18,'Full Price List'!$B$1:$P$1131,15,FALSE),"")</f>
        <v/>
      </c>
      <c r="W18"/>
      <c r="X18"/>
    </row>
    <row r="19" spans="2:24" x14ac:dyDescent="0.3">
      <c r="B19" s="78" t="str">
        <f>IF(A19&gt;0,VLOOKUP(A19,'Full Price List'!$B$1:$O$1131,11,FALSE),"")</f>
        <v/>
      </c>
      <c r="E19" s="80"/>
      <c r="F19" s="81" t="str">
        <f>IF(E19&gt;0,VLOOKUP(E19,'Full Price List'!$B$1:$O$1131,12,FALSE),"")</f>
        <v/>
      </c>
      <c r="J19" s="78" t="str">
        <f>IF(I19&gt;0,VLOOKUP(I19,'Full Price List'!$B$1:$O$1131,10,FALSE),"")</f>
        <v/>
      </c>
      <c r="M19" s="77"/>
      <c r="N19" s="78" t="str">
        <f>IF(M19&gt;0,VLOOKUP(M19,'Full Price List'!$B$1:$O$1131,13,FALSE),"")</f>
        <v/>
      </c>
      <c r="Q19" s="77"/>
      <c r="R19" s="78" t="str">
        <f>IF(Q19&gt;0,VLOOKUP(Q19,'Full Price List'!$B$1:$O$1131,14,FALSE),"")</f>
        <v/>
      </c>
      <c r="U19" s="82" t="str">
        <f>IF(T19&gt;0,VLOOKUP(T19,'Full Price List'!$B$1:$P$1131,15,FALSE),"")</f>
        <v/>
      </c>
      <c r="W19"/>
      <c r="X19"/>
    </row>
    <row r="20" spans="2:24" x14ac:dyDescent="0.3">
      <c r="B20" s="78" t="str">
        <f>IF(A20&gt;0,VLOOKUP(A20,'Full Price List'!$B$1:$O$1131,11,FALSE),"")</f>
        <v/>
      </c>
      <c r="E20" s="80"/>
      <c r="F20" s="81" t="str">
        <f>IF(E20&gt;0,VLOOKUP(E20,'Full Price List'!$B$1:$O$1131,12,FALSE),"")</f>
        <v/>
      </c>
      <c r="J20" s="78" t="str">
        <f>IF(I20&gt;0,VLOOKUP(I20,'Full Price List'!$B$1:$O$1131,10,FALSE),"")</f>
        <v/>
      </c>
      <c r="M20" s="77"/>
      <c r="N20" s="78" t="str">
        <f>IF(M20&gt;0,VLOOKUP(M20,'Full Price List'!$B$1:$O$1131,13,FALSE),"")</f>
        <v/>
      </c>
      <c r="Q20" s="77"/>
      <c r="R20" s="78" t="str">
        <f>IF(Q20&gt;0,VLOOKUP(Q20,'Full Price List'!$B$1:$O$1131,14,FALSE),"")</f>
        <v/>
      </c>
      <c r="U20" s="82" t="str">
        <f>IF(T20&gt;0,VLOOKUP(T20,'Full Price List'!$B$1:$P$1131,15,FALSE),"")</f>
        <v/>
      </c>
      <c r="W20"/>
      <c r="X20"/>
    </row>
    <row r="21" spans="2:24" x14ac:dyDescent="0.3">
      <c r="B21" s="78" t="str">
        <f>IF(A21&gt;0,VLOOKUP(A21,'Full Price List'!$B$1:$O$1131,11,FALSE),"")</f>
        <v/>
      </c>
      <c r="E21" s="80"/>
      <c r="F21" s="81" t="str">
        <f>IF(E21&gt;0,VLOOKUP(E21,'Full Price List'!$B$1:$O$1131,12,FALSE),"")</f>
        <v/>
      </c>
      <c r="J21" s="78" t="str">
        <f>IF(I21&gt;0,VLOOKUP(I21,'Full Price List'!$B$1:$O$1131,10,FALSE),"")</f>
        <v/>
      </c>
      <c r="M21" s="77"/>
      <c r="N21" s="78" t="str">
        <f>IF(M21&gt;0,VLOOKUP(M21,'Full Price List'!$B$1:$O$1131,13,FALSE),"")</f>
        <v/>
      </c>
      <c r="Q21" s="77"/>
      <c r="R21" s="78" t="str">
        <f>IF(Q21&gt;0,VLOOKUP(Q21,'Full Price List'!$B$1:$O$1131,14,FALSE),"")</f>
        <v/>
      </c>
      <c r="U21" s="82" t="str">
        <f>IF(T21&gt;0,VLOOKUP(T21,'Full Price List'!$B$1:$P$1131,15,FALSE),"")</f>
        <v/>
      </c>
      <c r="W21"/>
      <c r="X21"/>
    </row>
    <row r="22" spans="2:24" x14ac:dyDescent="0.3">
      <c r="B22" s="78" t="str">
        <f>IF(A22&gt;0,VLOOKUP(A22,'Full Price List'!$B$1:$O$1131,11,FALSE),"")</f>
        <v/>
      </c>
      <c r="E22" s="80"/>
      <c r="F22" s="81" t="str">
        <f>IF(E22&gt;0,VLOOKUP(E22,'Full Price List'!$B$1:$O$1131,12,FALSE),"")</f>
        <v/>
      </c>
      <c r="J22" s="78" t="str">
        <f>IF(I22&gt;0,VLOOKUP(I22,'Full Price List'!$B$1:$O$1131,10,FALSE),"")</f>
        <v/>
      </c>
      <c r="M22" s="77"/>
      <c r="N22" s="78" t="str">
        <f>IF(M22&gt;0,VLOOKUP(M22,'Full Price List'!$B$1:$O$1131,13,FALSE),"")</f>
        <v/>
      </c>
      <c r="Q22" s="77"/>
      <c r="R22" s="78" t="str">
        <f>IF(Q22&gt;0,VLOOKUP(Q22,'Full Price List'!$B$1:$O$1131,14,FALSE),"")</f>
        <v/>
      </c>
      <c r="U22" s="82" t="str">
        <f>IF(T22&gt;0,VLOOKUP(T22,'Full Price List'!$B$1:$P$1131,15,FALSE),"")</f>
        <v/>
      </c>
      <c r="W22"/>
      <c r="X22"/>
    </row>
    <row r="23" spans="2:24" x14ac:dyDescent="0.3">
      <c r="B23" s="78" t="str">
        <f>IF(A23&gt;0,VLOOKUP(A23,'Full Price List'!$B$1:$O$1131,11,FALSE),"")</f>
        <v/>
      </c>
      <c r="E23" s="80"/>
      <c r="F23" s="81" t="str">
        <f>IF(E23&gt;0,VLOOKUP(E23,'Full Price List'!$B$1:$O$1131,12,FALSE),"")</f>
        <v/>
      </c>
      <c r="J23" s="78" t="str">
        <f>IF(I23&gt;0,VLOOKUP(I23,'Full Price List'!$B$1:$O$1131,10,FALSE),"")</f>
        <v/>
      </c>
      <c r="M23" s="77"/>
      <c r="N23" s="78" t="str">
        <f>IF(M23&gt;0,VLOOKUP(M23,'Full Price List'!$B$1:$O$1131,13,FALSE),"")</f>
        <v/>
      </c>
      <c r="Q23" s="77"/>
      <c r="R23" s="78" t="str">
        <f>IF(Q23&gt;0,VLOOKUP(Q23,'Full Price List'!$B$1:$O$1131,14,FALSE),"")</f>
        <v/>
      </c>
      <c r="U23" s="82" t="str">
        <f>IF(T23&gt;0,VLOOKUP(T23,'Full Price List'!$B$1:$P$1131,15,FALSE),"")</f>
        <v/>
      </c>
      <c r="W23"/>
      <c r="X23"/>
    </row>
    <row r="24" spans="2:24" x14ac:dyDescent="0.3">
      <c r="B24" s="78" t="str">
        <f>IF(A24&gt;0,VLOOKUP(A24,'Full Price List'!$B$1:$O$1131,11,FALSE),"")</f>
        <v/>
      </c>
      <c r="E24" s="80"/>
      <c r="F24" s="81" t="str">
        <f>IF(E24&gt;0,VLOOKUP(E24,'Full Price List'!$B$1:$O$1131,12,FALSE),"")</f>
        <v/>
      </c>
      <c r="J24" s="78" t="str">
        <f>IF(I24&gt;0,VLOOKUP(I24,'Full Price List'!$B$1:$O$1131,10,FALSE),"")</f>
        <v/>
      </c>
      <c r="M24" s="77"/>
      <c r="N24" s="78" t="str">
        <f>IF(M24&gt;0,VLOOKUP(M24,'Full Price List'!$B$1:$O$1131,13,FALSE),"")</f>
        <v/>
      </c>
      <c r="Q24" s="77"/>
      <c r="R24" s="78" t="str">
        <f>IF(Q24&gt;0,VLOOKUP(Q24,'Full Price List'!$B$1:$O$1131,14,FALSE),"")</f>
        <v/>
      </c>
      <c r="U24" s="82" t="str">
        <f>IF(T24&gt;0,VLOOKUP(T24,'Full Price List'!$B$1:$P$1131,15,FALSE),"")</f>
        <v/>
      </c>
      <c r="W24"/>
      <c r="X24"/>
    </row>
    <row r="25" spans="2:24" x14ac:dyDescent="0.3">
      <c r="B25" s="78" t="str">
        <f>IF(A25&gt;0,VLOOKUP(A25,'Full Price List'!$B$1:$O$1131,11,FALSE),"")</f>
        <v/>
      </c>
      <c r="E25" s="80"/>
      <c r="F25" s="81" t="str">
        <f>IF(E25&gt;0,VLOOKUP(E25,'Full Price List'!$B$1:$O$1131,12,FALSE),"")</f>
        <v/>
      </c>
      <c r="J25" s="78" t="str">
        <f>IF(I25&gt;0,VLOOKUP(I25,'Full Price List'!$B$1:$O$1131,10,FALSE),"")</f>
        <v/>
      </c>
      <c r="M25" s="77"/>
      <c r="N25" s="78" t="str">
        <f>IF(M25&gt;0,VLOOKUP(M25,'Full Price List'!$B$1:$O$1131,13,FALSE),"")</f>
        <v/>
      </c>
      <c r="Q25" s="77"/>
      <c r="R25" s="78" t="str">
        <f>IF(Q25&gt;0,VLOOKUP(Q25,'Full Price List'!$B$1:$O$1131,14,FALSE),"")</f>
        <v/>
      </c>
      <c r="U25" s="82" t="str">
        <f>IF(T25&gt;0,VLOOKUP(T25,'Full Price List'!$B$1:$P$1131,15,FALSE),"")</f>
        <v/>
      </c>
      <c r="W25"/>
      <c r="X25"/>
    </row>
    <row r="26" spans="2:24" x14ac:dyDescent="0.3">
      <c r="B26" s="78" t="str">
        <f>IF(A26&gt;0,VLOOKUP(A26,'Full Price List'!$B$1:$O$1131,11,FALSE),"")</f>
        <v/>
      </c>
      <c r="E26" s="80"/>
      <c r="F26" s="81" t="str">
        <f>IF(E26&gt;0,VLOOKUP(E26,'Full Price List'!$B$1:$O$1131,12,FALSE),"")</f>
        <v/>
      </c>
      <c r="J26" s="78" t="str">
        <f>IF(I26&gt;0,VLOOKUP(I26,'Full Price List'!$B$1:$O$1131,10,FALSE),"")</f>
        <v/>
      </c>
      <c r="M26" s="77"/>
      <c r="N26" s="78" t="str">
        <f>IF(M26&gt;0,VLOOKUP(M26,'Full Price List'!$B$1:$O$1131,13,FALSE),"")</f>
        <v/>
      </c>
      <c r="Q26" s="77"/>
      <c r="R26" s="78" t="str">
        <f>IF(Q26&gt;0,VLOOKUP(Q26,'Full Price List'!$B$1:$O$1131,14,FALSE),"")</f>
        <v/>
      </c>
      <c r="U26" s="82" t="str">
        <f>IF(T26&gt;0,VLOOKUP(T26,'Full Price List'!$B$1:$P$1131,15,FALSE),"")</f>
        <v/>
      </c>
      <c r="W26"/>
      <c r="X26"/>
    </row>
    <row r="27" spans="2:24" x14ac:dyDescent="0.3">
      <c r="B27" s="78" t="str">
        <f>IF(A27&gt;0,VLOOKUP(A27,'Full Price List'!$B$1:$O$1131,11,FALSE),"")</f>
        <v/>
      </c>
      <c r="E27" s="80"/>
      <c r="F27" s="81" t="str">
        <f>IF(E27&gt;0,VLOOKUP(E27,'Full Price List'!$B$1:$O$1131,12,FALSE),"")</f>
        <v/>
      </c>
      <c r="J27" s="78" t="str">
        <f>IF(I27&gt;0,VLOOKUP(I27,'Full Price List'!$B$1:$O$1131,10,FALSE),"")</f>
        <v/>
      </c>
      <c r="M27" s="77"/>
      <c r="N27" s="78" t="str">
        <f>IF(M27&gt;0,VLOOKUP(M27,'Full Price List'!$B$1:$O$1131,13,FALSE),"")</f>
        <v/>
      </c>
      <c r="Q27" s="77"/>
      <c r="R27" s="78" t="str">
        <f>IF(Q27&gt;0,VLOOKUP(Q27,'Full Price List'!$B$1:$O$1131,14,FALSE),"")</f>
        <v/>
      </c>
      <c r="U27" s="82" t="str">
        <f>IF(T27&gt;0,VLOOKUP(T27,'Full Price List'!$B$1:$P$1131,15,FALSE),"")</f>
        <v/>
      </c>
      <c r="W27"/>
      <c r="X27"/>
    </row>
    <row r="28" spans="2:24" x14ac:dyDescent="0.3">
      <c r="B28" s="78" t="str">
        <f>IF(A28&gt;0,VLOOKUP(A28,'Full Price List'!$B$1:$O$1131,11,FALSE),"")</f>
        <v/>
      </c>
      <c r="E28" s="80"/>
      <c r="F28" s="81" t="str">
        <f>IF(E28&gt;0,VLOOKUP(E28,'Full Price List'!$B$1:$O$1131,12,FALSE),"")</f>
        <v/>
      </c>
      <c r="J28" s="78" t="str">
        <f>IF(I28&gt;0,VLOOKUP(I28,'Full Price List'!$B$1:$O$1131,10,FALSE),"")</f>
        <v/>
      </c>
      <c r="M28" s="77"/>
      <c r="N28" s="78" t="str">
        <f>IF(M28&gt;0,VLOOKUP(M28,'Full Price List'!$B$1:$O$1131,13,FALSE),"")</f>
        <v/>
      </c>
      <c r="Q28" s="77"/>
      <c r="R28" s="78" t="str">
        <f>IF(Q28&gt;0,VLOOKUP(Q28,'Full Price List'!$B$1:$O$1131,14,FALSE),"")</f>
        <v/>
      </c>
      <c r="U28" s="82" t="str">
        <f>IF(T28&gt;0,VLOOKUP(T28,'Full Price List'!$B$1:$P$1131,15,FALSE),"")</f>
        <v/>
      </c>
      <c r="W28"/>
      <c r="X28"/>
    </row>
    <row r="29" spans="2:24" x14ac:dyDescent="0.3">
      <c r="B29" s="78" t="str">
        <f>IF(A29&gt;0,VLOOKUP(A29,'Full Price List'!$B$1:$O$1131,11,FALSE),"")</f>
        <v/>
      </c>
      <c r="E29" s="80"/>
      <c r="F29" s="81" t="str">
        <f>IF(E29&gt;0,VLOOKUP(E29,'Full Price List'!$B$1:$O$1131,12,FALSE),"")</f>
        <v/>
      </c>
      <c r="J29" s="78" t="str">
        <f>IF(I29&gt;0,VLOOKUP(I29,'Full Price List'!$B$1:$O$1131,10,FALSE),"")</f>
        <v/>
      </c>
      <c r="M29" s="77"/>
      <c r="N29" s="78" t="str">
        <f>IF(M29&gt;0,VLOOKUP(M29,'Full Price List'!$B$1:$O$1131,13,FALSE),"")</f>
        <v/>
      </c>
      <c r="Q29" s="77"/>
      <c r="R29" s="78" t="str">
        <f>IF(Q29&gt;0,VLOOKUP(Q29,'Full Price List'!$B$1:$O$1131,14,FALSE),"")</f>
        <v/>
      </c>
      <c r="U29" s="82" t="str">
        <f>IF(T29&gt;0,VLOOKUP(T29,'Full Price List'!$B$1:$P$1131,15,FALSE),"")</f>
        <v/>
      </c>
      <c r="W29"/>
      <c r="X29"/>
    </row>
    <row r="30" spans="2:24" x14ac:dyDescent="0.3">
      <c r="B30" s="78" t="str">
        <f>IF(A30&gt;0,VLOOKUP(A30,'Full Price List'!$B$1:$O$1131,11,FALSE),"")</f>
        <v/>
      </c>
      <c r="E30" s="80"/>
      <c r="F30" s="81" t="str">
        <f>IF(E30&gt;0,VLOOKUP(E30,'Full Price List'!$B$1:$O$1131,12,FALSE),"")</f>
        <v/>
      </c>
      <c r="J30" s="78" t="str">
        <f>IF(I30&gt;0,VLOOKUP(I30,'Full Price List'!$B$1:$O$1131,10,FALSE),"")</f>
        <v/>
      </c>
      <c r="M30" s="77"/>
      <c r="N30" s="78" t="str">
        <f>IF(M30&gt;0,VLOOKUP(M30,'Full Price List'!$B$1:$O$1131,13,FALSE),"")</f>
        <v/>
      </c>
      <c r="Q30" s="77"/>
      <c r="R30" s="78" t="str">
        <f>IF(Q30&gt;0,VLOOKUP(Q30,'Full Price List'!$B$1:$O$1131,14,FALSE),"")</f>
        <v/>
      </c>
      <c r="U30" s="82" t="str">
        <f>IF(T30&gt;0,VLOOKUP(T30,'Full Price List'!$B$1:$P$1131,15,FALSE),"")</f>
        <v/>
      </c>
      <c r="W30"/>
      <c r="X30"/>
    </row>
    <row r="31" spans="2:24" x14ac:dyDescent="0.3">
      <c r="B31" s="78" t="str">
        <f>IF(A31&gt;0,VLOOKUP(A31,'Full Price List'!$B$1:$O$1131,11,FALSE),"")</f>
        <v/>
      </c>
      <c r="E31" s="80"/>
      <c r="F31" s="81" t="str">
        <f>IF(E31&gt;0,VLOOKUP(E31,'Full Price List'!$B$1:$O$1131,12,FALSE),"")</f>
        <v/>
      </c>
      <c r="J31" s="78" t="str">
        <f>IF(I31&gt;0,VLOOKUP(I31,'Full Price List'!$B$1:$O$1131,10,FALSE),"")</f>
        <v/>
      </c>
      <c r="M31" s="77"/>
      <c r="N31" s="78" t="str">
        <f>IF(M31&gt;0,VLOOKUP(M31,'Full Price List'!$B$1:$O$1131,13,FALSE),"")</f>
        <v/>
      </c>
      <c r="Q31" s="77"/>
      <c r="R31" s="78" t="str">
        <f>IF(Q31&gt;0,VLOOKUP(Q31,'Full Price List'!$B$1:$O$1131,14,FALSE),"")</f>
        <v/>
      </c>
      <c r="U31" s="82" t="str">
        <f>IF(T31&gt;0,VLOOKUP(T31,'Full Price List'!$B$1:$P$1131,15,FALSE),"")</f>
        <v/>
      </c>
      <c r="W31"/>
      <c r="X31"/>
    </row>
    <row r="32" spans="2:24" x14ac:dyDescent="0.3">
      <c r="B32" s="78" t="str">
        <f>IF(A32&gt;0,VLOOKUP(A32,'Full Price List'!$B$1:$O$1131,11,FALSE),"")</f>
        <v/>
      </c>
      <c r="E32" s="80"/>
      <c r="F32" s="81" t="str">
        <f>IF(E32&gt;0,VLOOKUP(E32,'Full Price List'!$B$1:$O$1131,12,FALSE),"")</f>
        <v/>
      </c>
      <c r="J32" s="78" t="str">
        <f>IF(I32&gt;0,VLOOKUP(I32,'Full Price List'!$B$1:$O$1131,10,FALSE),"")</f>
        <v/>
      </c>
      <c r="M32" s="77"/>
      <c r="N32" s="78" t="str">
        <f>IF(M32&gt;0,VLOOKUP(M32,'Full Price List'!$B$1:$O$1131,13,FALSE),"")</f>
        <v/>
      </c>
      <c r="Q32" s="77"/>
      <c r="R32" s="78" t="str">
        <f>IF(Q32&gt;0,VLOOKUP(Q32,'Full Price List'!$B$1:$O$1131,14,FALSE),"")</f>
        <v/>
      </c>
      <c r="U32" s="82" t="str">
        <f>IF(T32&gt;0,VLOOKUP(T32,'Full Price List'!$B$1:$P$1131,15,FALSE),"")</f>
        <v/>
      </c>
      <c r="W32"/>
      <c r="X32"/>
    </row>
    <row r="33" spans="2:24" x14ac:dyDescent="0.3">
      <c r="B33" s="78" t="str">
        <f>IF(A33&gt;0,VLOOKUP(A33,'Full Price List'!$B$1:$O$1131,11,FALSE),"")</f>
        <v/>
      </c>
      <c r="E33" s="80"/>
      <c r="F33" s="81" t="str">
        <f>IF(E33&gt;0,VLOOKUP(E33,'Full Price List'!$B$1:$O$1131,12,FALSE),"")</f>
        <v/>
      </c>
      <c r="J33" s="78" t="str">
        <f>IF(I33&gt;0,VLOOKUP(I33,'Full Price List'!$B$1:$O$1131,10,FALSE),"")</f>
        <v/>
      </c>
      <c r="M33" s="77"/>
      <c r="N33" s="78" t="str">
        <f>IF(M33&gt;0,VLOOKUP(M33,'Full Price List'!$B$1:$O$1131,13,FALSE),"")</f>
        <v/>
      </c>
      <c r="Q33" s="77"/>
      <c r="R33" s="78" t="str">
        <f>IF(Q33&gt;0,VLOOKUP(Q33,'Full Price List'!$B$1:$O$1131,14,FALSE),"")</f>
        <v/>
      </c>
      <c r="U33" s="82" t="str">
        <f>IF(T33&gt;0,VLOOKUP(T33,'Full Price List'!$B$1:$P$1131,15,FALSE),"")</f>
        <v/>
      </c>
      <c r="W33"/>
      <c r="X33"/>
    </row>
    <row r="34" spans="2:24" x14ac:dyDescent="0.3">
      <c r="B34" s="78" t="str">
        <f>IF(A34&gt;0,VLOOKUP(A34,'Full Price List'!$B$1:$O$1131,11,FALSE),"")</f>
        <v/>
      </c>
      <c r="E34" s="80"/>
      <c r="F34" s="81" t="str">
        <f>IF(E34&gt;0,VLOOKUP(E34,'Full Price List'!$B$1:$O$1131,12,FALSE),"")</f>
        <v/>
      </c>
      <c r="J34" s="78" t="str">
        <f>IF(I34&gt;0,VLOOKUP(I34,'Full Price List'!$B$1:$O$1131,10,FALSE),"")</f>
        <v/>
      </c>
      <c r="M34" s="77"/>
      <c r="N34" s="78" t="str">
        <f>IF(M34&gt;0,VLOOKUP(M34,'Full Price List'!$B$1:$O$1131,13,FALSE),"")</f>
        <v/>
      </c>
      <c r="Q34" s="77"/>
      <c r="R34" s="78" t="str">
        <f>IF(Q34&gt;0,VLOOKUP(Q34,'Full Price List'!$B$1:$O$1131,14,FALSE),"")</f>
        <v/>
      </c>
      <c r="U34" s="82" t="str">
        <f>IF(T34&gt;0,VLOOKUP(T34,'Full Price List'!$B$1:$P$1131,15,FALSE),"")</f>
        <v/>
      </c>
      <c r="W34"/>
      <c r="X34"/>
    </row>
    <row r="35" spans="2:24" x14ac:dyDescent="0.3">
      <c r="B35" s="78" t="str">
        <f>IF(A35&gt;0,VLOOKUP(A35,'Full Price List'!$B$1:$O$1131,11,FALSE),"")</f>
        <v/>
      </c>
      <c r="E35" s="80"/>
      <c r="F35" s="81" t="str">
        <f>IF(E35&gt;0,VLOOKUP(E35,'Full Price List'!$B$1:$O$1131,12,FALSE),"")</f>
        <v/>
      </c>
      <c r="J35" s="78" t="str">
        <f>IF(I35&gt;0,VLOOKUP(I35,'Full Price List'!$B$1:$O$1131,10,FALSE),"")</f>
        <v/>
      </c>
      <c r="M35" s="77"/>
      <c r="N35" s="78" t="str">
        <f>IF(M35&gt;0,VLOOKUP(M35,'Full Price List'!$B$1:$O$1131,13,FALSE),"")</f>
        <v/>
      </c>
      <c r="Q35" s="77"/>
      <c r="R35" s="78" t="str">
        <f>IF(Q35&gt;0,VLOOKUP(Q35,'Full Price List'!$B$1:$O$1131,14,FALSE),"")</f>
        <v/>
      </c>
      <c r="U35" s="82" t="str">
        <f>IF(T35&gt;0,VLOOKUP(T35,'Full Price List'!$B$1:$P$1131,15,FALSE),"")</f>
        <v/>
      </c>
      <c r="W35"/>
      <c r="X35"/>
    </row>
    <row r="36" spans="2:24" x14ac:dyDescent="0.3">
      <c r="B36" s="78" t="str">
        <f>IF(A36&gt;0,VLOOKUP(A36,'Full Price List'!$B$1:$O$1131,11,FALSE),"")</f>
        <v/>
      </c>
      <c r="E36" s="80"/>
      <c r="F36" s="81" t="str">
        <f>IF(E36&gt;0,VLOOKUP(E36,'Full Price List'!$B$1:$O$1131,12,FALSE),"")</f>
        <v/>
      </c>
      <c r="J36" s="78" t="str">
        <f>IF(I36&gt;0,VLOOKUP(I36,'Full Price List'!$B$1:$O$1131,10,FALSE),"")</f>
        <v/>
      </c>
      <c r="M36" s="77"/>
      <c r="N36" s="78" t="str">
        <f>IF(M36&gt;0,VLOOKUP(M36,'Full Price List'!$B$1:$O$1131,13,FALSE),"")</f>
        <v/>
      </c>
      <c r="Q36" s="77"/>
      <c r="R36" s="78" t="str">
        <f>IF(Q36&gt;0,VLOOKUP(Q36,'Full Price List'!$B$1:$O$1131,14,FALSE),"")</f>
        <v/>
      </c>
      <c r="U36" s="82" t="str">
        <f>IF(T36&gt;0,VLOOKUP(T36,'Full Price List'!$B$1:$P$1131,15,FALSE),"")</f>
        <v/>
      </c>
      <c r="W36"/>
      <c r="X36"/>
    </row>
    <row r="37" spans="2:24" x14ac:dyDescent="0.3">
      <c r="B37" s="78" t="str">
        <f>IF(A37&gt;0,VLOOKUP(A37,'Full Price List'!$B$1:$O$1131,11,FALSE),"")</f>
        <v/>
      </c>
      <c r="E37" s="80"/>
      <c r="F37" s="81" t="str">
        <f>IF(E37&gt;0,VLOOKUP(E37,'Full Price List'!$B$1:$O$1131,12,FALSE),"")</f>
        <v/>
      </c>
      <c r="J37" s="78" t="str">
        <f>IF(I37&gt;0,VLOOKUP(I37,'Full Price List'!$B$1:$O$1131,10,FALSE),"")</f>
        <v/>
      </c>
      <c r="M37" s="77"/>
      <c r="N37" s="78" t="str">
        <f>IF(M37&gt;0,VLOOKUP(M37,'Full Price List'!$B$1:$O$1131,13,FALSE),"")</f>
        <v/>
      </c>
      <c r="Q37" s="77"/>
      <c r="R37" s="78" t="str">
        <f>IF(Q37&gt;0,VLOOKUP(Q37,'Full Price List'!$B$1:$O$1131,14,FALSE),"")</f>
        <v/>
      </c>
      <c r="U37" s="82" t="str">
        <f>IF(T37&gt;0,VLOOKUP(T37,'Full Price List'!$B$1:$P$1131,15,FALSE),"")</f>
        <v/>
      </c>
      <c r="W37"/>
      <c r="X37"/>
    </row>
    <row r="38" spans="2:24" x14ac:dyDescent="0.3">
      <c r="B38" s="78" t="str">
        <f>IF(A38&gt;0,VLOOKUP(A38,'Full Price List'!$B$1:$O$1131,11,FALSE),"")</f>
        <v/>
      </c>
      <c r="E38" s="80"/>
      <c r="F38" s="81" t="str">
        <f>IF(E38&gt;0,VLOOKUP(E38,'Full Price List'!$B$1:$O$1131,12,FALSE),"")</f>
        <v/>
      </c>
      <c r="J38" s="78" t="str">
        <f>IF(I38&gt;0,VLOOKUP(I38,'Full Price List'!$B$1:$O$1131,10,FALSE),"")</f>
        <v/>
      </c>
      <c r="M38" s="77"/>
      <c r="N38" s="78" t="str">
        <f>IF(M38&gt;0,VLOOKUP(M38,'Full Price List'!$B$1:$O$1131,13,FALSE),"")</f>
        <v/>
      </c>
      <c r="Q38" s="77"/>
      <c r="R38" s="78" t="str">
        <f>IF(Q38&gt;0,VLOOKUP(Q38,'Full Price List'!$B$1:$O$1131,14,FALSE),"")</f>
        <v/>
      </c>
      <c r="U38" s="82" t="str">
        <f>IF(T38&gt;0,VLOOKUP(T38,'Full Price List'!$B$1:$P$1131,15,FALSE),"")</f>
        <v/>
      </c>
      <c r="W38"/>
      <c r="X38"/>
    </row>
    <row r="39" spans="2:24" x14ac:dyDescent="0.3">
      <c r="B39" s="78" t="str">
        <f>IF(A39&gt;0,VLOOKUP(A39,'Full Price List'!$B$1:$O$1131,11,FALSE),"")</f>
        <v/>
      </c>
      <c r="E39" s="80"/>
      <c r="F39" s="81" t="str">
        <f>IF(E39&gt;0,VLOOKUP(E39,'Full Price List'!$B$1:$O$1131,12,FALSE),"")</f>
        <v/>
      </c>
      <c r="J39" s="78" t="str">
        <f>IF(I39&gt;0,VLOOKUP(I39,'Full Price List'!$B$1:$O$1131,10,FALSE),"")</f>
        <v/>
      </c>
      <c r="M39" s="77"/>
      <c r="N39" s="78" t="str">
        <f>IF(M39&gt;0,VLOOKUP(M39,'Full Price List'!$B$1:$O$1131,13,FALSE),"")</f>
        <v/>
      </c>
      <c r="Q39" s="77"/>
      <c r="R39" s="78" t="str">
        <f>IF(Q39&gt;0,VLOOKUP(Q39,'Full Price List'!$B$1:$O$1131,14,FALSE),"")</f>
        <v/>
      </c>
      <c r="U39" s="82" t="str">
        <f>IF(T39&gt;0,VLOOKUP(T39,'Full Price List'!$B$1:$P$1131,15,FALSE),"")</f>
        <v/>
      </c>
      <c r="W39"/>
      <c r="X39"/>
    </row>
    <row r="40" spans="2:24" x14ac:dyDescent="0.3">
      <c r="B40" s="78" t="str">
        <f>IF(A40&gt;0,VLOOKUP(A40,'Full Price List'!$B$1:$O$1131,11,FALSE),"")</f>
        <v/>
      </c>
      <c r="E40" s="80"/>
      <c r="F40" s="81" t="str">
        <f>IF(E40&gt;0,VLOOKUP(E40,'Full Price List'!$B$1:$O$1131,12,FALSE),"")</f>
        <v/>
      </c>
      <c r="J40" s="78" t="str">
        <f>IF(I40&gt;0,VLOOKUP(I40,'Full Price List'!$B$1:$O$1131,10,FALSE),"")</f>
        <v/>
      </c>
      <c r="M40" s="77"/>
      <c r="N40" s="78" t="str">
        <f>IF(M40&gt;0,VLOOKUP(M40,'Full Price List'!$B$1:$O$1131,13,FALSE),"")</f>
        <v/>
      </c>
      <c r="Q40" s="77"/>
      <c r="R40" s="78" t="str">
        <f>IF(Q40&gt;0,VLOOKUP(Q40,'Full Price List'!$B$1:$O$1131,14,FALSE),"")</f>
        <v/>
      </c>
      <c r="U40" s="82" t="str">
        <f>IF(T40&gt;0,VLOOKUP(T40,'Full Price List'!$B$1:$P$1131,15,FALSE),"")</f>
        <v/>
      </c>
      <c r="W40"/>
      <c r="X40"/>
    </row>
    <row r="41" spans="2:24" x14ac:dyDescent="0.3">
      <c r="B41" s="78" t="str">
        <f>IF(A41&gt;0,VLOOKUP(A41,'Full Price List'!$B$1:$O$1131,11,FALSE),"")</f>
        <v/>
      </c>
      <c r="E41" s="80"/>
      <c r="F41" s="81" t="str">
        <f>IF(E41&gt;0,VLOOKUP(E41,'Full Price List'!$B$1:$O$1131,12,FALSE),"")</f>
        <v/>
      </c>
      <c r="J41" s="78" t="str">
        <f>IF(I41&gt;0,VLOOKUP(I41,'Full Price List'!$B$1:$O$1131,10,FALSE),"")</f>
        <v/>
      </c>
      <c r="M41" s="77"/>
      <c r="N41" s="78" t="str">
        <f>IF(M41&gt;0,VLOOKUP(M41,'Full Price List'!$B$1:$O$1131,13,FALSE),"")</f>
        <v/>
      </c>
      <c r="Q41" s="77"/>
      <c r="R41" s="78" t="str">
        <f>IF(Q41&gt;0,VLOOKUP(Q41,'Full Price List'!$B$1:$O$1131,14,FALSE),"")</f>
        <v/>
      </c>
      <c r="U41" s="82" t="str">
        <f>IF(T41&gt;0,VLOOKUP(T41,'Full Price List'!$B$1:$P$1131,15,FALSE),"")</f>
        <v/>
      </c>
      <c r="W41"/>
      <c r="X41"/>
    </row>
    <row r="42" spans="2:24" x14ac:dyDescent="0.3">
      <c r="B42" s="78" t="str">
        <f>IF(A42&gt;0,VLOOKUP(A42,'Full Price List'!$B$1:$O$1131,11,FALSE),"")</f>
        <v/>
      </c>
      <c r="E42" s="80"/>
      <c r="F42" s="81" t="str">
        <f>IF(E42&gt;0,VLOOKUP(E42,'Full Price List'!$B$1:$O$1131,12,FALSE),"")</f>
        <v/>
      </c>
      <c r="J42" s="78" t="str">
        <f>IF(I42&gt;0,VLOOKUP(I42,'Full Price List'!$B$1:$O$1131,10,FALSE),"")</f>
        <v/>
      </c>
      <c r="M42" s="77"/>
      <c r="N42" s="78" t="str">
        <f>IF(M42&gt;0,VLOOKUP(M42,'Full Price List'!$B$1:$O$1131,13,FALSE),"")</f>
        <v/>
      </c>
      <c r="Q42" s="77"/>
      <c r="R42" s="78" t="str">
        <f>IF(Q42&gt;0,VLOOKUP(Q42,'Full Price List'!$B$1:$O$1131,14,FALSE),"")</f>
        <v/>
      </c>
      <c r="U42" s="82" t="str">
        <f>IF(T42&gt;0,VLOOKUP(T42,'Full Price List'!$B$1:$P$1131,15,FALSE),"")</f>
        <v/>
      </c>
      <c r="W42"/>
      <c r="X42"/>
    </row>
    <row r="43" spans="2:24" x14ac:dyDescent="0.3">
      <c r="B43" s="78" t="str">
        <f>IF(A43&gt;0,VLOOKUP(A43,'Full Price List'!$B$1:$O$1131,11,FALSE),"")</f>
        <v/>
      </c>
      <c r="E43" s="80"/>
      <c r="F43" s="81" t="str">
        <f>IF(E43&gt;0,VLOOKUP(E43,'Full Price List'!$B$1:$O$1131,12,FALSE),"")</f>
        <v/>
      </c>
      <c r="J43" s="78" t="str">
        <f>IF(I43&gt;0,VLOOKUP(I43,'Full Price List'!$B$1:$O$1131,10,FALSE),"")</f>
        <v/>
      </c>
      <c r="M43" s="77"/>
      <c r="N43" s="78" t="str">
        <f>IF(M43&gt;0,VLOOKUP(M43,'Full Price List'!$B$1:$O$1131,13,FALSE),"")</f>
        <v/>
      </c>
      <c r="Q43" s="77"/>
      <c r="R43" s="78" t="str">
        <f>IF(Q43&gt;0,VLOOKUP(Q43,'Full Price List'!$B$1:$O$1131,14,FALSE),"")</f>
        <v/>
      </c>
      <c r="U43" s="82" t="str">
        <f>IF(T43&gt;0,VLOOKUP(T43,'Full Price List'!$B$1:$P$1131,15,FALSE),"")</f>
        <v/>
      </c>
      <c r="W43"/>
      <c r="X43"/>
    </row>
    <row r="44" spans="2:24" x14ac:dyDescent="0.3">
      <c r="B44" s="78" t="str">
        <f>IF(A44&gt;0,VLOOKUP(A44,'Full Price List'!$B$1:$O$1131,11,FALSE),"")</f>
        <v/>
      </c>
      <c r="E44" s="80"/>
      <c r="F44" s="81" t="str">
        <f>IF(E44&gt;0,VLOOKUP(E44,'Full Price List'!$B$1:$O$1131,12,FALSE),"")</f>
        <v/>
      </c>
      <c r="J44" s="78" t="str">
        <f>IF(I44&gt;0,VLOOKUP(I44,'Full Price List'!$B$1:$O$1131,10,FALSE),"")</f>
        <v/>
      </c>
      <c r="M44" s="77"/>
      <c r="N44" s="78" t="str">
        <f>IF(M44&gt;0,VLOOKUP(M44,'Full Price List'!$B$1:$O$1131,13,FALSE),"")</f>
        <v/>
      </c>
      <c r="Q44" s="77"/>
      <c r="R44" s="78" t="str">
        <f>IF(Q44&gt;0,VLOOKUP(Q44,'Full Price List'!$B$1:$O$1131,14,FALSE),"")</f>
        <v/>
      </c>
      <c r="U44" s="82" t="str">
        <f>IF(T44&gt;0,VLOOKUP(T44,'Full Price List'!$B$1:$P$1131,15,FALSE),"")</f>
        <v/>
      </c>
      <c r="W44"/>
      <c r="X44"/>
    </row>
    <row r="45" spans="2:24" x14ac:dyDescent="0.3">
      <c r="B45" s="78" t="str">
        <f>IF(A45&gt;0,VLOOKUP(A45,'Full Price List'!$B$1:$O$1131,11,FALSE),"")</f>
        <v/>
      </c>
      <c r="E45" s="80"/>
      <c r="F45" s="81" t="str">
        <f>IF(E45&gt;0,VLOOKUP(E45,'Full Price List'!$B$1:$O$1131,12,FALSE),"")</f>
        <v/>
      </c>
      <c r="J45" s="78" t="str">
        <f>IF(I45&gt;0,VLOOKUP(I45,'Full Price List'!$B$1:$O$1131,10,FALSE),"")</f>
        <v/>
      </c>
      <c r="M45" s="77"/>
      <c r="N45" s="78" t="str">
        <f>IF(M45&gt;0,VLOOKUP(M45,'Full Price List'!$B$1:$O$1131,13,FALSE),"")</f>
        <v/>
      </c>
      <c r="Q45" s="77"/>
      <c r="R45" s="78" t="str">
        <f>IF(Q45&gt;0,VLOOKUP(Q45,'Full Price List'!$B$1:$O$1131,14,FALSE),"")</f>
        <v/>
      </c>
      <c r="U45" s="82" t="str">
        <f>IF(T45&gt;0,VLOOKUP(T45,'Full Price List'!$B$1:$P$1131,15,FALSE),"")</f>
        <v/>
      </c>
      <c r="W45"/>
      <c r="X45"/>
    </row>
    <row r="46" spans="2:24" x14ac:dyDescent="0.3">
      <c r="B46" s="78" t="str">
        <f>IF(A46&gt;0,VLOOKUP(A46,'Full Price List'!$B$1:$O$1131,11,FALSE),"")</f>
        <v/>
      </c>
      <c r="E46" s="80"/>
      <c r="F46" s="81" t="str">
        <f>IF(E46&gt;0,VLOOKUP(E46,'Full Price List'!$B$1:$O$1131,12,FALSE),"")</f>
        <v/>
      </c>
      <c r="J46" s="78" t="str">
        <f>IF(I46&gt;0,VLOOKUP(I46,'Full Price List'!$B$1:$O$1131,10,FALSE),"")</f>
        <v/>
      </c>
      <c r="M46" s="77"/>
      <c r="N46" s="78" t="str">
        <f>IF(M46&gt;0,VLOOKUP(M46,'Full Price List'!$B$1:$O$1131,13,FALSE),"")</f>
        <v/>
      </c>
      <c r="Q46" s="77"/>
      <c r="R46" s="78" t="str">
        <f>IF(Q46&gt;0,VLOOKUP(Q46,'Full Price List'!$B$1:$O$1131,14,FALSE),"")</f>
        <v/>
      </c>
      <c r="U46" s="82" t="str">
        <f>IF(T46&gt;0,VLOOKUP(T46,'Full Price List'!$B$1:$P$1131,15,FALSE),"")</f>
        <v/>
      </c>
      <c r="W46"/>
      <c r="X46"/>
    </row>
    <row r="47" spans="2:24" x14ac:dyDescent="0.3">
      <c r="B47" s="78" t="str">
        <f>IF(A47&gt;0,VLOOKUP(A47,'Full Price List'!$B$1:$O$1131,11,FALSE),"")</f>
        <v/>
      </c>
      <c r="E47" s="80"/>
      <c r="F47" s="81" t="str">
        <f>IF(E47&gt;0,VLOOKUP(E47,'Full Price List'!$B$1:$O$1131,12,FALSE),"")</f>
        <v/>
      </c>
      <c r="J47" s="78" t="str">
        <f>IF(I47&gt;0,VLOOKUP(I47,'Full Price List'!$B$1:$O$1131,10,FALSE),"")</f>
        <v/>
      </c>
      <c r="M47" s="77"/>
      <c r="N47" s="78" t="str">
        <f>IF(M47&gt;0,VLOOKUP(M47,'Full Price List'!$B$1:$O$1131,13,FALSE),"")</f>
        <v/>
      </c>
      <c r="Q47" s="77"/>
      <c r="R47" s="78" t="str">
        <f>IF(Q47&gt;0,VLOOKUP(Q47,'Full Price List'!$B$1:$O$1131,14,FALSE),"")</f>
        <v/>
      </c>
      <c r="U47" s="82" t="str">
        <f>IF(T47&gt;0,VLOOKUP(T47,'Full Price List'!$B$1:$P$1131,15,FALSE),"")</f>
        <v/>
      </c>
      <c r="W47"/>
      <c r="X47"/>
    </row>
    <row r="48" spans="2:24" x14ac:dyDescent="0.3">
      <c r="B48" s="78" t="str">
        <f>IF(A48&gt;0,VLOOKUP(A48,'Full Price List'!$B$1:$O$1131,11,FALSE),"")</f>
        <v/>
      </c>
      <c r="E48" s="80"/>
      <c r="F48" s="81" t="str">
        <f>IF(E48&gt;0,VLOOKUP(E48,'Full Price List'!$B$1:$O$1131,12,FALSE),"")</f>
        <v/>
      </c>
      <c r="J48" s="78" t="str">
        <f>IF(I48&gt;0,VLOOKUP(I48,'Full Price List'!$B$1:$O$1131,10,FALSE),"")</f>
        <v/>
      </c>
      <c r="M48" s="77"/>
      <c r="N48" s="78" t="str">
        <f>IF(M48&gt;0,VLOOKUP(M48,'Full Price List'!$B$1:$O$1131,13,FALSE),"")</f>
        <v/>
      </c>
      <c r="Q48" s="77"/>
      <c r="R48" s="78" t="str">
        <f>IF(Q48&gt;0,VLOOKUP(Q48,'Full Price List'!$B$1:$O$1131,14,FALSE),"")</f>
        <v/>
      </c>
      <c r="U48" s="82" t="str">
        <f>IF(T48&gt;0,VLOOKUP(T48,'Full Price List'!$B$1:$P$1131,15,FALSE),"")</f>
        <v/>
      </c>
      <c r="W48"/>
      <c r="X48"/>
    </row>
    <row r="49" spans="2:24" x14ac:dyDescent="0.3">
      <c r="B49" s="78" t="str">
        <f>IF(A49&gt;0,VLOOKUP(A49,'Full Price List'!$B$1:$O$1131,11,FALSE),"")</f>
        <v/>
      </c>
      <c r="E49" s="80"/>
      <c r="F49" s="81" t="str">
        <f>IF(E49&gt;0,VLOOKUP(E49,'Full Price List'!$B$1:$O$1131,12,FALSE),"")</f>
        <v/>
      </c>
      <c r="J49" s="78" t="str">
        <f>IF(I49&gt;0,VLOOKUP(I49,'Full Price List'!$B$1:$O$1131,10,FALSE),"")</f>
        <v/>
      </c>
      <c r="M49" s="77"/>
      <c r="N49" s="78" t="str">
        <f>IF(M49&gt;0,VLOOKUP(M49,'Full Price List'!$B$1:$O$1131,13,FALSE),"")</f>
        <v/>
      </c>
      <c r="Q49" s="77"/>
      <c r="R49" s="78" t="str">
        <f>IF(Q49&gt;0,VLOOKUP(Q49,'Full Price List'!$B$1:$O$1131,14,FALSE),"")</f>
        <v/>
      </c>
      <c r="U49" s="82" t="str">
        <f>IF(T49&gt;0,VLOOKUP(T49,'Full Price List'!$B$1:$P$1131,15,FALSE),"")</f>
        <v/>
      </c>
      <c r="W49"/>
      <c r="X49"/>
    </row>
    <row r="50" spans="2:24" x14ac:dyDescent="0.3">
      <c r="B50" s="78" t="str">
        <f>IF(A50&gt;0,VLOOKUP(A50,'Full Price List'!$B$1:$O$1131,11,FALSE),"")</f>
        <v/>
      </c>
      <c r="E50" s="80"/>
      <c r="F50" s="81" t="str">
        <f>IF(E50&gt;0,VLOOKUP(E50,'Full Price List'!$B$1:$O$1131,12,FALSE),"")</f>
        <v/>
      </c>
      <c r="J50" s="78" t="str">
        <f>IF(I50&gt;0,VLOOKUP(I50,'Full Price List'!$B$1:$O$1131,10,FALSE),"")</f>
        <v/>
      </c>
      <c r="M50" s="77"/>
      <c r="N50" s="78" t="str">
        <f>IF(M50&gt;0,VLOOKUP(M50,'Full Price List'!$B$1:$O$1131,13,FALSE),"")</f>
        <v/>
      </c>
      <c r="Q50" s="77"/>
      <c r="R50" s="78" t="str">
        <f>IF(Q50&gt;0,VLOOKUP(Q50,'Full Price List'!$B$1:$O$1131,14,FALSE),"")</f>
        <v/>
      </c>
      <c r="U50" s="82" t="str">
        <f>IF(T50&gt;0,VLOOKUP(T50,'Full Price List'!$B$1:$P$1131,15,FALSE),"")</f>
        <v/>
      </c>
      <c r="W50"/>
      <c r="X50"/>
    </row>
    <row r="51" spans="2:24" x14ac:dyDescent="0.3">
      <c r="B51" s="78" t="str">
        <f>IF(A51&gt;0,VLOOKUP(A51,'Full Price List'!$B$1:$O$1131,11,FALSE),"")</f>
        <v/>
      </c>
      <c r="E51" s="80"/>
      <c r="F51" s="81" t="str">
        <f>IF(E51&gt;0,VLOOKUP(E51,'Full Price List'!$B$1:$O$1131,12,FALSE),"")</f>
        <v/>
      </c>
      <c r="J51" s="78" t="str">
        <f>IF(I51&gt;0,VLOOKUP(I51,'Full Price List'!$B$1:$O$1131,10,FALSE),"")</f>
        <v/>
      </c>
      <c r="M51" s="77"/>
      <c r="N51" s="78" t="str">
        <f>IF(M51&gt;0,VLOOKUP(M51,'Full Price List'!$B$1:$O$1131,13,FALSE),"")</f>
        <v/>
      </c>
      <c r="Q51" s="77"/>
      <c r="R51" s="78" t="str">
        <f>IF(Q51&gt;0,VLOOKUP(Q51,'Full Price List'!$B$1:$O$1131,14,FALSE),"")</f>
        <v/>
      </c>
      <c r="U51" s="82" t="str">
        <f>IF(T51&gt;0,VLOOKUP(T51,'Full Price List'!$B$1:$P$1131,15,FALSE),"")</f>
        <v/>
      </c>
      <c r="W51"/>
      <c r="X51"/>
    </row>
    <row r="52" spans="2:24" x14ac:dyDescent="0.3">
      <c r="B52" s="78" t="str">
        <f>IF(A52&gt;0,VLOOKUP(A52,'Full Price List'!$B$1:$O$1131,11,FALSE),"")</f>
        <v/>
      </c>
      <c r="E52" s="80"/>
      <c r="F52" s="81" t="str">
        <f>IF(E52&gt;0,VLOOKUP(E52,'Full Price List'!$B$1:$O$1131,12,FALSE),"")</f>
        <v/>
      </c>
      <c r="J52" s="78" t="str">
        <f>IF(I52&gt;0,VLOOKUP(I52,'Full Price List'!$B$1:$O$1131,10,FALSE),"")</f>
        <v/>
      </c>
      <c r="M52" s="77"/>
      <c r="N52" s="78" t="str">
        <f>IF(M52&gt;0,VLOOKUP(M52,'Full Price List'!$B$1:$O$1131,13,FALSE),"")</f>
        <v/>
      </c>
      <c r="Q52" s="77"/>
      <c r="R52" s="78" t="str">
        <f>IF(Q52&gt;0,VLOOKUP(Q52,'Full Price List'!$B$1:$O$1131,14,FALSE),"")</f>
        <v/>
      </c>
      <c r="U52" s="82" t="str">
        <f>IF(T52&gt;0,VLOOKUP(T52,'Full Price List'!$B$1:$P$1131,15,FALSE),"")</f>
        <v/>
      </c>
      <c r="W52"/>
      <c r="X52"/>
    </row>
    <row r="53" spans="2:24" x14ac:dyDescent="0.3">
      <c r="B53" s="78" t="str">
        <f>IF(A53&gt;0,VLOOKUP(A53,'Full Price List'!$B$1:$O$1131,11,FALSE),"")</f>
        <v/>
      </c>
      <c r="E53" s="80"/>
      <c r="F53" s="81" t="str">
        <f>IF(E53&gt;0,VLOOKUP(E53,'Full Price List'!$B$1:$O$1131,12,FALSE),"")</f>
        <v/>
      </c>
      <c r="J53" s="78" t="str">
        <f>IF(I53&gt;0,VLOOKUP(I53,'Full Price List'!$B$1:$O$1131,10,FALSE),"")</f>
        <v/>
      </c>
      <c r="M53" s="77"/>
      <c r="N53" s="78" t="str">
        <f>IF(M53&gt;0,VLOOKUP(M53,'Full Price List'!$B$1:$O$1131,13,FALSE),"")</f>
        <v/>
      </c>
      <c r="Q53" s="77"/>
      <c r="R53" s="78" t="str">
        <f>IF(Q53&gt;0,VLOOKUP(Q53,'Full Price List'!$B$1:$O$1131,14,FALSE),"")</f>
        <v/>
      </c>
      <c r="U53" s="82" t="str">
        <f>IF(T53&gt;0,VLOOKUP(T53,'Full Price List'!$B$1:$P$1131,15,FALSE),"")</f>
        <v/>
      </c>
      <c r="W53"/>
      <c r="X53"/>
    </row>
    <row r="54" spans="2:24" x14ac:dyDescent="0.3">
      <c r="B54" s="78" t="str">
        <f>IF(A54&gt;0,VLOOKUP(A54,'Full Price List'!$B$1:$O$1131,11,FALSE),"")</f>
        <v/>
      </c>
      <c r="E54" s="80"/>
      <c r="F54" s="81" t="str">
        <f>IF(E54&gt;0,VLOOKUP(E54,'Full Price List'!$B$1:$O$1131,12,FALSE),"")</f>
        <v/>
      </c>
      <c r="J54" s="78" t="str">
        <f>IF(I54&gt;0,VLOOKUP(I54,'Full Price List'!$B$1:$O$1131,10,FALSE),"")</f>
        <v/>
      </c>
      <c r="M54" s="77"/>
      <c r="N54" s="78" t="str">
        <f>IF(M54&gt;0,VLOOKUP(M54,'Full Price List'!$B$1:$O$1131,13,FALSE),"")</f>
        <v/>
      </c>
      <c r="Q54" s="77"/>
      <c r="R54" s="78" t="str">
        <f>IF(Q54&gt;0,VLOOKUP(Q54,'Full Price List'!$B$1:$O$1131,14,FALSE),"")</f>
        <v/>
      </c>
      <c r="U54" s="82" t="str">
        <f>IF(T54&gt;0,VLOOKUP(T54,'Full Price List'!$B$1:$P$1131,15,FALSE),"")</f>
        <v/>
      </c>
      <c r="W54"/>
      <c r="X54"/>
    </row>
    <row r="55" spans="2:24" x14ac:dyDescent="0.3">
      <c r="B55" s="78" t="str">
        <f>IF(A55&gt;0,VLOOKUP(A55,'Full Price List'!$B$1:$O$1131,11,FALSE),"")</f>
        <v/>
      </c>
      <c r="E55" s="80"/>
      <c r="F55" s="81" t="str">
        <f>IF(E55&gt;0,VLOOKUP(E55,'Full Price List'!$B$1:$O$1131,12,FALSE),"")</f>
        <v/>
      </c>
      <c r="J55" s="78" t="str">
        <f>IF(I55&gt;0,VLOOKUP(I55,'Full Price List'!$B$1:$O$1131,10,FALSE),"")</f>
        <v/>
      </c>
      <c r="M55" s="77"/>
      <c r="N55" s="78" t="str">
        <f>IF(M55&gt;0,VLOOKUP(M55,'Full Price List'!$B$1:$O$1131,13,FALSE),"")</f>
        <v/>
      </c>
      <c r="Q55" s="77"/>
      <c r="R55" s="78" t="str">
        <f>IF(Q55&gt;0,VLOOKUP(Q55,'Full Price List'!$B$1:$O$1131,14,FALSE),"")</f>
        <v/>
      </c>
      <c r="U55" s="82" t="str">
        <f>IF(T55&gt;0,VLOOKUP(T55,'Full Price List'!$B$1:$P$1131,15,FALSE),"")</f>
        <v/>
      </c>
      <c r="W55"/>
      <c r="X55"/>
    </row>
    <row r="56" spans="2:24" x14ac:dyDescent="0.3">
      <c r="B56" s="78" t="str">
        <f>IF(A56&gt;0,VLOOKUP(A56,'Full Price List'!$B$1:$O$1131,11,FALSE),"")</f>
        <v/>
      </c>
      <c r="E56" s="80"/>
      <c r="F56" s="81" t="str">
        <f>IF(E56&gt;0,VLOOKUP(E56,'Full Price List'!$B$1:$O$1131,12,FALSE),"")</f>
        <v/>
      </c>
      <c r="J56" s="78" t="str">
        <f>IF(I56&gt;0,VLOOKUP(I56,'Full Price List'!$B$1:$O$1131,10,FALSE),"")</f>
        <v/>
      </c>
      <c r="M56" s="77"/>
      <c r="N56" s="78" t="str">
        <f>IF(M56&gt;0,VLOOKUP(M56,'Full Price List'!$B$1:$O$1131,13,FALSE),"")</f>
        <v/>
      </c>
      <c r="Q56" s="77"/>
      <c r="R56" s="78" t="str">
        <f>IF(Q56&gt;0,VLOOKUP(Q56,'Full Price List'!$B$1:$O$1131,14,FALSE),"")</f>
        <v/>
      </c>
      <c r="U56" s="82" t="str">
        <f>IF(T56&gt;0,VLOOKUP(T56,'Full Price List'!$B$1:$P$1131,15,FALSE),"")</f>
        <v/>
      </c>
      <c r="W56"/>
      <c r="X56"/>
    </row>
    <row r="57" spans="2:24" x14ac:dyDescent="0.3">
      <c r="B57" s="78" t="str">
        <f>IF(A57&gt;0,VLOOKUP(A57,'Full Price List'!$B$1:$O$1131,11,FALSE),"")</f>
        <v/>
      </c>
      <c r="E57" s="80"/>
      <c r="F57" s="81" t="str">
        <f>IF(E57&gt;0,VLOOKUP(E57,'Full Price List'!$B$1:$O$1131,12,FALSE),"")</f>
        <v/>
      </c>
      <c r="J57" s="78" t="str">
        <f>IF(I57&gt;0,VLOOKUP(I57,'Full Price List'!$B$1:$O$1131,10,FALSE),"")</f>
        <v/>
      </c>
      <c r="M57" s="77"/>
      <c r="N57" s="78" t="str">
        <f>IF(M57&gt;0,VLOOKUP(M57,'Full Price List'!$B$1:$O$1131,13,FALSE),"")</f>
        <v/>
      </c>
      <c r="Q57" s="77"/>
      <c r="R57" s="78" t="str">
        <f>IF(Q57&gt;0,VLOOKUP(Q57,'Full Price List'!$B$1:$O$1131,14,FALSE),"")</f>
        <v/>
      </c>
      <c r="U57" s="82" t="str">
        <f>IF(T57&gt;0,VLOOKUP(T57,'Full Price List'!$B$1:$P$1131,15,FALSE),"")</f>
        <v/>
      </c>
      <c r="W57"/>
      <c r="X57"/>
    </row>
    <row r="58" spans="2:24" x14ac:dyDescent="0.3">
      <c r="B58" s="78" t="str">
        <f>IF(A58&gt;0,VLOOKUP(A58,'Full Price List'!$B$1:$O$1131,11,FALSE),"")</f>
        <v/>
      </c>
      <c r="E58" s="80"/>
      <c r="F58" s="81" t="str">
        <f>IF(E58&gt;0,VLOOKUP(E58,'Full Price List'!$B$1:$O$1131,12,FALSE),"")</f>
        <v/>
      </c>
      <c r="J58" s="78" t="str">
        <f>IF(I58&gt;0,VLOOKUP(I58,'Full Price List'!$B$1:$O$1131,10,FALSE),"")</f>
        <v/>
      </c>
      <c r="M58" s="77"/>
      <c r="N58" s="78" t="str">
        <f>IF(M58&gt;0,VLOOKUP(M58,'Full Price List'!$B$1:$O$1131,13,FALSE),"")</f>
        <v/>
      </c>
      <c r="Q58" s="77"/>
      <c r="R58" s="78" t="str">
        <f>IF(Q58&gt;0,VLOOKUP(Q58,'Full Price List'!$B$1:$O$1131,14,FALSE),"")</f>
        <v/>
      </c>
      <c r="U58" s="82" t="str">
        <f>IF(T58&gt;0,VLOOKUP(T58,'Full Price List'!$B$1:$P$1131,15,FALSE),"")</f>
        <v/>
      </c>
      <c r="W58"/>
      <c r="X58"/>
    </row>
    <row r="59" spans="2:24" x14ac:dyDescent="0.3">
      <c r="B59" s="78" t="str">
        <f>IF(A59&gt;0,VLOOKUP(A59,'Full Price List'!$B$1:$O$1131,11,FALSE),"")</f>
        <v/>
      </c>
      <c r="E59" s="80"/>
      <c r="F59" s="81" t="str">
        <f>IF(E59&gt;0,VLOOKUP(E59,'Full Price List'!$B$1:$O$1131,12,FALSE),"")</f>
        <v/>
      </c>
      <c r="J59" s="78" t="str">
        <f>IF(I59&gt;0,VLOOKUP(I59,'Full Price List'!$B$1:$O$1131,10,FALSE),"")</f>
        <v/>
      </c>
      <c r="M59" s="77"/>
      <c r="N59" s="78" t="str">
        <f>IF(M59&gt;0,VLOOKUP(M59,'Full Price List'!$B$1:$O$1131,13,FALSE),"")</f>
        <v/>
      </c>
      <c r="Q59" s="77"/>
      <c r="R59" s="78" t="str">
        <f>IF(Q59&gt;0,VLOOKUP(Q59,'Full Price List'!$B$1:$O$1131,14,FALSE),"")</f>
        <v/>
      </c>
      <c r="U59" s="82" t="str">
        <f>IF(T59&gt;0,VLOOKUP(T59,'Full Price List'!$B$1:$P$1131,15,FALSE),"")</f>
        <v/>
      </c>
      <c r="W59"/>
      <c r="X59"/>
    </row>
    <row r="60" spans="2:24" x14ac:dyDescent="0.3">
      <c r="B60" s="78" t="str">
        <f>IF(A60&gt;0,VLOOKUP(A60,'Full Price List'!$B$1:$O$1131,11,FALSE),"")</f>
        <v/>
      </c>
      <c r="E60" s="80"/>
      <c r="F60" s="81" t="str">
        <f>IF(E60&gt;0,VLOOKUP(E60,'Full Price List'!$B$1:$O$1131,12,FALSE),"")</f>
        <v/>
      </c>
      <c r="J60" s="78" t="str">
        <f>IF(I60&gt;0,VLOOKUP(I60,'Full Price List'!$B$1:$O$1131,10,FALSE),"")</f>
        <v/>
      </c>
      <c r="M60" s="77"/>
      <c r="N60" s="78" t="str">
        <f>IF(M60&gt;0,VLOOKUP(M60,'Full Price List'!$B$1:$O$1131,13,FALSE),"")</f>
        <v/>
      </c>
      <c r="Q60" s="77"/>
      <c r="R60" s="78" t="str">
        <f>IF(Q60&gt;0,VLOOKUP(Q60,'Full Price List'!$B$1:$O$1131,14,FALSE),"")</f>
        <v/>
      </c>
      <c r="U60" s="82" t="str">
        <f>IF(T60&gt;0,VLOOKUP(T60,'Full Price List'!$B$1:$P$1131,15,FALSE),"")</f>
        <v/>
      </c>
      <c r="W60"/>
      <c r="X60"/>
    </row>
    <row r="61" spans="2:24" x14ac:dyDescent="0.3">
      <c r="B61" s="78">
        <f>SUBTOTAL(109,Table18[Wsp])</f>
        <v>0</v>
      </c>
      <c r="E61" s="80"/>
      <c r="F61" s="81">
        <f>SUBTOTAL(109,Table19[Mrp])</f>
        <v>0</v>
      </c>
      <c r="J61" s="78">
        <f>SUBTOTAL(109,Table21[Net Price Credit])</f>
        <v>0</v>
      </c>
      <c r="M61" s="77"/>
      <c r="N61" s="78">
        <f>SUBTOTAL(109,Table8[Net Price Cash])</f>
        <v>0</v>
      </c>
      <c r="Q61" s="77"/>
      <c r="R61" s="78">
        <f>SUBTOTAL(109,Table10[South])</f>
        <v>0</v>
      </c>
      <c r="T61" s="77" t="s">
        <v>801</v>
      </c>
      <c r="U61" s="83">
        <f>SUBTOTAL(109,Table9[Amazon])</f>
        <v>0</v>
      </c>
      <c r="W61"/>
      <c r="X61"/>
    </row>
  </sheetData>
  <sheetProtection sheet="1" objects="1" scenarios="1"/>
  <pageMargins left="0.7" right="0.7" top="0.75" bottom="0.75" header="0.3" footer="0.3"/>
  <pageSetup paperSize="159" orientation="portrait" horizontalDpi="240" verticalDpi="144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FC73D-E28B-4B5B-A557-E3BAAE6AACBF}">
  <dimension ref="A1:J33"/>
  <sheetViews>
    <sheetView workbookViewId="0">
      <selection activeCell="A2" sqref="A2"/>
    </sheetView>
  </sheetViews>
  <sheetFormatPr defaultRowHeight="15" x14ac:dyDescent="0.25"/>
  <cols>
    <col min="1" max="1" width="11" style="48" customWidth="1"/>
    <col min="2" max="2" width="11" style="50" customWidth="1"/>
    <col min="3" max="3" width="11" customWidth="1"/>
    <col min="4" max="4" width="11" style="14" customWidth="1"/>
    <col min="5" max="5" width="11.42578125" style="14" bestFit="1" customWidth="1"/>
    <col min="6" max="6" width="11" style="14" customWidth="1"/>
    <col min="7" max="7" width="11" customWidth="1"/>
  </cols>
  <sheetData>
    <row r="1" spans="1:10" x14ac:dyDescent="0.25">
      <c r="A1" s="67" t="s">
        <v>696</v>
      </c>
      <c r="B1" s="67" t="s">
        <v>802</v>
      </c>
      <c r="C1" s="67" t="s">
        <v>427</v>
      </c>
      <c r="D1" s="67" t="s">
        <v>803</v>
      </c>
      <c r="E1" s="67" t="str">
        <f>IF(AND(ISNUMBER(E2),E2&gt;0),"Net Price","Tax")</f>
        <v>Tax</v>
      </c>
      <c r="F1" s="67" t="s">
        <v>801</v>
      </c>
      <c r="H1" t="s">
        <v>432</v>
      </c>
      <c r="I1" t="s">
        <v>804</v>
      </c>
      <c r="J1" s="54"/>
    </row>
    <row r="2" spans="1:10" x14ac:dyDescent="0.25">
      <c r="A2" s="49"/>
      <c r="B2" s="51"/>
      <c r="C2" t="str">
        <f>IFERROR(PROPER(VLOOKUP(A2,#REF!,2,FALSE)),"")</f>
        <v/>
      </c>
      <c r="D2" s="14" t="str">
        <f>IF(A2&lt;&gt;"",VLOOKUP(A2,'Full Price List'!$B$2:$O$2076,12,FALSE),"")</f>
        <v/>
      </c>
      <c r="E2" s="14" t="str">
        <f>IF(AND($J$1&lt;&gt;"",A2&lt;&gt;""),
   CEILING(
      VLOOKUP(A2,#REF!,12,FALSE) * (1 - $J$1/IF($J$1&gt;=1,100,1)),
      5
   ),
   ""
)</f>
        <v/>
      </c>
      <c r="F2" s="14" t="str">
        <f t="shared" ref="F2:F30" si="0">IF(A2&lt;&gt;"",
   IF(E2&lt;&gt;"",
      B2*E2,
      IF(D2&lt;&gt;"",B2*D2,"")
   ),
   ""
)</f>
        <v/>
      </c>
    </row>
    <row r="3" spans="1:10" x14ac:dyDescent="0.25">
      <c r="A3" s="49"/>
      <c r="B3" s="51"/>
      <c r="C3" t="str">
        <f>IFERROR(PROPER(VLOOKUP(A3,#REF!,2,FALSE)),"")</f>
        <v/>
      </c>
      <c r="D3" s="14" t="str">
        <f>IF(A3&lt;&gt;"",VLOOKUP(A3,'Full Price List'!$B$2:$O$2076,12,FALSE),"")</f>
        <v/>
      </c>
      <c r="E3" s="14" t="str">
        <f>IF(AND($J$1&lt;&gt;"",A3&lt;&gt;""),
   CEILING(
      VLOOKUP(A3,#REF!,12,FALSE) * (1 - $J$1/IF($J$1&gt;=1,100,1)),
      5
   ),
   ""
)</f>
        <v/>
      </c>
      <c r="F3" s="14" t="str">
        <f t="shared" si="0"/>
        <v/>
      </c>
    </row>
    <row r="4" spans="1:10" x14ac:dyDescent="0.25">
      <c r="A4" s="49"/>
      <c r="B4" s="51"/>
      <c r="C4" t="str">
        <f>IFERROR(PROPER(VLOOKUP(A4,#REF!,2,FALSE)),"")</f>
        <v/>
      </c>
      <c r="D4" s="14" t="str">
        <f>IF(A4&lt;&gt;"",VLOOKUP(A4,'Full Price List'!$B$2:$O$2076,12,FALSE),"")</f>
        <v/>
      </c>
      <c r="E4" s="14" t="str">
        <f>IF(AND($J$1&lt;&gt;"",A4&lt;&gt;""),
   CEILING(
      VLOOKUP(A4,#REF!,12,FALSE) * (1 - $J$1/IF($J$1&gt;=1,100,1)),
      5
   ),
   ""
)</f>
        <v/>
      </c>
      <c r="F4" s="14" t="str">
        <f t="shared" si="0"/>
        <v/>
      </c>
    </row>
    <row r="5" spans="1:10" x14ac:dyDescent="0.25">
      <c r="A5" s="49"/>
      <c r="B5" s="51"/>
      <c r="C5" t="str">
        <f>IFERROR(PROPER(VLOOKUP(A5,#REF!,2,FALSE)),"")</f>
        <v/>
      </c>
      <c r="D5" s="14" t="str">
        <f>IF(A5&lt;&gt;"",VLOOKUP(A5,'Full Price List'!$B$2:$O$2076,12,FALSE),"")</f>
        <v/>
      </c>
      <c r="E5" s="14" t="str">
        <f>IF(AND($J$1&lt;&gt;"",A5&lt;&gt;""),
   CEILING(
      VLOOKUP(A5,#REF!,12,FALSE) * (1 - $J$1/IF($J$1&gt;=1,100,1)),
      5
   ),
   ""
)</f>
        <v/>
      </c>
      <c r="F5" s="14" t="str">
        <f t="shared" si="0"/>
        <v/>
      </c>
    </row>
    <row r="6" spans="1:10" x14ac:dyDescent="0.25">
      <c r="A6" s="49"/>
      <c r="B6" s="51"/>
      <c r="C6" t="str">
        <f>IFERROR(PROPER(VLOOKUP(A6,#REF!,2,FALSE)),"")</f>
        <v/>
      </c>
      <c r="D6" s="14" t="str">
        <f>IF(A6&lt;&gt;"",VLOOKUP(A6,'Full Price List'!$B$2:$O$2076,12,FALSE),"")</f>
        <v/>
      </c>
      <c r="E6" s="14" t="str">
        <f>IF(AND($J$1&lt;&gt;"",A6&lt;&gt;""),
   CEILING(
      VLOOKUP(A6,#REF!,12,FALSE) * (1 - $J$1/IF($J$1&gt;=1,100,1)),
      5
   ),
   ""
)</f>
        <v/>
      </c>
      <c r="F6" s="14" t="str">
        <f t="shared" si="0"/>
        <v/>
      </c>
    </row>
    <row r="7" spans="1:10" x14ac:dyDescent="0.25">
      <c r="A7" s="49"/>
      <c r="B7" s="51"/>
      <c r="C7" t="str">
        <f>IFERROR(PROPER(VLOOKUP(A7,#REF!,2,FALSE)),"")</f>
        <v/>
      </c>
      <c r="D7" s="14" t="str">
        <f>IF(A7&lt;&gt;"",VLOOKUP(A7,'Full Price List'!$B$2:$O$2076,12,FALSE),"")</f>
        <v/>
      </c>
      <c r="E7" s="14" t="str">
        <f>IF(AND($J$1&lt;&gt;"",A7&lt;&gt;""),
   CEILING(
      VLOOKUP(A7,#REF!,12,FALSE) * (1 - $J$1/IF($J$1&gt;=1,100,1)),
      5
   ),
   ""
)</f>
        <v/>
      </c>
      <c r="F7" s="14" t="str">
        <f t="shared" si="0"/>
        <v/>
      </c>
    </row>
    <row r="8" spans="1:10" x14ac:dyDescent="0.25">
      <c r="A8" s="49"/>
      <c r="B8" s="51"/>
      <c r="C8" t="str">
        <f>IFERROR(PROPER(VLOOKUP(A8,#REF!,2,FALSE)),"")</f>
        <v/>
      </c>
      <c r="D8" s="14" t="str">
        <f>IF(A8&lt;&gt;"",VLOOKUP(A8,'Full Price List'!$B$2:$O$2076,12,FALSE),"")</f>
        <v/>
      </c>
      <c r="E8" s="14" t="str">
        <f>IF(AND($J$1&lt;&gt;"",A8&lt;&gt;""),
   CEILING(
      VLOOKUP(A8,#REF!,12,FALSE) * (1 - $J$1/IF($J$1&gt;=1,100,1)),
      5
   ),
   ""
)</f>
        <v/>
      </c>
      <c r="F8" s="14" t="str">
        <f t="shared" si="0"/>
        <v/>
      </c>
    </row>
    <row r="9" spans="1:10" x14ac:dyDescent="0.25">
      <c r="A9" s="49"/>
      <c r="B9" s="51"/>
      <c r="C9" t="str">
        <f>IFERROR(PROPER(VLOOKUP(A9,#REF!,2,FALSE)),"")</f>
        <v/>
      </c>
      <c r="D9" s="14" t="str">
        <f>IF(A9&lt;&gt;"",VLOOKUP(A9,'Full Price List'!$B$2:$O$2076,12,FALSE),"")</f>
        <v/>
      </c>
      <c r="E9" s="14" t="str">
        <f>IF(AND($J$1&lt;&gt;"",A9&lt;&gt;""),
   CEILING(
      VLOOKUP(A9,#REF!,12,FALSE) * (1 - $J$1/IF($J$1&gt;=1,100,1)),
      5
   ),
   ""
)</f>
        <v/>
      </c>
      <c r="F9" s="14" t="str">
        <f t="shared" si="0"/>
        <v/>
      </c>
    </row>
    <row r="10" spans="1:10" x14ac:dyDescent="0.25">
      <c r="A10" s="49"/>
      <c r="B10" s="51"/>
      <c r="C10" t="str">
        <f>IFERROR(PROPER(VLOOKUP(A10,#REF!,2,FALSE)),"")</f>
        <v/>
      </c>
      <c r="D10" s="14" t="str">
        <f>IF(A10&lt;&gt;"",VLOOKUP(A10,'Full Price List'!$B$2:$O$2076,12,FALSE),"")</f>
        <v/>
      </c>
      <c r="E10" s="14" t="str">
        <f>IF(AND($J$1&lt;&gt;"",A10&lt;&gt;""),
   CEILING(
      VLOOKUP(A10,#REF!,12,FALSE) * (1 - $J$1/IF($J$1&gt;=1,100,1)),
      5
   ),
   ""
)</f>
        <v/>
      </c>
      <c r="F10" s="14" t="str">
        <f t="shared" si="0"/>
        <v/>
      </c>
    </row>
    <row r="11" spans="1:10" x14ac:dyDescent="0.25">
      <c r="A11" s="49"/>
      <c r="B11" s="51"/>
      <c r="C11" t="str">
        <f>IFERROR(PROPER(VLOOKUP(A11,#REF!,2,FALSE)),"")</f>
        <v/>
      </c>
      <c r="D11" s="14" t="str">
        <f>IF(A11&lt;&gt;"",VLOOKUP(A11,'Full Price List'!$B$2:$O$2076,12,FALSE),"")</f>
        <v/>
      </c>
      <c r="E11" s="14" t="str">
        <f>IF(AND($J$1&lt;&gt;"",A11&lt;&gt;""),
   CEILING(
      VLOOKUP(A11,#REF!,12,FALSE) * (1 - $J$1/IF($J$1&gt;=1,100,1)),
      5
   ),
   ""
)</f>
        <v/>
      </c>
      <c r="F11" s="14" t="str">
        <f t="shared" si="0"/>
        <v/>
      </c>
    </row>
    <row r="12" spans="1:10" x14ac:dyDescent="0.25">
      <c r="A12" s="49"/>
      <c r="B12" s="51"/>
      <c r="C12" t="str">
        <f>IFERROR(PROPER(VLOOKUP(A12,#REF!,2,FALSE)),"")</f>
        <v/>
      </c>
      <c r="D12" s="14" t="str">
        <f>IF(A12&lt;&gt;"",VLOOKUP(A12,'Full Price List'!$B$2:$O$2076,12,FALSE),"")</f>
        <v/>
      </c>
      <c r="E12" s="14" t="str">
        <f>IF(AND($J$1&lt;&gt;"",A12&lt;&gt;""),
   CEILING(
      VLOOKUP(A12,#REF!,12,FALSE) * (1 - $J$1/IF($J$1&gt;=1,100,1)),
      5
   ),
   ""
)</f>
        <v/>
      </c>
      <c r="F12" s="14" t="str">
        <f t="shared" si="0"/>
        <v/>
      </c>
    </row>
    <row r="13" spans="1:10" x14ac:dyDescent="0.25">
      <c r="A13" s="49"/>
      <c r="B13" s="51"/>
      <c r="C13" t="str">
        <f>IFERROR(PROPER(VLOOKUP(A13,#REF!,2,FALSE)),"")</f>
        <v/>
      </c>
      <c r="D13" s="14" t="str">
        <f>IF(A13&lt;&gt;"",VLOOKUP(A13,'Full Price List'!$B$2:$O$2076,12,FALSE),"")</f>
        <v/>
      </c>
      <c r="E13" s="14" t="str">
        <f>IF(AND($J$1&lt;&gt;"",A13&lt;&gt;""),
   CEILING(
      VLOOKUP(A13,#REF!,12,FALSE) * (1 - $J$1/IF($J$1&gt;=1,100,1)),
      5
   ),
   ""
)</f>
        <v/>
      </c>
      <c r="F13" s="14" t="str">
        <f t="shared" si="0"/>
        <v/>
      </c>
    </row>
    <row r="14" spans="1:10" x14ac:dyDescent="0.25">
      <c r="A14" s="49"/>
      <c r="B14" s="51"/>
      <c r="C14" t="str">
        <f>IFERROR(PROPER(VLOOKUP(A14,#REF!,2,FALSE)),"")</f>
        <v/>
      </c>
      <c r="D14" s="14" t="str">
        <f>IF(A14&lt;&gt;"",VLOOKUP(A14,'Full Price List'!$B$2:$O$2076,12,FALSE),"")</f>
        <v/>
      </c>
      <c r="E14" s="14" t="str">
        <f>IF(AND($J$1&lt;&gt;"",A14&lt;&gt;""),
   CEILING(
      VLOOKUP(A14,#REF!,12,FALSE) * (1 - $J$1/IF($J$1&gt;=1,100,1)),
      5
   ),
   ""
)</f>
        <v/>
      </c>
      <c r="F14" s="14" t="str">
        <f t="shared" si="0"/>
        <v/>
      </c>
    </row>
    <row r="15" spans="1:10" x14ac:dyDescent="0.25">
      <c r="A15" s="49"/>
      <c r="B15" s="51"/>
      <c r="C15" t="str">
        <f>IFERROR(PROPER(VLOOKUP(A15,#REF!,2,FALSE)),"")</f>
        <v/>
      </c>
      <c r="D15" s="14" t="str">
        <f>IF(A15&lt;&gt;"",VLOOKUP(A15,'Full Price List'!$B$2:$O$2076,12,FALSE),"")</f>
        <v/>
      </c>
      <c r="E15" s="14" t="str">
        <f>IF(AND($J$1&lt;&gt;"",A15&lt;&gt;""),
   CEILING(
      VLOOKUP(A15,#REF!,12,FALSE) * (1 - $J$1/IF($J$1&gt;=1,100,1)),
      5
   ),
   ""
)</f>
        <v/>
      </c>
      <c r="F15" s="14" t="str">
        <f t="shared" si="0"/>
        <v/>
      </c>
    </row>
    <row r="16" spans="1:10" x14ac:dyDescent="0.25">
      <c r="A16" s="49"/>
      <c r="B16" s="51"/>
      <c r="C16" t="str">
        <f>IFERROR(PROPER(VLOOKUP(A16,#REF!,2,FALSE)),"")</f>
        <v/>
      </c>
      <c r="D16" s="14" t="str">
        <f>IF(A16&lt;&gt;"",VLOOKUP(A16,'Full Price List'!$B$2:$O$2076,12,FALSE),"")</f>
        <v/>
      </c>
      <c r="E16" s="14" t="str">
        <f>IF(AND($J$1&lt;&gt;"",A16&lt;&gt;""),
   CEILING(
      VLOOKUP(A16,#REF!,12,FALSE) * (1 - $J$1/IF($J$1&gt;=1,100,1)),
      5
   ),
   ""
)</f>
        <v/>
      </c>
      <c r="F16" s="14" t="str">
        <f t="shared" si="0"/>
        <v/>
      </c>
    </row>
    <row r="17" spans="1:7" x14ac:dyDescent="0.25">
      <c r="A17" s="49"/>
      <c r="B17" s="51"/>
      <c r="C17" t="str">
        <f>IFERROR(PROPER(VLOOKUP(A17,#REF!,2,FALSE)),"")</f>
        <v/>
      </c>
      <c r="D17" s="14" t="str">
        <f>IF(A17&lt;&gt;"",VLOOKUP(A17,'Full Price List'!$B$2:$O$2076,12,FALSE),"")</f>
        <v/>
      </c>
      <c r="E17" s="14" t="str">
        <f>IF(AND($J$1&lt;&gt;"",A17&lt;&gt;""),
   CEILING(
      VLOOKUP(A17,#REF!,12,FALSE) * (1 - $J$1/IF($J$1&gt;=1,100,1)),
      5
   ),
   ""
)</f>
        <v/>
      </c>
      <c r="F17" s="14" t="str">
        <f t="shared" si="0"/>
        <v/>
      </c>
    </row>
    <row r="18" spans="1:7" x14ac:dyDescent="0.25">
      <c r="A18" s="49"/>
      <c r="B18" s="51"/>
      <c r="C18" t="str">
        <f>IFERROR(PROPER(VLOOKUP(A18,#REF!,2,FALSE)),"")</f>
        <v/>
      </c>
      <c r="D18" s="14" t="str">
        <f>IF(A18&lt;&gt;"",VLOOKUP(A18,'Full Price List'!$B$2:$O$2076,12,FALSE),"")</f>
        <v/>
      </c>
      <c r="E18" s="14" t="str">
        <f>IF(AND($J$1&lt;&gt;"",A18&lt;&gt;""),
   CEILING(
      VLOOKUP(A18,#REF!,12,FALSE) * (1 - $J$1/IF($J$1&gt;=1,100,1)),
      5
   ),
   ""
)</f>
        <v/>
      </c>
      <c r="F18" s="14" t="str">
        <f t="shared" si="0"/>
        <v/>
      </c>
    </row>
    <row r="19" spans="1:7" x14ac:dyDescent="0.25">
      <c r="A19" s="49"/>
      <c r="B19" s="51"/>
      <c r="C19" t="str">
        <f>IFERROR(PROPER(VLOOKUP(A19,#REF!,2,FALSE)),"")</f>
        <v/>
      </c>
      <c r="D19" s="14" t="str">
        <f>IF(A19&lt;&gt;"",VLOOKUP(A19,'Full Price List'!$B$2:$O$2076,12,FALSE),"")</f>
        <v/>
      </c>
      <c r="E19" s="14" t="str">
        <f>IF(AND($J$1&lt;&gt;"",A19&lt;&gt;""),
   CEILING(
      VLOOKUP(A19,#REF!,12,FALSE) * (1 - $J$1/IF($J$1&gt;=1,100,1)),
      5
   ),
   ""
)</f>
        <v/>
      </c>
      <c r="F19" s="14" t="str">
        <f t="shared" si="0"/>
        <v/>
      </c>
    </row>
    <row r="20" spans="1:7" x14ac:dyDescent="0.25">
      <c r="A20" s="49"/>
      <c r="B20" s="51"/>
      <c r="C20" t="str">
        <f>IFERROR(PROPER(VLOOKUP(A20,#REF!,2,FALSE)),"")</f>
        <v/>
      </c>
      <c r="D20" s="14" t="str">
        <f>IF(A20&lt;&gt;"",VLOOKUP(A20,'Full Price List'!$B$2:$O$2076,12,FALSE),"")</f>
        <v/>
      </c>
      <c r="E20" s="14" t="str">
        <f>IF(AND($J$1&lt;&gt;"",A20&lt;&gt;""),
   CEILING(
      VLOOKUP(A20,#REF!,12,FALSE) * (1 - $J$1/IF($J$1&gt;=1,100,1)),
      5
   ),
   ""
)</f>
        <v/>
      </c>
      <c r="F20" s="14" t="str">
        <f t="shared" si="0"/>
        <v/>
      </c>
    </row>
    <row r="21" spans="1:7" x14ac:dyDescent="0.25">
      <c r="A21" s="49"/>
      <c r="B21" s="51"/>
      <c r="C21" t="str">
        <f>IFERROR(PROPER(VLOOKUP(A21,#REF!,2,FALSE)),"")</f>
        <v/>
      </c>
      <c r="D21" s="14" t="str">
        <f>IF(A21&lt;&gt;"",VLOOKUP(A21,'Full Price List'!$B$2:$O$2076,12,FALSE),"")</f>
        <v/>
      </c>
      <c r="E21" s="14" t="str">
        <f>IF(AND($J$1&lt;&gt;"",A21&lt;&gt;""),
   CEILING(
      VLOOKUP(A21,#REF!,12,FALSE) * (1 - $J$1/IF($J$1&gt;=1,100,1)),
      5
   ),
   ""
)</f>
        <v/>
      </c>
      <c r="F21" s="14" t="str">
        <f t="shared" si="0"/>
        <v/>
      </c>
    </row>
    <row r="22" spans="1:7" x14ac:dyDescent="0.25">
      <c r="A22" s="49"/>
      <c r="B22" s="51"/>
      <c r="C22" t="str">
        <f>IFERROR(PROPER(VLOOKUP(A22,#REF!,2,FALSE)),"")</f>
        <v/>
      </c>
      <c r="D22" s="14" t="str">
        <f>IF(A22&lt;&gt;"",VLOOKUP(A22,'Full Price List'!$B$2:$O$2076,12,FALSE),"")</f>
        <v/>
      </c>
      <c r="E22" s="14" t="str">
        <f>IF(AND($J$1&lt;&gt;"",A22&lt;&gt;""),
   CEILING(
      VLOOKUP(A22,#REF!,12,FALSE) * (1 - $J$1/IF($J$1&gt;=1,100,1)),
      5
   ),
   ""
)</f>
        <v/>
      </c>
      <c r="F22" s="14" t="str">
        <f t="shared" si="0"/>
        <v/>
      </c>
    </row>
    <row r="23" spans="1:7" x14ac:dyDescent="0.25">
      <c r="A23" s="49"/>
      <c r="B23" s="51"/>
      <c r="C23" t="str">
        <f>IFERROR(PROPER(VLOOKUP(A23,#REF!,2,FALSE)),"")</f>
        <v/>
      </c>
      <c r="D23" s="14" t="str">
        <f>IF(A23&lt;&gt;"",VLOOKUP(A23,'Full Price List'!$B$2:$O$2076,12,FALSE),"")</f>
        <v/>
      </c>
      <c r="E23" s="14" t="str">
        <f>IF(AND($J$1&lt;&gt;"",A23&lt;&gt;""),
   CEILING(
      VLOOKUP(A23,#REF!,12,FALSE) * (1 - $J$1/IF($J$1&gt;=1,100,1)),
      5
   ),
   ""
)</f>
        <v/>
      </c>
      <c r="F23" s="14" t="str">
        <f t="shared" si="0"/>
        <v/>
      </c>
    </row>
    <row r="24" spans="1:7" x14ac:dyDescent="0.25">
      <c r="A24" s="49"/>
      <c r="B24" s="51"/>
      <c r="C24" t="str">
        <f>IFERROR(PROPER(VLOOKUP(A24,#REF!,2,FALSE)),"")</f>
        <v/>
      </c>
      <c r="D24" s="14" t="str">
        <f>IF(A24&lt;&gt;"",VLOOKUP(A24,'Full Price List'!$B$2:$O$2076,12,FALSE),"")</f>
        <v/>
      </c>
      <c r="E24" s="14" t="str">
        <f>IF(AND($J$1&lt;&gt;"",A24&lt;&gt;""),
   CEILING(
      VLOOKUP(A24,#REF!,12,FALSE) * (1 - $J$1/IF($J$1&gt;=1,100,1)),
      5
   ),
   ""
)</f>
        <v/>
      </c>
      <c r="F24" s="14" t="str">
        <f t="shared" si="0"/>
        <v/>
      </c>
    </row>
    <row r="25" spans="1:7" x14ac:dyDescent="0.25">
      <c r="A25" s="49"/>
      <c r="B25" s="51"/>
      <c r="C25" t="str">
        <f>IFERROR(PROPER(VLOOKUP(A25,#REF!,2,FALSE)),"")</f>
        <v/>
      </c>
      <c r="D25" s="14" t="str">
        <f>IF(A25&lt;&gt;"",VLOOKUP(A25,'Full Price List'!$B$2:$O$2076,12,FALSE),"")</f>
        <v/>
      </c>
      <c r="E25" s="14" t="str">
        <f>IF(AND($J$1&lt;&gt;"",A25&lt;&gt;""),
   CEILING(
      VLOOKUP(A25,#REF!,12,FALSE) * (1 - $J$1/IF($J$1&gt;=1,100,1)),
      5
   ),
   ""
)</f>
        <v/>
      </c>
      <c r="F25" s="14" t="str">
        <f t="shared" si="0"/>
        <v/>
      </c>
    </row>
    <row r="26" spans="1:7" x14ac:dyDescent="0.25">
      <c r="A26" s="49"/>
      <c r="B26" s="51"/>
      <c r="C26" t="str">
        <f>IFERROR(PROPER(VLOOKUP(A26,#REF!,2,FALSE)),"")</f>
        <v/>
      </c>
      <c r="D26" s="14" t="str">
        <f>IF(A26&lt;&gt;"",VLOOKUP(A26,'Full Price List'!$B$2:$O$2076,12,FALSE),"")</f>
        <v/>
      </c>
      <c r="E26" s="14" t="str">
        <f>IF(AND($J$1&lt;&gt;"",A26&lt;&gt;""),
   CEILING(
      VLOOKUP(A26,#REF!,12,FALSE) * (1 - $J$1/IF($J$1&gt;=1,100,1)),
      5
   ),
   ""
)</f>
        <v/>
      </c>
      <c r="F26" s="14" t="str">
        <f t="shared" si="0"/>
        <v/>
      </c>
    </row>
    <row r="27" spans="1:7" x14ac:dyDescent="0.25">
      <c r="A27" s="49"/>
      <c r="B27" s="51"/>
      <c r="C27" t="str">
        <f>IFERROR(PROPER(VLOOKUP(A27,#REF!,2,FALSE)),"")</f>
        <v/>
      </c>
      <c r="D27" s="14" t="str">
        <f>IF(A27&lt;&gt;"",VLOOKUP(A27,'Full Price List'!$B$2:$O$2076,12,FALSE),"")</f>
        <v/>
      </c>
      <c r="E27" s="14" t="str">
        <f>IF(AND($J$1&lt;&gt;"",A27&lt;&gt;""),
   CEILING(
      VLOOKUP(A27,#REF!,12,FALSE) * (1 - $J$1/IF($J$1&gt;=1,100,1)),
      5
   ),
   ""
)</f>
        <v/>
      </c>
      <c r="F27" s="14" t="str">
        <f t="shared" si="0"/>
        <v/>
      </c>
    </row>
    <row r="28" spans="1:7" x14ac:dyDescent="0.25">
      <c r="A28" s="49"/>
      <c r="B28" s="51"/>
      <c r="C28" t="str">
        <f>IFERROR(PROPER(VLOOKUP(A28,#REF!,2,FALSE)),"")</f>
        <v/>
      </c>
      <c r="D28" s="14" t="str">
        <f>IF(A28&lt;&gt;"",VLOOKUP(A28,'Full Price List'!$B$2:$O$2076,12,FALSE),"")</f>
        <v/>
      </c>
      <c r="E28" s="14" t="str">
        <f>IF(AND($J$1&lt;&gt;"",A28&lt;&gt;""),
   CEILING(
      VLOOKUP(A28,#REF!,12,FALSE) * (1 - $J$1/IF($J$1&gt;=1,100,1)),
      5
   ),
   ""
)</f>
        <v/>
      </c>
      <c r="F28" s="14" t="str">
        <f t="shared" si="0"/>
        <v/>
      </c>
    </row>
    <row r="29" spans="1:7" x14ac:dyDescent="0.25">
      <c r="A29" s="49"/>
      <c r="B29" s="51"/>
      <c r="C29" t="str">
        <f>IFERROR(PROPER(VLOOKUP(A29,#REF!,2,FALSE)),"")</f>
        <v/>
      </c>
      <c r="D29" s="14" t="str">
        <f>IF(A29&lt;&gt;"",VLOOKUP(A29,'Full Price List'!$B$2:$O$2076,12,FALSE),"")</f>
        <v/>
      </c>
      <c r="E29" s="14" t="str">
        <f>IF(AND($J$1&lt;&gt;"",A29&lt;&gt;""),
   CEILING(
      VLOOKUP(A29,#REF!,12,FALSE) * (1 - $J$1/IF($J$1&gt;=1,100,1)),
      5
   ),
   ""
)</f>
        <v/>
      </c>
      <c r="F29" s="14" t="str">
        <f t="shared" si="0"/>
        <v/>
      </c>
    </row>
    <row r="30" spans="1:7" x14ac:dyDescent="0.25">
      <c r="A30" s="49"/>
      <c r="B30" s="51"/>
      <c r="C30" t="str">
        <f>IFERROR(PROPER(VLOOKUP(A30,#REF!,2,FALSE)),"")</f>
        <v/>
      </c>
      <c r="D30" s="14" t="str">
        <f>IF(A30&lt;&gt;"",VLOOKUP(A30,'Full Price List'!$B$2:$O$2076,12,FALSE),"")</f>
        <v/>
      </c>
      <c r="E30" s="14" t="str">
        <f>IF(AND($J$1&lt;&gt;"",A30&lt;&gt;""),
   CEILING(
      VLOOKUP(A30,#REF!,12,FALSE) * (1 - $J$1/IF($J$1&gt;=1,100,1)),
      5
   ),
   ""
)</f>
        <v/>
      </c>
      <c r="F30" s="14" t="str">
        <f t="shared" si="0"/>
        <v/>
      </c>
    </row>
    <row r="31" spans="1:7" x14ac:dyDescent="0.25">
      <c r="A31" s="48" t="s">
        <v>801</v>
      </c>
      <c r="B31" s="52" t="str">
        <f>IF(SUBTOTAL(109,Table423[Quantity])=0,"",SUBTOTAL(109,Table423[Quantity]))</f>
        <v/>
      </c>
      <c r="F31" s="53" t="str">
        <f>IF(SUBTOTAL(109,Table423[Total])=0,"",SUBTOTAL(109,Table423[Total]))</f>
        <v/>
      </c>
    </row>
    <row r="32" spans="1:7" x14ac:dyDescent="0.25">
      <c r="A32" s="56"/>
      <c r="B32" s="57"/>
      <c r="C32" s="58" t="str">
        <f>IF(ISNUMBER(E32),"Discount","")</f>
        <v/>
      </c>
      <c r="D32" s="65"/>
      <c r="E32" s="63"/>
      <c r="F32" s="59" t="str">
        <f>IF(ISNUMBER(E32),MROUND(F31*E32,5),"")</f>
        <v/>
      </c>
      <c r="G32" t="s">
        <v>804</v>
      </c>
    </row>
    <row r="33" spans="1:6" x14ac:dyDescent="0.25">
      <c r="A33" s="60"/>
      <c r="B33" s="61"/>
      <c r="C33" s="62" t="s">
        <v>806</v>
      </c>
      <c r="D33" s="66"/>
      <c r="E33" s="55"/>
      <c r="F33" s="64" t="str">
        <f>IF(AND(ISNUMBER(F31),ISNUMBER(F32)),F31-F32,IF(F31&lt;&gt;"",F31,""))</f>
        <v/>
      </c>
    </row>
  </sheetData>
  <sheetProtection sheet="1" objects="1" scenarios="1"/>
  <printOptions horizontalCentered="1" verticalCentered="1"/>
  <pageMargins left="0" right="0" top="0" bottom="0" header="0" footer="0"/>
  <pageSetup paperSize="11" orientation="portrait" horizontalDpi="240" verticalDpi="144" r:id="rId1"/>
  <headerFooter>
    <oddFooter>&amp;C&amp;D,&amp;T</oddFoot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1B3CF-3690-479C-A98E-97E3617D65BC}">
  <dimension ref="A1:J33"/>
  <sheetViews>
    <sheetView workbookViewId="0">
      <selection activeCell="A2" sqref="A2"/>
    </sheetView>
  </sheetViews>
  <sheetFormatPr defaultRowHeight="15" x14ac:dyDescent="0.25"/>
  <cols>
    <col min="1" max="1" width="11" style="48" customWidth="1"/>
    <col min="2" max="2" width="11" style="50" customWidth="1"/>
    <col min="3" max="3" width="11" customWidth="1"/>
    <col min="4" max="4" width="11" style="14" customWidth="1"/>
    <col min="5" max="5" width="11.42578125" style="14" bestFit="1" customWidth="1"/>
    <col min="6" max="6" width="11" style="14" customWidth="1"/>
    <col min="7" max="7" width="11" customWidth="1"/>
  </cols>
  <sheetData>
    <row r="1" spans="1:10" x14ac:dyDescent="0.25">
      <c r="A1" s="67" t="s">
        <v>696</v>
      </c>
      <c r="B1" s="67" t="s">
        <v>802</v>
      </c>
      <c r="C1" s="67" t="s">
        <v>427</v>
      </c>
      <c r="D1" s="67" t="s">
        <v>803</v>
      </c>
      <c r="E1" s="67" t="str">
        <f>IF(AND(ISNUMBER(E2),E2&gt;0),"Net Price","Tax")</f>
        <v>Tax</v>
      </c>
      <c r="F1" s="67" t="s">
        <v>801</v>
      </c>
      <c r="H1" t="s">
        <v>834</v>
      </c>
      <c r="I1" t="s">
        <v>804</v>
      </c>
      <c r="J1" s="54"/>
    </row>
    <row r="2" spans="1:10" x14ac:dyDescent="0.25">
      <c r="A2" s="49"/>
      <c r="B2" s="51"/>
      <c r="C2" t="str">
        <f>IFERROR(PROPER(VLOOKUP(A2,#REF!,2,FALSE)),"")</f>
        <v/>
      </c>
      <c r="D2" s="14" t="str">
        <f>IF(A2&lt;&gt;"",VLOOKUP(A2,'Full Price List'!$B$2:$O$2076,11,FALSE),"")</f>
        <v/>
      </c>
      <c r="E2" s="14" t="str">
        <f>IF(AND($J$1&lt;&gt;"",A2&lt;&gt;""),
   CEILING(
      VLOOKUP(A2,#REF!,11,FALSE) * (1 - $J$1/IF($J$1&gt;=1,100,1)),
      5
   ),
   ""
)</f>
        <v/>
      </c>
      <c r="F2" s="14" t="str">
        <f t="shared" ref="F2:F30" si="0">IF(A2&lt;&gt;"",
   IF(E2&lt;&gt;"",
      B2*E2,
      IF(D2&lt;&gt;"",B2*D2,"")
   ),
   ""
)</f>
        <v/>
      </c>
    </row>
    <row r="3" spans="1:10" x14ac:dyDescent="0.25">
      <c r="A3" s="49"/>
      <c r="B3" s="51"/>
      <c r="C3" t="str">
        <f>IFERROR(PROPER(VLOOKUP(A3,#REF!,2,FALSE)),"")</f>
        <v/>
      </c>
      <c r="D3" s="14" t="str">
        <f>IF(A3&lt;&gt;"",VLOOKUP(A3,'Full Price List'!$B$2:$O$2076,11,FALSE),"")</f>
        <v/>
      </c>
      <c r="E3" s="14" t="str">
        <f>IF(AND($J$1&lt;&gt;"",A3&lt;&gt;""),
   CEILING(
      VLOOKUP(A3,#REF!,11,FALSE) * (1 - $J$1/IF($J$1&gt;=1,100,1)),
      5
   ),
   ""
)</f>
        <v/>
      </c>
      <c r="F3" s="14" t="str">
        <f t="shared" si="0"/>
        <v/>
      </c>
    </row>
    <row r="4" spans="1:10" x14ac:dyDescent="0.25">
      <c r="A4" s="49"/>
      <c r="B4" s="51"/>
      <c r="C4" t="str">
        <f>IFERROR(PROPER(VLOOKUP(A4,#REF!,2,FALSE)),"")</f>
        <v/>
      </c>
      <c r="D4" s="14" t="str">
        <f>IF(A4&lt;&gt;"",VLOOKUP(A4,'Full Price List'!$B$2:$O$2076,11,FALSE),"")</f>
        <v/>
      </c>
      <c r="E4" s="14" t="str">
        <f>IF(AND($J$1&lt;&gt;"",A4&lt;&gt;""),
   CEILING(
      VLOOKUP(A4,#REF!,11,FALSE) * (1 - $J$1/IF($J$1&gt;=1,100,1)),
      5
   ),
   ""
)</f>
        <v/>
      </c>
      <c r="F4" s="14" t="str">
        <f t="shared" si="0"/>
        <v/>
      </c>
    </row>
    <row r="5" spans="1:10" x14ac:dyDescent="0.25">
      <c r="A5" s="49"/>
      <c r="B5" s="51"/>
      <c r="C5" t="str">
        <f>IFERROR(PROPER(VLOOKUP(A5,#REF!,2,FALSE)),"")</f>
        <v/>
      </c>
      <c r="D5" s="14" t="str">
        <f>IF(A5&lt;&gt;"",VLOOKUP(A5,'Full Price List'!$B$2:$O$2076,11,FALSE),"")</f>
        <v/>
      </c>
      <c r="E5" s="14" t="str">
        <f>IF(AND($J$1&lt;&gt;"",A5&lt;&gt;""),
   CEILING(
      VLOOKUP(A5,#REF!,11,FALSE) * (1 - $J$1/IF($J$1&gt;=1,100,1)),
      5
   ),
   ""
)</f>
        <v/>
      </c>
      <c r="F5" s="14" t="str">
        <f t="shared" si="0"/>
        <v/>
      </c>
    </row>
    <row r="6" spans="1:10" x14ac:dyDescent="0.25">
      <c r="A6" s="49"/>
      <c r="B6" s="51"/>
      <c r="C6" t="str">
        <f>IFERROR(PROPER(VLOOKUP(A6,#REF!,2,FALSE)),"")</f>
        <v/>
      </c>
      <c r="D6" s="14" t="str">
        <f>IF(A6&lt;&gt;"",VLOOKUP(A6,'Full Price List'!$B$2:$O$2076,11,FALSE),"")</f>
        <v/>
      </c>
      <c r="E6" s="14" t="str">
        <f>IF(AND($J$1&lt;&gt;"",A6&lt;&gt;""),
   CEILING(
      VLOOKUP(A6,#REF!,11,FALSE) * (1 - $J$1/IF($J$1&gt;=1,100,1)),
      5
   ),
   ""
)</f>
        <v/>
      </c>
      <c r="F6" s="14" t="str">
        <f t="shared" si="0"/>
        <v/>
      </c>
    </row>
    <row r="7" spans="1:10" x14ac:dyDescent="0.25">
      <c r="A7" s="49"/>
      <c r="B7" s="51"/>
      <c r="C7" t="str">
        <f>IFERROR(PROPER(VLOOKUP(A7,#REF!,2,FALSE)),"")</f>
        <v/>
      </c>
      <c r="D7" s="14" t="str">
        <f>IF(A7&lt;&gt;"",VLOOKUP(A7,'Full Price List'!$B$2:$O$2076,11,FALSE),"")</f>
        <v/>
      </c>
      <c r="E7" s="14" t="str">
        <f>IF(AND($J$1&lt;&gt;"",A7&lt;&gt;""),
   CEILING(
      VLOOKUP(A7,#REF!,11,FALSE) * (1 - $J$1/IF($J$1&gt;=1,100,1)),
      5
   ),
   ""
)</f>
        <v/>
      </c>
      <c r="F7" s="14" t="str">
        <f t="shared" si="0"/>
        <v/>
      </c>
    </row>
    <row r="8" spans="1:10" x14ac:dyDescent="0.25">
      <c r="A8" s="49"/>
      <c r="B8" s="51"/>
      <c r="C8" t="str">
        <f>IFERROR(PROPER(VLOOKUP(A8,#REF!,2,FALSE)),"")</f>
        <v/>
      </c>
      <c r="D8" s="14" t="str">
        <f>IF(A8&lt;&gt;"",VLOOKUP(A8,'Full Price List'!$B$2:$O$2076,11,FALSE),"")</f>
        <v/>
      </c>
      <c r="E8" s="14" t="str">
        <f>IF(AND($J$1&lt;&gt;"",A8&lt;&gt;""),
   CEILING(
      VLOOKUP(A8,#REF!,11,FALSE) * (1 - $J$1/IF($J$1&gt;=1,100,1)),
      5
   ),
   ""
)</f>
        <v/>
      </c>
      <c r="F8" s="14" t="str">
        <f t="shared" si="0"/>
        <v/>
      </c>
    </row>
    <row r="9" spans="1:10" x14ac:dyDescent="0.25">
      <c r="A9" s="49"/>
      <c r="B9" s="51"/>
      <c r="C9" t="str">
        <f>IFERROR(PROPER(VLOOKUP(A9,#REF!,2,FALSE)),"")</f>
        <v/>
      </c>
      <c r="D9" s="14" t="str">
        <f>IF(A9&lt;&gt;"",VLOOKUP(A9,'Full Price List'!$B$2:$O$2076,11,FALSE),"")</f>
        <v/>
      </c>
      <c r="E9" s="14" t="str">
        <f>IF(AND($J$1&lt;&gt;"",A9&lt;&gt;""),
   CEILING(
      VLOOKUP(A9,#REF!,11,FALSE) * (1 - $J$1/IF($J$1&gt;=1,100,1)),
      5
   ),
   ""
)</f>
        <v/>
      </c>
      <c r="F9" s="14" t="str">
        <f t="shared" si="0"/>
        <v/>
      </c>
    </row>
    <row r="10" spans="1:10" x14ac:dyDescent="0.25">
      <c r="A10" s="49"/>
      <c r="B10" s="51"/>
      <c r="C10" t="str">
        <f>IFERROR(PROPER(VLOOKUP(A10,#REF!,2,FALSE)),"")</f>
        <v/>
      </c>
      <c r="D10" s="14" t="str">
        <f>IF(A10&lt;&gt;"",VLOOKUP(A10,'Full Price List'!$B$2:$O$2076,11,FALSE),"")</f>
        <v/>
      </c>
      <c r="E10" s="14" t="str">
        <f>IF(AND($J$1&lt;&gt;"",A10&lt;&gt;""),
   CEILING(
      VLOOKUP(A10,#REF!,11,FALSE) * (1 - $J$1/IF($J$1&gt;=1,100,1)),
      5
   ),
   ""
)</f>
        <v/>
      </c>
      <c r="F10" s="14" t="str">
        <f t="shared" si="0"/>
        <v/>
      </c>
    </row>
    <row r="11" spans="1:10" x14ac:dyDescent="0.25">
      <c r="A11" s="49"/>
      <c r="B11" s="51"/>
      <c r="C11" t="str">
        <f>IFERROR(PROPER(VLOOKUP(A11,#REF!,2,FALSE)),"")</f>
        <v/>
      </c>
      <c r="D11" s="14" t="str">
        <f>IF(A11&lt;&gt;"",VLOOKUP(A11,'Full Price List'!$B$2:$O$2076,11,FALSE),"")</f>
        <v/>
      </c>
      <c r="E11" s="14" t="str">
        <f>IF(AND($J$1&lt;&gt;"",A11&lt;&gt;""),
   CEILING(
      VLOOKUP(A11,#REF!,11,FALSE) * (1 - $J$1/IF($J$1&gt;=1,100,1)),
      5
   ),
   ""
)</f>
        <v/>
      </c>
      <c r="F11" s="14" t="str">
        <f t="shared" si="0"/>
        <v/>
      </c>
    </row>
    <row r="12" spans="1:10" x14ac:dyDescent="0.25">
      <c r="A12" s="49"/>
      <c r="B12" s="51"/>
      <c r="C12" t="str">
        <f>IFERROR(PROPER(VLOOKUP(A12,#REF!,2,FALSE)),"")</f>
        <v/>
      </c>
      <c r="D12" s="14" t="str">
        <f>IF(A12&lt;&gt;"",VLOOKUP(A12,'Full Price List'!$B$2:$O$2076,11,FALSE),"")</f>
        <v/>
      </c>
      <c r="E12" s="14" t="str">
        <f>IF(AND($J$1&lt;&gt;"",A12&lt;&gt;""),
   CEILING(
      VLOOKUP(A12,#REF!,11,FALSE) * (1 - $J$1/IF($J$1&gt;=1,100,1)),
      5
   ),
   ""
)</f>
        <v/>
      </c>
      <c r="F12" s="14" t="str">
        <f t="shared" si="0"/>
        <v/>
      </c>
    </row>
    <row r="13" spans="1:10" x14ac:dyDescent="0.25">
      <c r="A13" s="49"/>
      <c r="B13" s="51"/>
      <c r="C13" t="str">
        <f>IFERROR(PROPER(VLOOKUP(A13,#REF!,2,FALSE)),"")</f>
        <v/>
      </c>
      <c r="D13" s="14" t="str">
        <f>IF(A13&lt;&gt;"",VLOOKUP(A13,'Full Price List'!$B$2:$O$2076,11,FALSE),"")</f>
        <v/>
      </c>
      <c r="E13" s="14" t="str">
        <f>IF(AND($J$1&lt;&gt;"",A13&lt;&gt;""),
   CEILING(
      VLOOKUP(A13,#REF!,11,FALSE) * (1 - $J$1/IF($J$1&gt;=1,100,1)),
      5
   ),
   ""
)</f>
        <v/>
      </c>
      <c r="F13" s="14" t="str">
        <f t="shared" si="0"/>
        <v/>
      </c>
    </row>
    <row r="14" spans="1:10" x14ac:dyDescent="0.25">
      <c r="A14" s="49"/>
      <c r="B14" s="51"/>
      <c r="C14" t="str">
        <f>IFERROR(PROPER(VLOOKUP(A14,#REF!,2,FALSE)),"")</f>
        <v/>
      </c>
      <c r="D14" s="14" t="str">
        <f>IF(A14&lt;&gt;"",VLOOKUP(A14,'Full Price List'!$B$2:$O$2076,11,FALSE),"")</f>
        <v/>
      </c>
      <c r="E14" s="14" t="str">
        <f>IF(AND($J$1&lt;&gt;"",A14&lt;&gt;""),
   CEILING(
      VLOOKUP(A14,#REF!,11,FALSE) * (1 - $J$1/IF($J$1&gt;=1,100,1)),
      5
   ),
   ""
)</f>
        <v/>
      </c>
      <c r="F14" s="14" t="str">
        <f t="shared" si="0"/>
        <v/>
      </c>
    </row>
    <row r="15" spans="1:10" x14ac:dyDescent="0.25">
      <c r="A15" s="49"/>
      <c r="B15" s="51"/>
      <c r="C15" t="str">
        <f>IFERROR(PROPER(VLOOKUP(A15,#REF!,2,FALSE)),"")</f>
        <v/>
      </c>
      <c r="D15" s="14" t="str">
        <f>IF(A15&lt;&gt;"",VLOOKUP(A15,'Full Price List'!$B$2:$O$2076,11,FALSE),"")</f>
        <v/>
      </c>
      <c r="E15" s="14" t="str">
        <f>IF(AND($J$1&lt;&gt;"",A15&lt;&gt;""),
   CEILING(
      VLOOKUP(A15,#REF!,11,FALSE) * (1 - $J$1/IF($J$1&gt;=1,100,1)),
      5
   ),
   ""
)</f>
        <v/>
      </c>
      <c r="F15" s="14" t="str">
        <f t="shared" si="0"/>
        <v/>
      </c>
    </row>
    <row r="16" spans="1:10" x14ac:dyDescent="0.25">
      <c r="A16" s="49"/>
      <c r="B16" s="51"/>
      <c r="C16" t="str">
        <f>IFERROR(PROPER(VLOOKUP(A16,#REF!,2,FALSE)),"")</f>
        <v/>
      </c>
      <c r="D16" s="14" t="str">
        <f>IF(A16&lt;&gt;"",VLOOKUP(A16,'Full Price List'!$B$2:$O$2076,11,FALSE),"")</f>
        <v/>
      </c>
      <c r="E16" s="14" t="str">
        <f>IF(AND($J$1&lt;&gt;"",A16&lt;&gt;""),
   CEILING(
      VLOOKUP(A16,#REF!,11,FALSE) * (1 - $J$1/IF($J$1&gt;=1,100,1)),
      5
   ),
   ""
)</f>
        <v/>
      </c>
      <c r="F16" s="14" t="str">
        <f t="shared" si="0"/>
        <v/>
      </c>
    </row>
    <row r="17" spans="1:7" x14ac:dyDescent="0.25">
      <c r="A17" s="49"/>
      <c r="B17" s="51"/>
      <c r="C17" t="str">
        <f>IFERROR(PROPER(VLOOKUP(A17,#REF!,2,FALSE)),"")</f>
        <v/>
      </c>
      <c r="D17" s="14" t="str">
        <f>IF(A17&lt;&gt;"",VLOOKUP(A17,'Full Price List'!$B$2:$O$2076,11,FALSE),"")</f>
        <v/>
      </c>
      <c r="E17" s="14" t="str">
        <f>IF(AND($J$1&lt;&gt;"",A17&lt;&gt;""),
   CEILING(
      VLOOKUP(A17,#REF!,11,FALSE) * (1 - $J$1/IF($J$1&gt;=1,100,1)),
      5
   ),
   ""
)</f>
        <v/>
      </c>
      <c r="F17" s="14" t="str">
        <f t="shared" si="0"/>
        <v/>
      </c>
    </row>
    <row r="18" spans="1:7" x14ac:dyDescent="0.25">
      <c r="A18" s="49"/>
      <c r="B18" s="51"/>
      <c r="C18" t="str">
        <f>IFERROR(PROPER(VLOOKUP(A18,#REF!,2,FALSE)),"")</f>
        <v/>
      </c>
      <c r="D18" s="14" t="str">
        <f>IF(A18&lt;&gt;"",VLOOKUP(A18,'Full Price List'!$B$2:$O$2076,11,FALSE),"")</f>
        <v/>
      </c>
      <c r="E18" s="14" t="str">
        <f>IF(AND($J$1&lt;&gt;"",A18&lt;&gt;""),
   CEILING(
      VLOOKUP(A18,#REF!,11,FALSE) * (1 - $J$1/IF($J$1&gt;=1,100,1)),
      5
   ),
   ""
)</f>
        <v/>
      </c>
      <c r="F18" s="14" t="str">
        <f t="shared" si="0"/>
        <v/>
      </c>
    </row>
    <row r="19" spans="1:7" x14ac:dyDescent="0.25">
      <c r="A19" s="49"/>
      <c r="B19" s="51"/>
      <c r="C19" t="str">
        <f>IFERROR(PROPER(VLOOKUP(A19,#REF!,2,FALSE)),"")</f>
        <v/>
      </c>
      <c r="D19" s="14" t="str">
        <f>IF(A19&lt;&gt;"",VLOOKUP(A19,'Full Price List'!$B$2:$O$2076,11,FALSE),"")</f>
        <v/>
      </c>
      <c r="E19" s="14" t="str">
        <f>IF(AND($J$1&lt;&gt;"",A19&lt;&gt;""),
   CEILING(
      VLOOKUP(A19,#REF!,11,FALSE) * (1 - $J$1/IF($J$1&gt;=1,100,1)),
      5
   ),
   ""
)</f>
        <v/>
      </c>
      <c r="F19" s="14" t="str">
        <f t="shared" si="0"/>
        <v/>
      </c>
    </row>
    <row r="20" spans="1:7" x14ac:dyDescent="0.25">
      <c r="A20" s="49"/>
      <c r="B20" s="51"/>
      <c r="C20" t="str">
        <f>IFERROR(PROPER(VLOOKUP(A20,#REF!,2,FALSE)),"")</f>
        <v/>
      </c>
      <c r="D20" s="14" t="str">
        <f>IF(A20&lt;&gt;"",VLOOKUP(A20,'Full Price List'!$B$2:$O$2076,11,FALSE),"")</f>
        <v/>
      </c>
      <c r="E20" s="14" t="str">
        <f>IF(AND($J$1&lt;&gt;"",A20&lt;&gt;""),
   CEILING(
      VLOOKUP(A20,#REF!,11,FALSE) * (1 - $J$1/IF($J$1&gt;=1,100,1)),
      5
   ),
   ""
)</f>
        <v/>
      </c>
      <c r="F20" s="14" t="str">
        <f t="shared" si="0"/>
        <v/>
      </c>
    </row>
    <row r="21" spans="1:7" x14ac:dyDescent="0.25">
      <c r="A21" s="49"/>
      <c r="B21" s="51"/>
      <c r="C21" t="str">
        <f>IFERROR(PROPER(VLOOKUP(A21,#REF!,2,FALSE)),"")</f>
        <v/>
      </c>
      <c r="D21" s="14" t="str">
        <f>IF(A21&lt;&gt;"",VLOOKUP(A21,'Full Price List'!$B$2:$O$2076,11,FALSE),"")</f>
        <v/>
      </c>
      <c r="E21" s="14" t="str">
        <f>IF(AND($J$1&lt;&gt;"",A21&lt;&gt;""),
   CEILING(
      VLOOKUP(A21,#REF!,11,FALSE) * (1 - $J$1/IF($J$1&gt;=1,100,1)),
      5
   ),
   ""
)</f>
        <v/>
      </c>
      <c r="F21" s="14" t="str">
        <f t="shared" si="0"/>
        <v/>
      </c>
    </row>
    <row r="22" spans="1:7" x14ac:dyDescent="0.25">
      <c r="A22" s="49"/>
      <c r="B22" s="51"/>
      <c r="C22" t="str">
        <f>IFERROR(PROPER(VLOOKUP(A22,#REF!,2,FALSE)),"")</f>
        <v/>
      </c>
      <c r="D22" s="14" t="str">
        <f>IF(A22&lt;&gt;"",VLOOKUP(A22,'Full Price List'!$B$2:$O$2076,11,FALSE),"")</f>
        <v/>
      </c>
      <c r="E22" s="14" t="str">
        <f>IF(AND($J$1&lt;&gt;"",A22&lt;&gt;""),
   CEILING(
      VLOOKUP(A22,#REF!,11,FALSE) * (1 - $J$1/IF($J$1&gt;=1,100,1)),
      5
   ),
   ""
)</f>
        <v/>
      </c>
      <c r="F22" s="14" t="str">
        <f t="shared" si="0"/>
        <v/>
      </c>
    </row>
    <row r="23" spans="1:7" x14ac:dyDescent="0.25">
      <c r="A23" s="49"/>
      <c r="B23" s="51"/>
      <c r="C23" t="str">
        <f>IFERROR(PROPER(VLOOKUP(A23,#REF!,2,FALSE)),"")</f>
        <v/>
      </c>
      <c r="D23" s="14" t="str">
        <f>IF(A23&lt;&gt;"",VLOOKUP(A23,'Full Price List'!$B$2:$O$2076,11,FALSE),"")</f>
        <v/>
      </c>
      <c r="E23" s="14" t="str">
        <f>IF(AND($J$1&lt;&gt;"",A23&lt;&gt;""),
   CEILING(
      VLOOKUP(A23,#REF!,11,FALSE) * (1 - $J$1/IF($J$1&gt;=1,100,1)),
      5
   ),
   ""
)</f>
        <v/>
      </c>
      <c r="F23" s="14" t="str">
        <f t="shared" si="0"/>
        <v/>
      </c>
    </row>
    <row r="24" spans="1:7" x14ac:dyDescent="0.25">
      <c r="A24" s="49"/>
      <c r="B24" s="51"/>
      <c r="C24" t="str">
        <f>IFERROR(PROPER(VLOOKUP(A24,#REF!,2,FALSE)),"")</f>
        <v/>
      </c>
      <c r="D24" s="14" t="str">
        <f>IF(A24&lt;&gt;"",VLOOKUP(A24,'Full Price List'!$B$2:$O$2076,11,FALSE),"")</f>
        <v/>
      </c>
      <c r="E24" s="14" t="str">
        <f>IF(AND($J$1&lt;&gt;"",A24&lt;&gt;""),
   CEILING(
      VLOOKUP(A24,#REF!,11,FALSE) * (1 - $J$1/IF($J$1&gt;=1,100,1)),
      5
   ),
   ""
)</f>
        <v/>
      </c>
      <c r="F24" s="14" t="str">
        <f t="shared" si="0"/>
        <v/>
      </c>
    </row>
    <row r="25" spans="1:7" x14ac:dyDescent="0.25">
      <c r="A25" s="49"/>
      <c r="B25" s="51"/>
      <c r="C25" t="str">
        <f>IFERROR(PROPER(VLOOKUP(A25,#REF!,2,FALSE)),"")</f>
        <v/>
      </c>
      <c r="D25" s="14" t="str">
        <f>IF(A25&lt;&gt;"",VLOOKUP(A25,'Full Price List'!$B$2:$O$2076,11,FALSE),"")</f>
        <v/>
      </c>
      <c r="E25" s="14" t="str">
        <f>IF(AND($J$1&lt;&gt;"",A25&lt;&gt;""),
   CEILING(
      VLOOKUP(A25,#REF!,11,FALSE) * (1 - $J$1/IF($J$1&gt;=1,100,1)),
      5
   ),
   ""
)</f>
        <v/>
      </c>
      <c r="F25" s="14" t="str">
        <f t="shared" si="0"/>
        <v/>
      </c>
    </row>
    <row r="26" spans="1:7" x14ac:dyDescent="0.25">
      <c r="A26" s="49"/>
      <c r="B26" s="51"/>
      <c r="C26" t="str">
        <f>IFERROR(PROPER(VLOOKUP(A26,#REF!,2,FALSE)),"")</f>
        <v/>
      </c>
      <c r="D26" s="14" t="str">
        <f>IF(A26&lt;&gt;"",VLOOKUP(A26,'Full Price List'!$B$2:$O$2076,11,FALSE),"")</f>
        <v/>
      </c>
      <c r="E26" s="14" t="str">
        <f>IF(AND($J$1&lt;&gt;"",A26&lt;&gt;""),
   CEILING(
      VLOOKUP(A26,#REF!,11,FALSE) * (1 - $J$1/IF($J$1&gt;=1,100,1)),
      5
   ),
   ""
)</f>
        <v/>
      </c>
      <c r="F26" s="14" t="str">
        <f t="shared" si="0"/>
        <v/>
      </c>
    </row>
    <row r="27" spans="1:7" x14ac:dyDescent="0.25">
      <c r="A27" s="49"/>
      <c r="B27" s="51"/>
      <c r="C27" t="str">
        <f>IFERROR(PROPER(VLOOKUP(A27,#REF!,2,FALSE)),"")</f>
        <v/>
      </c>
      <c r="D27" s="14" t="str">
        <f>IF(A27&lt;&gt;"",VLOOKUP(A27,'Full Price List'!$B$2:$O$2076,11,FALSE),"")</f>
        <v/>
      </c>
      <c r="E27" s="14" t="str">
        <f>IF(AND($J$1&lt;&gt;"",A27&lt;&gt;""),
   CEILING(
      VLOOKUP(A27,#REF!,11,FALSE) * (1 - $J$1/IF($J$1&gt;=1,100,1)),
      5
   ),
   ""
)</f>
        <v/>
      </c>
      <c r="F27" s="14" t="str">
        <f t="shared" si="0"/>
        <v/>
      </c>
    </row>
    <row r="28" spans="1:7" x14ac:dyDescent="0.25">
      <c r="A28" s="49"/>
      <c r="B28" s="51"/>
      <c r="C28" t="str">
        <f>IFERROR(PROPER(VLOOKUP(A28,#REF!,2,FALSE)),"")</f>
        <v/>
      </c>
      <c r="D28" s="14" t="str">
        <f>IF(A28&lt;&gt;"",VLOOKUP(A28,'Full Price List'!$B$2:$O$2076,11,FALSE),"")</f>
        <v/>
      </c>
      <c r="E28" s="14" t="str">
        <f>IF(AND($J$1&lt;&gt;"",A28&lt;&gt;""),
   CEILING(
      VLOOKUP(A28,#REF!,11,FALSE) * (1 - $J$1/IF($J$1&gt;=1,100,1)),
      5
   ),
   ""
)</f>
        <v/>
      </c>
      <c r="F28" s="14" t="str">
        <f t="shared" si="0"/>
        <v/>
      </c>
    </row>
    <row r="29" spans="1:7" x14ac:dyDescent="0.25">
      <c r="A29" s="49"/>
      <c r="B29" s="51"/>
      <c r="C29" t="str">
        <f>IFERROR(PROPER(VLOOKUP(A29,#REF!,2,FALSE)),"")</f>
        <v/>
      </c>
      <c r="D29" s="14" t="str">
        <f>IF(A29&lt;&gt;"",VLOOKUP(A29,'Full Price List'!$B$2:$O$2076,11,FALSE),"")</f>
        <v/>
      </c>
      <c r="E29" s="14" t="str">
        <f>IF(AND($J$1&lt;&gt;"",A29&lt;&gt;""),
   CEILING(
      VLOOKUP(A29,#REF!,11,FALSE) * (1 - $J$1/IF($J$1&gt;=1,100,1)),
      5
   ),
   ""
)</f>
        <v/>
      </c>
      <c r="F29" s="14" t="str">
        <f t="shared" si="0"/>
        <v/>
      </c>
    </row>
    <row r="30" spans="1:7" x14ac:dyDescent="0.25">
      <c r="A30" s="49"/>
      <c r="B30" s="51"/>
      <c r="C30" t="str">
        <f>IFERROR(PROPER(VLOOKUP(A30,#REF!,2,FALSE)),"")</f>
        <v/>
      </c>
      <c r="D30" s="14" t="str">
        <f>IF(A30&lt;&gt;"",VLOOKUP(A30,'Full Price List'!$B$2:$O$2076,11,FALSE),"")</f>
        <v/>
      </c>
      <c r="E30" s="14" t="str">
        <f>IF(AND($J$1&lt;&gt;"",A30&lt;&gt;""),
   CEILING(
      VLOOKUP(A30,#REF!,11,FALSE) * (1 - $J$1/IF($J$1&gt;=1,100,1)),
      5
   ),
   ""
)</f>
        <v/>
      </c>
      <c r="F30" s="14" t="str">
        <f t="shared" si="0"/>
        <v/>
      </c>
    </row>
    <row r="31" spans="1:7" x14ac:dyDescent="0.25">
      <c r="A31" s="48" t="s">
        <v>801</v>
      </c>
      <c r="B31" s="52" t="str">
        <f>IF(SUBTOTAL(109,Table42325[Quantity])=0,"",SUBTOTAL(109,Table42325[Quantity]))</f>
        <v/>
      </c>
      <c r="F31" s="53" t="str">
        <f>IF(SUBTOTAL(109,Table42325[Total])=0,"",SUBTOTAL(109,Table42325[Total]))</f>
        <v/>
      </c>
    </row>
    <row r="32" spans="1:7" x14ac:dyDescent="0.25">
      <c r="A32" s="56"/>
      <c r="B32" s="57"/>
      <c r="C32" s="58" t="str">
        <f>IF(ISNUMBER(E32),"Discount","")</f>
        <v/>
      </c>
      <c r="D32" s="65"/>
      <c r="E32" s="63"/>
      <c r="F32" s="59" t="str">
        <f>IF(ISNUMBER(E32),MROUND(F31*E32,5),"")</f>
        <v/>
      </c>
      <c r="G32" t="s">
        <v>804</v>
      </c>
    </row>
    <row r="33" spans="1:6" x14ac:dyDescent="0.25">
      <c r="A33" s="60"/>
      <c r="B33" s="61"/>
      <c r="C33" s="62" t="s">
        <v>806</v>
      </c>
      <c r="D33" s="66"/>
      <c r="E33" s="55"/>
      <c r="F33" s="64" t="str">
        <f>IF(AND(ISNUMBER(F31),ISNUMBER(F32)),F31-F32,IF(F31&lt;&gt;"",F31,""))</f>
        <v/>
      </c>
    </row>
  </sheetData>
  <sheetProtection sheet="1" objects="1" scenarios="1"/>
  <printOptions horizontalCentered="1" verticalCentered="1"/>
  <pageMargins left="0" right="0" top="0" bottom="0" header="0" footer="0"/>
  <pageSetup paperSize="11" orientation="portrait" horizontalDpi="0" verticalDpi="0" r:id="rId1"/>
  <headerFooter>
    <oddFooter>&amp;C&amp;D,&amp;T</oddFooter>
  </headerFooter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719A8-5843-4356-A6D8-87648F6C1F15}">
  <dimension ref="A1:J33"/>
  <sheetViews>
    <sheetView workbookViewId="0">
      <selection activeCell="A2" sqref="A2"/>
    </sheetView>
  </sheetViews>
  <sheetFormatPr defaultRowHeight="15" x14ac:dyDescent="0.25"/>
  <cols>
    <col min="1" max="1" width="11" style="48" customWidth="1"/>
    <col min="2" max="2" width="11" style="50" customWidth="1"/>
    <col min="3" max="3" width="11" customWidth="1"/>
    <col min="4" max="4" width="11" style="14" customWidth="1"/>
    <col min="5" max="5" width="11.42578125" style="14" bestFit="1" customWidth="1"/>
    <col min="6" max="6" width="11" style="14" customWidth="1"/>
    <col min="7" max="7" width="11" customWidth="1"/>
  </cols>
  <sheetData>
    <row r="1" spans="1:10" x14ac:dyDescent="0.25">
      <c r="A1" s="67" t="s">
        <v>696</v>
      </c>
      <c r="B1" s="67" t="s">
        <v>802</v>
      </c>
      <c r="C1" s="67" t="s">
        <v>427</v>
      </c>
      <c r="D1" s="67" t="s">
        <v>803</v>
      </c>
      <c r="E1" s="67" t="str">
        <f>IF(AND(ISNUMBER(E2),E2&gt;0),"Net Price","Tax")</f>
        <v>Tax</v>
      </c>
      <c r="F1" s="67" t="s">
        <v>801</v>
      </c>
      <c r="H1" t="s">
        <v>753</v>
      </c>
      <c r="I1" t="s">
        <v>804</v>
      </c>
      <c r="J1" s="54"/>
    </row>
    <row r="2" spans="1:10" x14ac:dyDescent="0.25">
      <c r="A2" s="49"/>
      <c r="B2" s="51"/>
      <c r="C2" t="str">
        <f>IFERROR(PROPER(VLOOKUP(A2,#REF!,2,FALSE)),"")</f>
        <v/>
      </c>
      <c r="D2" s="14" t="str">
        <f>IF(A2&lt;&gt;"",VLOOKUP(A2,'Full Price List'!$B$2:$O$2076,13,FALSE),"")</f>
        <v/>
      </c>
      <c r="E2" s="14" t="str">
        <f>IF(AND($J$1&lt;&gt;"",A2&lt;&gt;""),
   CEILING(
      VLOOKUP(A2,#REF!,13,FALSE) * (1 - $J$1/IF($J$1&gt;=1,100,1)),
      5
   ),
   ""
)</f>
        <v/>
      </c>
      <c r="F2" s="14" t="str">
        <f t="shared" ref="F2:F30" si="0">IF(A2&lt;&gt;"",
   IF(E2&lt;&gt;"",
      B2*E2,
      IF(D2&lt;&gt;"",B2*D2,"")
   ),
   ""
)</f>
        <v/>
      </c>
    </row>
    <row r="3" spans="1:10" x14ac:dyDescent="0.25">
      <c r="A3" s="49"/>
      <c r="B3" s="51"/>
      <c r="C3" t="str">
        <f>IFERROR(PROPER(VLOOKUP(A3,#REF!,2,FALSE)),"")</f>
        <v/>
      </c>
      <c r="D3" s="14" t="str">
        <f>IF(A3&lt;&gt;"",VLOOKUP(A3,'Full Price List'!$B$2:$O$2076,13,FALSE),"")</f>
        <v/>
      </c>
      <c r="E3" s="14" t="str">
        <f>IF(AND($J$1&lt;&gt;"",A3&lt;&gt;""),
   CEILING(
      VLOOKUP(A3,#REF!,13,FALSE) * (1 - $J$1/IF($J$1&gt;=1,100,1)),
      5
   ),
   ""
)</f>
        <v/>
      </c>
      <c r="F3" s="14" t="str">
        <f t="shared" si="0"/>
        <v/>
      </c>
    </row>
    <row r="4" spans="1:10" x14ac:dyDescent="0.25">
      <c r="A4" s="49"/>
      <c r="B4" s="51"/>
      <c r="C4" t="str">
        <f>IFERROR(PROPER(VLOOKUP(A4,#REF!,2,FALSE)),"")</f>
        <v/>
      </c>
      <c r="D4" s="14" t="str">
        <f>IF(A4&lt;&gt;"",VLOOKUP(A4,'Full Price List'!$B$2:$O$2076,13,FALSE),"")</f>
        <v/>
      </c>
      <c r="E4" s="14" t="str">
        <f>IF(AND($J$1&lt;&gt;"",A4&lt;&gt;""),
   CEILING(
      VLOOKUP(A4,#REF!,13,FALSE) * (1 - $J$1/IF($J$1&gt;=1,100,1)),
      5
   ),
   ""
)</f>
        <v/>
      </c>
      <c r="F4" s="14" t="str">
        <f t="shared" si="0"/>
        <v/>
      </c>
    </row>
    <row r="5" spans="1:10" x14ac:dyDescent="0.25">
      <c r="A5" s="49"/>
      <c r="B5" s="51"/>
      <c r="C5" t="str">
        <f>IFERROR(PROPER(VLOOKUP(A5,#REF!,2,FALSE)),"")</f>
        <v/>
      </c>
      <c r="D5" s="14" t="str">
        <f>IF(A5&lt;&gt;"",VLOOKUP(A5,'Full Price List'!$B$2:$O$2076,13,FALSE),"")</f>
        <v/>
      </c>
      <c r="E5" s="14" t="str">
        <f>IF(AND($J$1&lt;&gt;"",A5&lt;&gt;""),
   CEILING(
      VLOOKUP(A5,#REF!,13,FALSE) * (1 - $J$1/IF($J$1&gt;=1,100,1)),
      5
   ),
   ""
)</f>
        <v/>
      </c>
      <c r="F5" s="14" t="str">
        <f t="shared" si="0"/>
        <v/>
      </c>
    </row>
    <row r="6" spans="1:10" x14ac:dyDescent="0.25">
      <c r="A6" s="49"/>
      <c r="B6" s="51"/>
      <c r="C6" t="str">
        <f>IFERROR(PROPER(VLOOKUP(A6,#REF!,2,FALSE)),"")</f>
        <v/>
      </c>
      <c r="D6" s="14" t="str">
        <f>IF(A6&lt;&gt;"",VLOOKUP(A6,'Full Price List'!$B$2:$O$2076,13,FALSE),"")</f>
        <v/>
      </c>
      <c r="E6" s="14" t="str">
        <f>IF(AND($J$1&lt;&gt;"",A6&lt;&gt;""),
   CEILING(
      VLOOKUP(A6,#REF!,13,FALSE) * (1 - $J$1/IF($J$1&gt;=1,100,1)),
      5
   ),
   ""
)</f>
        <v/>
      </c>
      <c r="F6" s="14" t="str">
        <f t="shared" si="0"/>
        <v/>
      </c>
    </row>
    <row r="7" spans="1:10" x14ac:dyDescent="0.25">
      <c r="A7" s="49"/>
      <c r="B7" s="51"/>
      <c r="C7" t="str">
        <f>IFERROR(PROPER(VLOOKUP(A7,#REF!,2,FALSE)),"")</f>
        <v/>
      </c>
      <c r="D7" s="14" t="str">
        <f>IF(A7&lt;&gt;"",VLOOKUP(A7,'Full Price List'!$B$2:$O$2076,13,FALSE),"")</f>
        <v/>
      </c>
      <c r="E7" s="14" t="str">
        <f>IF(AND($J$1&lt;&gt;"",A7&lt;&gt;""),
   CEILING(
      VLOOKUP(A7,#REF!,13,FALSE) * (1 - $J$1/IF($J$1&gt;=1,100,1)),
      5
   ),
   ""
)</f>
        <v/>
      </c>
      <c r="F7" s="14" t="str">
        <f t="shared" si="0"/>
        <v/>
      </c>
    </row>
    <row r="8" spans="1:10" x14ac:dyDescent="0.25">
      <c r="A8" s="49"/>
      <c r="B8" s="51"/>
      <c r="C8" t="str">
        <f>IFERROR(PROPER(VLOOKUP(A8,#REF!,2,FALSE)),"")</f>
        <v/>
      </c>
      <c r="D8" s="14" t="str">
        <f>IF(A8&lt;&gt;"",VLOOKUP(A8,'Full Price List'!$B$2:$O$2076,13,FALSE),"")</f>
        <v/>
      </c>
      <c r="E8" s="14" t="str">
        <f>IF(AND($J$1&lt;&gt;"",A8&lt;&gt;""),
   CEILING(
      VLOOKUP(A8,#REF!,13,FALSE) * (1 - $J$1/IF($J$1&gt;=1,100,1)),
      5
   ),
   ""
)</f>
        <v/>
      </c>
      <c r="F8" s="14" t="str">
        <f t="shared" si="0"/>
        <v/>
      </c>
    </row>
    <row r="9" spans="1:10" x14ac:dyDescent="0.25">
      <c r="A9" s="49"/>
      <c r="B9" s="51"/>
      <c r="C9" t="str">
        <f>IFERROR(PROPER(VLOOKUP(A9,#REF!,2,FALSE)),"")</f>
        <v/>
      </c>
      <c r="D9" s="14" t="str">
        <f>IF(A9&lt;&gt;"",VLOOKUP(A9,'Full Price List'!$B$2:$O$2076,13,FALSE),"")</f>
        <v/>
      </c>
      <c r="E9" s="14" t="str">
        <f>IF(AND($J$1&lt;&gt;"",A9&lt;&gt;""),
   CEILING(
      VLOOKUP(A9,#REF!,13,FALSE) * (1 - $J$1/IF($J$1&gt;=1,100,1)),
      5
   ),
   ""
)</f>
        <v/>
      </c>
      <c r="F9" s="14" t="str">
        <f t="shared" si="0"/>
        <v/>
      </c>
    </row>
    <row r="10" spans="1:10" x14ac:dyDescent="0.25">
      <c r="A10" s="49"/>
      <c r="B10" s="51"/>
      <c r="C10" t="str">
        <f>IFERROR(PROPER(VLOOKUP(A10,#REF!,2,FALSE)),"")</f>
        <v/>
      </c>
      <c r="D10" s="14" t="str">
        <f>IF(A10&lt;&gt;"",VLOOKUP(A10,'Full Price List'!$B$2:$O$2076,13,FALSE),"")</f>
        <v/>
      </c>
      <c r="E10" s="14" t="str">
        <f>IF(AND($J$1&lt;&gt;"",A10&lt;&gt;""),
   CEILING(
      VLOOKUP(A10,#REF!,13,FALSE) * (1 - $J$1/IF($J$1&gt;=1,100,1)),
      5
   ),
   ""
)</f>
        <v/>
      </c>
      <c r="F10" s="14" t="str">
        <f t="shared" si="0"/>
        <v/>
      </c>
    </row>
    <row r="11" spans="1:10" x14ac:dyDescent="0.25">
      <c r="A11" s="49"/>
      <c r="B11" s="51"/>
      <c r="C11" t="str">
        <f>IFERROR(PROPER(VLOOKUP(A11,#REF!,2,FALSE)),"")</f>
        <v/>
      </c>
      <c r="D11" s="14" t="str">
        <f>IF(A11&lt;&gt;"",VLOOKUP(A11,'Full Price List'!$B$2:$O$2076,13,FALSE),"")</f>
        <v/>
      </c>
      <c r="E11" s="14" t="str">
        <f>IF(AND($J$1&lt;&gt;"",A11&lt;&gt;""),
   CEILING(
      VLOOKUP(A11,#REF!,13,FALSE) * (1 - $J$1/IF($J$1&gt;=1,100,1)),
      5
   ),
   ""
)</f>
        <v/>
      </c>
      <c r="F11" s="14" t="str">
        <f t="shared" si="0"/>
        <v/>
      </c>
    </row>
    <row r="12" spans="1:10" x14ac:dyDescent="0.25">
      <c r="A12" s="49"/>
      <c r="B12" s="51"/>
      <c r="C12" t="str">
        <f>IFERROR(PROPER(VLOOKUP(A12,#REF!,2,FALSE)),"")</f>
        <v/>
      </c>
      <c r="D12" s="14" t="str">
        <f>IF(A12&lt;&gt;"",VLOOKUP(A12,'Full Price List'!$B$2:$O$2076,13,FALSE),"")</f>
        <v/>
      </c>
      <c r="E12" s="14" t="str">
        <f>IF(AND($J$1&lt;&gt;"",A12&lt;&gt;""),
   CEILING(
      VLOOKUP(A12,#REF!,13,FALSE) * (1 - $J$1/IF($J$1&gt;=1,100,1)),
      5
   ),
   ""
)</f>
        <v/>
      </c>
      <c r="F12" s="14" t="str">
        <f t="shared" si="0"/>
        <v/>
      </c>
    </row>
    <row r="13" spans="1:10" x14ac:dyDescent="0.25">
      <c r="A13" s="49"/>
      <c r="B13" s="51"/>
      <c r="C13" t="str">
        <f>IFERROR(PROPER(VLOOKUP(A13,#REF!,2,FALSE)),"")</f>
        <v/>
      </c>
      <c r="D13" s="14" t="str">
        <f>IF(A13&lt;&gt;"",VLOOKUP(A13,'Full Price List'!$B$2:$O$2076,13,FALSE),"")</f>
        <v/>
      </c>
      <c r="E13" s="14" t="str">
        <f>IF(AND($J$1&lt;&gt;"",A13&lt;&gt;""),
   CEILING(
      VLOOKUP(A13,#REF!,13,FALSE) * (1 - $J$1/IF($J$1&gt;=1,100,1)),
      5
   ),
   ""
)</f>
        <v/>
      </c>
      <c r="F13" s="14" t="str">
        <f t="shared" si="0"/>
        <v/>
      </c>
    </row>
    <row r="14" spans="1:10" x14ac:dyDescent="0.25">
      <c r="A14" s="49"/>
      <c r="B14" s="51"/>
      <c r="C14" t="str">
        <f>IFERROR(PROPER(VLOOKUP(A14,#REF!,2,FALSE)),"")</f>
        <v/>
      </c>
      <c r="D14" s="14" t="str">
        <f>IF(A14&lt;&gt;"",VLOOKUP(A14,'Full Price List'!$B$2:$O$2076,13,FALSE),"")</f>
        <v/>
      </c>
      <c r="E14" s="14" t="str">
        <f>IF(AND($J$1&lt;&gt;"",A14&lt;&gt;""),
   CEILING(
      VLOOKUP(A14,#REF!,13,FALSE) * (1 - $J$1/IF($J$1&gt;=1,100,1)),
      5
   ),
   ""
)</f>
        <v/>
      </c>
      <c r="F14" s="14" t="str">
        <f t="shared" si="0"/>
        <v/>
      </c>
    </row>
    <row r="15" spans="1:10" x14ac:dyDescent="0.25">
      <c r="A15" s="49"/>
      <c r="B15" s="51"/>
      <c r="C15" t="str">
        <f>IFERROR(PROPER(VLOOKUP(A15,#REF!,2,FALSE)),"")</f>
        <v/>
      </c>
      <c r="D15" s="14" t="str">
        <f>IF(A15&lt;&gt;"",VLOOKUP(A15,'Full Price List'!$B$2:$O$2076,13,FALSE),"")</f>
        <v/>
      </c>
      <c r="E15" s="14" t="str">
        <f>IF(AND($J$1&lt;&gt;"",A15&lt;&gt;""),
   CEILING(
      VLOOKUP(A15,#REF!,13,FALSE) * (1 - $J$1/IF($J$1&gt;=1,100,1)),
      5
   ),
   ""
)</f>
        <v/>
      </c>
      <c r="F15" s="14" t="str">
        <f t="shared" si="0"/>
        <v/>
      </c>
    </row>
    <row r="16" spans="1:10" x14ac:dyDescent="0.25">
      <c r="A16" s="49"/>
      <c r="B16" s="51"/>
      <c r="C16" t="str">
        <f>IFERROR(PROPER(VLOOKUP(A16,#REF!,2,FALSE)),"")</f>
        <v/>
      </c>
      <c r="D16" s="14" t="str">
        <f>IF(A16&lt;&gt;"",VLOOKUP(A16,'Full Price List'!$B$2:$O$2076,13,FALSE),"")</f>
        <v/>
      </c>
      <c r="E16" s="14" t="str">
        <f>IF(AND($J$1&lt;&gt;"",A16&lt;&gt;""),
   CEILING(
      VLOOKUP(A16,#REF!,13,FALSE) * (1 - $J$1/IF($J$1&gt;=1,100,1)),
      5
   ),
   ""
)</f>
        <v/>
      </c>
      <c r="F16" s="14" t="str">
        <f t="shared" si="0"/>
        <v/>
      </c>
    </row>
    <row r="17" spans="1:7" x14ac:dyDescent="0.25">
      <c r="A17" s="49"/>
      <c r="B17" s="51"/>
      <c r="C17" t="str">
        <f>IFERROR(PROPER(VLOOKUP(A17,#REF!,2,FALSE)),"")</f>
        <v/>
      </c>
      <c r="D17" s="14" t="str">
        <f>IF(A17&lt;&gt;"",VLOOKUP(A17,'Full Price List'!$B$2:$O$2076,13,FALSE),"")</f>
        <v/>
      </c>
      <c r="E17" s="14" t="str">
        <f>IF(AND($J$1&lt;&gt;"",A17&lt;&gt;""),
   CEILING(
      VLOOKUP(A17,#REF!,13,FALSE) * (1 - $J$1/IF($J$1&gt;=1,100,1)),
      5
   ),
   ""
)</f>
        <v/>
      </c>
      <c r="F17" s="14" t="str">
        <f t="shared" si="0"/>
        <v/>
      </c>
    </row>
    <row r="18" spans="1:7" x14ac:dyDescent="0.25">
      <c r="A18" s="49"/>
      <c r="B18" s="51"/>
      <c r="C18" t="str">
        <f>IFERROR(PROPER(VLOOKUP(A18,#REF!,2,FALSE)),"")</f>
        <v/>
      </c>
      <c r="D18" s="14" t="str">
        <f>IF(A18&lt;&gt;"",VLOOKUP(A18,'Full Price List'!$B$2:$O$2076,13,FALSE),"")</f>
        <v/>
      </c>
      <c r="E18" s="14" t="str">
        <f>IF(AND($J$1&lt;&gt;"",A18&lt;&gt;""),
   CEILING(
      VLOOKUP(A18,#REF!,13,FALSE) * (1 - $J$1/IF($J$1&gt;=1,100,1)),
      5
   ),
   ""
)</f>
        <v/>
      </c>
      <c r="F18" s="14" t="str">
        <f t="shared" si="0"/>
        <v/>
      </c>
    </row>
    <row r="19" spans="1:7" x14ac:dyDescent="0.25">
      <c r="A19" s="49"/>
      <c r="B19" s="51"/>
      <c r="C19" t="str">
        <f>IFERROR(PROPER(VLOOKUP(A19,#REF!,2,FALSE)),"")</f>
        <v/>
      </c>
      <c r="D19" s="14" t="str">
        <f>IF(A19&lt;&gt;"",VLOOKUP(A19,'Full Price List'!$B$2:$O$2076,13,FALSE),"")</f>
        <v/>
      </c>
      <c r="E19" s="14" t="str">
        <f>IF(AND($J$1&lt;&gt;"",A19&lt;&gt;""),
   CEILING(
      VLOOKUP(A19,#REF!,13,FALSE) * (1 - $J$1/IF($J$1&gt;=1,100,1)),
      5
   ),
   ""
)</f>
        <v/>
      </c>
      <c r="F19" s="14" t="str">
        <f t="shared" si="0"/>
        <v/>
      </c>
    </row>
    <row r="20" spans="1:7" x14ac:dyDescent="0.25">
      <c r="A20" s="49"/>
      <c r="B20" s="51"/>
      <c r="C20" t="str">
        <f>IFERROR(PROPER(VLOOKUP(A20,#REF!,2,FALSE)),"")</f>
        <v/>
      </c>
      <c r="D20" s="14" t="str">
        <f>IF(A20&lt;&gt;"",VLOOKUP(A20,'Full Price List'!$B$2:$O$2076,13,FALSE),"")</f>
        <v/>
      </c>
      <c r="E20" s="14" t="str">
        <f>IF(AND($J$1&lt;&gt;"",A20&lt;&gt;""),
   CEILING(
      VLOOKUP(A20,#REF!,13,FALSE) * (1 - $J$1/IF($J$1&gt;=1,100,1)),
      5
   ),
   ""
)</f>
        <v/>
      </c>
      <c r="F20" s="14" t="str">
        <f t="shared" si="0"/>
        <v/>
      </c>
    </row>
    <row r="21" spans="1:7" x14ac:dyDescent="0.25">
      <c r="A21" s="49"/>
      <c r="B21" s="51"/>
      <c r="C21" t="str">
        <f>IFERROR(PROPER(VLOOKUP(A21,#REF!,2,FALSE)),"")</f>
        <v/>
      </c>
      <c r="D21" s="14" t="str">
        <f>IF(A21&lt;&gt;"",VLOOKUP(A21,'Full Price List'!$B$2:$O$2076,13,FALSE),"")</f>
        <v/>
      </c>
      <c r="E21" s="14" t="str">
        <f>IF(AND($J$1&lt;&gt;"",A21&lt;&gt;""),
   CEILING(
      VLOOKUP(A21,#REF!,13,FALSE) * (1 - $J$1/IF($J$1&gt;=1,100,1)),
      5
   ),
   ""
)</f>
        <v/>
      </c>
      <c r="F21" s="14" t="str">
        <f t="shared" si="0"/>
        <v/>
      </c>
    </row>
    <row r="22" spans="1:7" x14ac:dyDescent="0.25">
      <c r="A22" s="49"/>
      <c r="B22" s="51"/>
      <c r="C22" t="str">
        <f>IFERROR(PROPER(VLOOKUP(A22,#REF!,2,FALSE)),"")</f>
        <v/>
      </c>
      <c r="D22" s="14" t="str">
        <f>IF(A22&lt;&gt;"",VLOOKUP(A22,'Full Price List'!$B$2:$O$2076,13,FALSE),"")</f>
        <v/>
      </c>
      <c r="E22" s="14" t="str">
        <f>IF(AND($J$1&lt;&gt;"",A22&lt;&gt;""),
   CEILING(
      VLOOKUP(A22,#REF!,13,FALSE) * (1 - $J$1/IF($J$1&gt;=1,100,1)),
      5
   ),
   ""
)</f>
        <v/>
      </c>
      <c r="F22" s="14" t="str">
        <f t="shared" si="0"/>
        <v/>
      </c>
    </row>
    <row r="23" spans="1:7" x14ac:dyDescent="0.25">
      <c r="A23" s="49"/>
      <c r="B23" s="51"/>
      <c r="C23" t="str">
        <f>IFERROR(PROPER(VLOOKUP(A23,#REF!,2,FALSE)),"")</f>
        <v/>
      </c>
      <c r="D23" s="14" t="str">
        <f>IF(A23&lt;&gt;"",VLOOKUP(A23,'Full Price List'!$B$2:$O$2076,13,FALSE),"")</f>
        <v/>
      </c>
      <c r="E23" s="14" t="str">
        <f>IF(AND($J$1&lt;&gt;"",A23&lt;&gt;""),
   CEILING(
      VLOOKUP(A23,#REF!,13,FALSE) * (1 - $J$1/IF($J$1&gt;=1,100,1)),
      5
   ),
   ""
)</f>
        <v/>
      </c>
      <c r="F23" s="14" t="str">
        <f t="shared" si="0"/>
        <v/>
      </c>
    </row>
    <row r="24" spans="1:7" x14ac:dyDescent="0.25">
      <c r="A24" s="49"/>
      <c r="B24" s="51"/>
      <c r="C24" t="str">
        <f>IFERROR(PROPER(VLOOKUP(A24,#REF!,2,FALSE)),"")</f>
        <v/>
      </c>
      <c r="D24" s="14" t="str">
        <f>IF(A24&lt;&gt;"",VLOOKUP(A24,'Full Price List'!$B$2:$O$2076,13,FALSE),"")</f>
        <v/>
      </c>
      <c r="E24" s="14" t="str">
        <f>IF(AND($J$1&lt;&gt;"",A24&lt;&gt;""),
   CEILING(
      VLOOKUP(A24,#REF!,13,FALSE) * (1 - $J$1/IF($J$1&gt;=1,100,1)),
      5
   ),
   ""
)</f>
        <v/>
      </c>
      <c r="F24" s="14" t="str">
        <f t="shared" si="0"/>
        <v/>
      </c>
    </row>
    <row r="25" spans="1:7" x14ac:dyDescent="0.25">
      <c r="A25" s="49"/>
      <c r="B25" s="51"/>
      <c r="C25" t="str">
        <f>IFERROR(PROPER(VLOOKUP(A25,#REF!,2,FALSE)),"")</f>
        <v/>
      </c>
      <c r="D25" s="14" t="str">
        <f>IF(A25&lt;&gt;"",VLOOKUP(A25,'Full Price List'!$B$2:$O$2076,13,FALSE),"")</f>
        <v/>
      </c>
      <c r="E25" s="14" t="str">
        <f>IF(AND($J$1&lt;&gt;"",A25&lt;&gt;""),
   CEILING(
      VLOOKUP(A25,#REF!,13,FALSE) * (1 - $J$1/IF($J$1&gt;=1,100,1)),
      5
   ),
   ""
)</f>
        <v/>
      </c>
      <c r="F25" s="14" t="str">
        <f t="shared" si="0"/>
        <v/>
      </c>
    </row>
    <row r="26" spans="1:7" x14ac:dyDescent="0.25">
      <c r="A26" s="49"/>
      <c r="B26" s="51"/>
      <c r="C26" t="str">
        <f>IFERROR(PROPER(VLOOKUP(A26,#REF!,2,FALSE)),"")</f>
        <v/>
      </c>
      <c r="D26" s="14" t="str">
        <f>IF(A26&lt;&gt;"",VLOOKUP(A26,'Full Price List'!$B$2:$O$2076,13,FALSE),"")</f>
        <v/>
      </c>
      <c r="E26" s="14" t="str">
        <f>IF(AND($J$1&lt;&gt;"",A26&lt;&gt;""),
   CEILING(
      VLOOKUP(A26,#REF!,13,FALSE) * (1 - $J$1/IF($J$1&gt;=1,100,1)),
      5
   ),
   ""
)</f>
        <v/>
      </c>
      <c r="F26" s="14" t="str">
        <f t="shared" si="0"/>
        <v/>
      </c>
    </row>
    <row r="27" spans="1:7" x14ac:dyDescent="0.25">
      <c r="A27" s="49"/>
      <c r="B27" s="51"/>
      <c r="C27" t="str">
        <f>IFERROR(PROPER(VLOOKUP(A27,#REF!,2,FALSE)),"")</f>
        <v/>
      </c>
      <c r="D27" s="14" t="str">
        <f>IF(A27&lt;&gt;"",VLOOKUP(A27,'Full Price List'!$B$2:$O$2076,13,FALSE),"")</f>
        <v/>
      </c>
      <c r="E27" s="14" t="str">
        <f>IF(AND($J$1&lt;&gt;"",A27&lt;&gt;""),
   CEILING(
      VLOOKUP(A27,#REF!,13,FALSE) * (1 - $J$1/IF($J$1&gt;=1,100,1)),
      5
   ),
   ""
)</f>
        <v/>
      </c>
      <c r="F27" s="14" t="str">
        <f t="shared" si="0"/>
        <v/>
      </c>
    </row>
    <row r="28" spans="1:7" x14ac:dyDescent="0.25">
      <c r="A28" s="49"/>
      <c r="B28" s="51"/>
      <c r="C28" t="str">
        <f>IFERROR(PROPER(VLOOKUP(A28,#REF!,2,FALSE)),"")</f>
        <v/>
      </c>
      <c r="D28" s="14" t="str">
        <f>IF(A28&lt;&gt;"",VLOOKUP(A28,'Full Price List'!$B$2:$O$2076,13,FALSE),"")</f>
        <v/>
      </c>
      <c r="E28" s="14" t="str">
        <f>IF(AND($J$1&lt;&gt;"",A28&lt;&gt;""),
   CEILING(
      VLOOKUP(A28,#REF!,13,FALSE) * (1 - $J$1/IF($J$1&gt;=1,100,1)),
      5
   ),
   ""
)</f>
        <v/>
      </c>
      <c r="F28" s="14" t="str">
        <f t="shared" si="0"/>
        <v/>
      </c>
    </row>
    <row r="29" spans="1:7" x14ac:dyDescent="0.25">
      <c r="A29" s="49"/>
      <c r="B29" s="51"/>
      <c r="C29" t="str">
        <f>IFERROR(PROPER(VLOOKUP(A29,#REF!,2,FALSE)),"")</f>
        <v/>
      </c>
      <c r="D29" s="14" t="str">
        <f>IF(A29&lt;&gt;"",VLOOKUP(A29,'Full Price List'!$B$2:$O$2076,13,FALSE),"")</f>
        <v/>
      </c>
      <c r="E29" s="14" t="str">
        <f>IF(AND($J$1&lt;&gt;"",A29&lt;&gt;""),
   CEILING(
      VLOOKUP(A29,#REF!,13,FALSE) * (1 - $J$1/IF($J$1&gt;=1,100,1)),
      5
   ),
   ""
)</f>
        <v/>
      </c>
      <c r="F29" s="14" t="str">
        <f t="shared" si="0"/>
        <v/>
      </c>
    </row>
    <row r="30" spans="1:7" x14ac:dyDescent="0.25">
      <c r="A30" s="49"/>
      <c r="B30" s="51"/>
      <c r="C30" t="str">
        <f>IFERROR(PROPER(VLOOKUP(A30,#REF!,2,FALSE)),"")</f>
        <v/>
      </c>
      <c r="D30" s="14" t="str">
        <f>IF(A30&lt;&gt;"",VLOOKUP(A30,'Full Price List'!$B$2:$O$2076,13,FALSE),"")</f>
        <v/>
      </c>
      <c r="E30" s="14" t="str">
        <f>IF(AND($J$1&lt;&gt;"",A30&lt;&gt;""),
   CEILING(
      VLOOKUP(A30,#REF!,13,FALSE) * (1 - $J$1/IF($J$1&gt;=1,100,1)),
      5
   ),
   ""
)</f>
        <v/>
      </c>
      <c r="F30" s="14" t="str">
        <f t="shared" si="0"/>
        <v/>
      </c>
    </row>
    <row r="31" spans="1:7" x14ac:dyDescent="0.25">
      <c r="A31" s="48" t="s">
        <v>801</v>
      </c>
      <c r="B31" s="52" t="str">
        <f>IF(SUBTOTAL(109,Table4232526[Quantity])=0,"",SUBTOTAL(109,Table4232526[Quantity]))</f>
        <v/>
      </c>
      <c r="F31" s="53" t="str">
        <f>IF(SUBTOTAL(109,Table4232526[Total])=0,"",SUBTOTAL(109,Table4232526[Total]))</f>
        <v/>
      </c>
    </row>
    <row r="32" spans="1:7" x14ac:dyDescent="0.25">
      <c r="A32" s="56"/>
      <c r="B32" s="57"/>
      <c r="C32" s="58" t="str">
        <f>IF(ISNUMBER(E32),"Discount","")</f>
        <v/>
      </c>
      <c r="D32" s="65"/>
      <c r="E32" s="63"/>
      <c r="F32" s="59" t="str">
        <f>IF(ISNUMBER(E32),MROUND(F31*E32,5),"")</f>
        <v/>
      </c>
      <c r="G32" t="s">
        <v>804</v>
      </c>
    </row>
    <row r="33" spans="1:6" x14ac:dyDescent="0.25">
      <c r="A33" s="60"/>
      <c r="B33" s="61"/>
      <c r="C33" s="62" t="s">
        <v>806</v>
      </c>
      <c r="D33" s="66"/>
      <c r="E33" s="55"/>
      <c r="F33" s="64" t="str">
        <f>IF(AND(ISNUMBER(F31),ISNUMBER(F32)),F31-F32,IF(F31&lt;&gt;"",F31,""))</f>
        <v/>
      </c>
    </row>
  </sheetData>
  <sheetProtection sheet="1" objects="1" scenarios="1"/>
  <printOptions horizontalCentered="1" verticalCentered="1"/>
  <pageMargins left="0" right="0" top="0" bottom="0" header="0" footer="0"/>
  <pageSetup paperSize="11" orientation="portrait" horizontalDpi="240" verticalDpi="144" r:id="rId1"/>
  <headerFooter>
    <oddFooter>&amp;C&amp;D,&amp;T</oddFooter>
  </headerFooter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4B8BD-0517-46F6-9BCF-9C6FD676802D}">
  <dimension ref="A1:I428"/>
  <sheetViews>
    <sheetView workbookViewId="0">
      <selection activeCell="C14" sqref="C14"/>
    </sheetView>
  </sheetViews>
  <sheetFormatPr defaultRowHeight="15.75" x14ac:dyDescent="0.25"/>
  <cols>
    <col min="1" max="1" width="13.7109375" style="9" bestFit="1" customWidth="1"/>
    <col min="2" max="2" width="10" style="8" bestFit="1" customWidth="1"/>
    <col min="3" max="3" width="12.7109375" style="8" bestFit="1" customWidth="1"/>
    <col min="4" max="4" width="9.85546875" style="47" bestFit="1" customWidth="1"/>
    <col min="5" max="5" width="10.42578125" style="47" bestFit="1" customWidth="1"/>
    <col min="6" max="6" width="11.42578125" style="47" bestFit="1" customWidth="1"/>
    <col min="7" max="7" width="12.42578125" style="47" bestFit="1" customWidth="1"/>
    <col min="8" max="9" width="11.140625" style="47" bestFit="1" customWidth="1"/>
  </cols>
  <sheetData>
    <row r="1" spans="1:9" x14ac:dyDescent="0.25">
      <c r="A1" s="9" t="s">
        <v>696</v>
      </c>
      <c r="B1" s="8" t="s">
        <v>427</v>
      </c>
      <c r="C1" s="8" t="s">
        <v>503</v>
      </c>
      <c r="D1" s="47" t="s">
        <v>752</v>
      </c>
      <c r="E1"/>
      <c r="F1"/>
      <c r="G1"/>
      <c r="H1"/>
      <c r="I1"/>
    </row>
    <row r="2" spans="1:9" x14ac:dyDescent="0.25">
      <c r="A2" s="9">
        <v>101</v>
      </c>
      <c r="B2" s="8" t="s">
        <v>284</v>
      </c>
      <c r="C2" s="8" t="s">
        <v>698</v>
      </c>
      <c r="D2" s="47">
        <v>540</v>
      </c>
      <c r="E2"/>
      <c r="F2"/>
      <c r="G2"/>
      <c r="H2"/>
      <c r="I2"/>
    </row>
    <row r="3" spans="1:9" x14ac:dyDescent="0.25">
      <c r="A3" s="9">
        <v>102</v>
      </c>
      <c r="B3" s="8" t="s">
        <v>284</v>
      </c>
      <c r="C3" s="8" t="s">
        <v>699</v>
      </c>
      <c r="D3" s="47">
        <v>535</v>
      </c>
      <c r="E3"/>
      <c r="F3"/>
      <c r="G3"/>
      <c r="H3"/>
      <c r="I3"/>
    </row>
    <row r="4" spans="1:9" x14ac:dyDescent="0.25">
      <c r="A4" s="9">
        <v>105</v>
      </c>
      <c r="B4" s="8" t="s">
        <v>284</v>
      </c>
      <c r="C4" s="8" t="s">
        <v>497</v>
      </c>
      <c r="D4" s="47">
        <v>16315</v>
      </c>
      <c r="E4"/>
      <c r="F4"/>
      <c r="G4"/>
      <c r="H4"/>
      <c r="I4"/>
    </row>
    <row r="5" spans="1:9" x14ac:dyDescent="0.25">
      <c r="A5" s="9">
        <v>106</v>
      </c>
      <c r="B5" s="8" t="s">
        <v>284</v>
      </c>
      <c r="C5" s="8" t="s">
        <v>497</v>
      </c>
      <c r="D5" s="47">
        <v>11105</v>
      </c>
      <c r="E5"/>
      <c r="F5"/>
      <c r="G5"/>
      <c r="H5"/>
      <c r="I5"/>
    </row>
    <row r="6" spans="1:9" x14ac:dyDescent="0.25">
      <c r="A6" s="9">
        <v>107</v>
      </c>
      <c r="B6" s="8" t="s">
        <v>277</v>
      </c>
      <c r="C6" s="8" t="s">
        <v>497</v>
      </c>
      <c r="D6" s="47">
        <v>3530</v>
      </c>
      <c r="E6"/>
      <c r="F6"/>
      <c r="G6"/>
      <c r="H6"/>
      <c r="I6"/>
    </row>
    <row r="7" spans="1:9" x14ac:dyDescent="0.25">
      <c r="A7" s="9">
        <v>108</v>
      </c>
      <c r="B7" s="8" t="s">
        <v>277</v>
      </c>
      <c r="C7" s="8" t="s">
        <v>497</v>
      </c>
      <c r="D7" s="47">
        <v>4845</v>
      </c>
      <c r="E7"/>
      <c r="F7"/>
      <c r="G7"/>
      <c r="H7"/>
      <c r="I7"/>
    </row>
    <row r="8" spans="1:9" x14ac:dyDescent="0.25">
      <c r="A8" s="9">
        <v>109</v>
      </c>
      <c r="B8" s="8" t="s">
        <v>284</v>
      </c>
      <c r="C8" s="8" t="s">
        <v>497</v>
      </c>
      <c r="D8" s="47">
        <v>11115</v>
      </c>
      <c r="E8"/>
      <c r="F8"/>
      <c r="G8"/>
      <c r="H8"/>
      <c r="I8"/>
    </row>
    <row r="9" spans="1:9" x14ac:dyDescent="0.25">
      <c r="A9" s="9">
        <v>110</v>
      </c>
      <c r="B9" s="8" t="s">
        <v>277</v>
      </c>
      <c r="C9" s="8" t="s">
        <v>497</v>
      </c>
      <c r="D9" s="47">
        <v>4960</v>
      </c>
      <c r="E9"/>
      <c r="F9"/>
      <c r="G9"/>
      <c r="H9"/>
      <c r="I9"/>
    </row>
    <row r="10" spans="1:9" x14ac:dyDescent="0.25">
      <c r="A10" s="9">
        <v>112</v>
      </c>
      <c r="B10" s="8" t="s">
        <v>284</v>
      </c>
      <c r="C10" s="8" t="s">
        <v>497</v>
      </c>
      <c r="D10" s="47">
        <v>5905</v>
      </c>
      <c r="E10"/>
      <c r="F10"/>
      <c r="G10"/>
      <c r="H10"/>
      <c r="I10"/>
    </row>
    <row r="11" spans="1:9" x14ac:dyDescent="0.25">
      <c r="A11" s="9">
        <v>113</v>
      </c>
      <c r="B11" s="8" t="s">
        <v>277</v>
      </c>
      <c r="C11" s="8" t="s">
        <v>497</v>
      </c>
      <c r="D11" s="47">
        <v>6910</v>
      </c>
      <c r="E11"/>
      <c r="F11"/>
      <c r="G11"/>
      <c r="H11"/>
      <c r="I11"/>
    </row>
    <row r="12" spans="1:9" x14ac:dyDescent="0.25">
      <c r="A12" s="9">
        <v>114</v>
      </c>
      <c r="B12" s="8" t="s">
        <v>277</v>
      </c>
      <c r="C12" s="8" t="s">
        <v>494</v>
      </c>
      <c r="D12" s="47">
        <v>425</v>
      </c>
      <c r="E12"/>
      <c r="F12"/>
      <c r="G12"/>
      <c r="H12"/>
      <c r="I12"/>
    </row>
    <row r="13" spans="1:9" x14ac:dyDescent="0.25">
      <c r="A13" s="9">
        <v>115</v>
      </c>
      <c r="B13" s="8" t="s">
        <v>284</v>
      </c>
      <c r="C13" s="8" t="s">
        <v>497</v>
      </c>
      <c r="D13" s="47">
        <v>1805</v>
      </c>
      <c r="E13"/>
      <c r="F13"/>
      <c r="G13"/>
      <c r="H13"/>
      <c r="I13"/>
    </row>
    <row r="14" spans="1:9" x14ac:dyDescent="0.25">
      <c r="A14" s="9">
        <v>116</v>
      </c>
      <c r="B14" s="8" t="s">
        <v>277</v>
      </c>
      <c r="C14" s="8" t="s">
        <v>497</v>
      </c>
      <c r="D14" s="47">
        <v>5480</v>
      </c>
      <c r="E14"/>
      <c r="F14"/>
      <c r="G14"/>
      <c r="H14"/>
      <c r="I14"/>
    </row>
    <row r="15" spans="1:9" x14ac:dyDescent="0.25">
      <c r="A15" s="9">
        <v>117</v>
      </c>
      <c r="B15" s="8" t="s">
        <v>284</v>
      </c>
      <c r="C15" s="8" t="s">
        <v>497</v>
      </c>
      <c r="D15" s="47">
        <v>2960</v>
      </c>
      <c r="E15"/>
      <c r="F15"/>
      <c r="G15"/>
      <c r="H15"/>
      <c r="I15"/>
    </row>
    <row r="16" spans="1:9" x14ac:dyDescent="0.25">
      <c r="A16" s="9">
        <v>118</v>
      </c>
      <c r="B16" s="8" t="s">
        <v>284</v>
      </c>
      <c r="C16" s="8" t="s">
        <v>497</v>
      </c>
      <c r="D16" s="47">
        <v>3610</v>
      </c>
      <c r="E16"/>
      <c r="F16"/>
      <c r="G16"/>
      <c r="H16"/>
      <c r="I16"/>
    </row>
    <row r="17" spans="1:9" x14ac:dyDescent="0.25">
      <c r="A17" s="9">
        <v>119</v>
      </c>
      <c r="B17" s="8" t="s">
        <v>277</v>
      </c>
      <c r="C17" s="8" t="s">
        <v>497</v>
      </c>
      <c r="D17" s="47">
        <v>1680</v>
      </c>
      <c r="E17"/>
      <c r="F17"/>
      <c r="G17"/>
      <c r="H17"/>
      <c r="I17"/>
    </row>
    <row r="18" spans="1:9" x14ac:dyDescent="0.25">
      <c r="A18" s="9">
        <v>124</v>
      </c>
      <c r="B18" s="8" t="s">
        <v>277</v>
      </c>
      <c r="C18" s="8" t="s">
        <v>497</v>
      </c>
      <c r="D18" s="47">
        <v>3920</v>
      </c>
      <c r="E18"/>
      <c r="F18"/>
      <c r="G18"/>
      <c r="H18"/>
      <c r="I18"/>
    </row>
    <row r="19" spans="1:9" x14ac:dyDescent="0.25">
      <c r="A19" s="9">
        <v>125</v>
      </c>
      <c r="B19" s="8" t="s">
        <v>277</v>
      </c>
      <c r="C19" s="8" t="s">
        <v>497</v>
      </c>
      <c r="D19" s="47">
        <v>6275</v>
      </c>
      <c r="E19"/>
      <c r="F19"/>
      <c r="G19"/>
      <c r="H19"/>
      <c r="I19"/>
    </row>
    <row r="20" spans="1:9" x14ac:dyDescent="0.25">
      <c r="A20" s="9">
        <v>126</v>
      </c>
      <c r="B20" s="8" t="s">
        <v>277</v>
      </c>
      <c r="C20" s="8" t="s">
        <v>497</v>
      </c>
      <c r="D20" s="47">
        <v>2620</v>
      </c>
      <c r="E20"/>
      <c r="F20"/>
      <c r="G20"/>
      <c r="H20"/>
      <c r="I20"/>
    </row>
    <row r="21" spans="1:9" x14ac:dyDescent="0.25">
      <c r="A21" s="9">
        <v>128</v>
      </c>
      <c r="B21" s="8" t="s">
        <v>284</v>
      </c>
      <c r="C21" s="8" t="s">
        <v>497</v>
      </c>
      <c r="D21" s="47">
        <v>2750</v>
      </c>
      <c r="E21"/>
      <c r="F21"/>
      <c r="G21"/>
      <c r="H21"/>
      <c r="I21"/>
    </row>
    <row r="22" spans="1:9" x14ac:dyDescent="0.25">
      <c r="A22" s="9">
        <v>129</v>
      </c>
      <c r="B22" s="8" t="s">
        <v>277</v>
      </c>
      <c r="C22" s="8" t="s">
        <v>497</v>
      </c>
      <c r="D22" s="47">
        <v>2750</v>
      </c>
      <c r="E22"/>
      <c r="F22"/>
      <c r="G22"/>
      <c r="H22"/>
      <c r="I22"/>
    </row>
    <row r="23" spans="1:9" x14ac:dyDescent="0.25">
      <c r="A23" s="9">
        <v>130</v>
      </c>
      <c r="B23" s="8" t="s">
        <v>284</v>
      </c>
      <c r="C23" s="8" t="s">
        <v>497</v>
      </c>
      <c r="D23" s="47">
        <v>2360</v>
      </c>
      <c r="E23"/>
      <c r="F23"/>
      <c r="G23"/>
      <c r="H23"/>
      <c r="I23"/>
    </row>
    <row r="24" spans="1:9" x14ac:dyDescent="0.25">
      <c r="A24" s="9">
        <v>131</v>
      </c>
      <c r="B24" s="8" t="s">
        <v>277</v>
      </c>
      <c r="C24" s="8" t="s">
        <v>497</v>
      </c>
      <c r="D24" s="47">
        <v>3920</v>
      </c>
      <c r="E24"/>
      <c r="F24"/>
      <c r="G24"/>
      <c r="H24"/>
      <c r="I24"/>
    </row>
    <row r="25" spans="1:9" x14ac:dyDescent="0.25">
      <c r="A25" s="9">
        <v>132</v>
      </c>
      <c r="B25" s="8" t="s">
        <v>284</v>
      </c>
      <c r="C25" s="8" t="s">
        <v>497</v>
      </c>
      <c r="D25" s="47">
        <v>2230</v>
      </c>
      <c r="E25"/>
      <c r="F25"/>
      <c r="G25"/>
      <c r="H25"/>
      <c r="I25"/>
    </row>
    <row r="26" spans="1:9" x14ac:dyDescent="0.25">
      <c r="A26" s="9">
        <v>133</v>
      </c>
      <c r="B26" s="8" t="s">
        <v>277</v>
      </c>
      <c r="C26" s="8" t="s">
        <v>497</v>
      </c>
      <c r="D26" s="47">
        <v>7820</v>
      </c>
      <c r="E26"/>
      <c r="F26"/>
      <c r="G26"/>
      <c r="H26"/>
      <c r="I26"/>
    </row>
    <row r="27" spans="1:9" x14ac:dyDescent="0.25">
      <c r="A27" s="9">
        <v>134</v>
      </c>
      <c r="B27" s="8" t="s">
        <v>277</v>
      </c>
      <c r="C27" s="8" t="s">
        <v>497</v>
      </c>
      <c r="D27" s="47">
        <v>1190</v>
      </c>
      <c r="E27"/>
      <c r="F27"/>
      <c r="G27"/>
      <c r="H27"/>
      <c r="I27"/>
    </row>
    <row r="28" spans="1:9" x14ac:dyDescent="0.25">
      <c r="A28" s="9">
        <v>135</v>
      </c>
      <c r="B28" s="8" t="s">
        <v>277</v>
      </c>
      <c r="C28" s="8" t="s">
        <v>497</v>
      </c>
      <c r="D28" s="47">
        <v>1970</v>
      </c>
      <c r="E28"/>
      <c r="F28"/>
      <c r="G28"/>
      <c r="H28"/>
      <c r="I28"/>
    </row>
    <row r="29" spans="1:9" x14ac:dyDescent="0.25">
      <c r="A29" s="9">
        <v>136</v>
      </c>
      <c r="B29" s="8" t="s">
        <v>284</v>
      </c>
      <c r="C29" s="8" t="s">
        <v>497</v>
      </c>
      <c r="D29" s="47">
        <v>1810</v>
      </c>
      <c r="E29"/>
      <c r="F29"/>
      <c r="G29"/>
      <c r="H29"/>
      <c r="I29"/>
    </row>
    <row r="30" spans="1:9" x14ac:dyDescent="0.25">
      <c r="A30" s="9">
        <v>137</v>
      </c>
      <c r="B30" s="8" t="s">
        <v>277</v>
      </c>
      <c r="C30" s="8" t="s">
        <v>497</v>
      </c>
      <c r="D30" s="47">
        <v>8470</v>
      </c>
      <c r="E30"/>
      <c r="F30"/>
      <c r="G30"/>
      <c r="H30"/>
      <c r="I30"/>
    </row>
    <row r="31" spans="1:9" x14ac:dyDescent="0.25">
      <c r="A31" s="9">
        <v>138</v>
      </c>
      <c r="B31" s="8" t="s">
        <v>277</v>
      </c>
      <c r="C31" s="8" t="s">
        <v>497</v>
      </c>
      <c r="D31" s="47">
        <v>11720</v>
      </c>
      <c r="E31"/>
      <c r="F31"/>
      <c r="G31"/>
      <c r="H31"/>
      <c r="I31"/>
    </row>
    <row r="32" spans="1:9" x14ac:dyDescent="0.25">
      <c r="A32" s="9">
        <v>139</v>
      </c>
      <c r="B32" s="8" t="s">
        <v>277</v>
      </c>
      <c r="C32" s="8" t="s">
        <v>497</v>
      </c>
      <c r="D32" s="47">
        <v>6695</v>
      </c>
      <c r="E32"/>
      <c r="F32"/>
      <c r="G32"/>
      <c r="H32"/>
      <c r="I32"/>
    </row>
    <row r="33" spans="1:9" x14ac:dyDescent="0.25">
      <c r="A33" s="9">
        <v>140</v>
      </c>
      <c r="B33" s="8" t="s">
        <v>277</v>
      </c>
      <c r="C33" s="8" t="s">
        <v>494</v>
      </c>
      <c r="D33" s="47">
        <v>485</v>
      </c>
      <c r="E33"/>
      <c r="F33"/>
      <c r="G33"/>
      <c r="H33"/>
      <c r="I33"/>
    </row>
    <row r="34" spans="1:9" x14ac:dyDescent="0.25">
      <c r="A34" s="9">
        <v>141</v>
      </c>
      <c r="B34" s="8" t="s">
        <v>277</v>
      </c>
      <c r="C34" s="8" t="s">
        <v>497</v>
      </c>
      <c r="D34" s="47">
        <v>5885</v>
      </c>
      <c r="E34"/>
      <c r="F34"/>
      <c r="G34"/>
      <c r="H34"/>
      <c r="I34"/>
    </row>
    <row r="35" spans="1:9" x14ac:dyDescent="0.25">
      <c r="A35" s="9">
        <v>142</v>
      </c>
      <c r="B35" s="8" t="s">
        <v>284</v>
      </c>
      <c r="C35" s="8" t="s">
        <v>494</v>
      </c>
      <c r="D35" s="47">
        <v>860</v>
      </c>
      <c r="E35"/>
      <c r="F35"/>
      <c r="G35"/>
      <c r="H35"/>
      <c r="I35"/>
    </row>
    <row r="36" spans="1:9" x14ac:dyDescent="0.25">
      <c r="A36" s="9">
        <v>143</v>
      </c>
      <c r="B36" s="8" t="s">
        <v>284</v>
      </c>
      <c r="C36" s="8" t="s">
        <v>494</v>
      </c>
      <c r="D36" s="47">
        <v>1115</v>
      </c>
      <c r="E36"/>
      <c r="F36"/>
      <c r="G36"/>
      <c r="H36"/>
      <c r="I36"/>
    </row>
    <row r="37" spans="1:9" x14ac:dyDescent="0.25">
      <c r="A37" s="9">
        <v>144</v>
      </c>
      <c r="B37" s="8" t="s">
        <v>277</v>
      </c>
      <c r="C37" s="8" t="s">
        <v>497</v>
      </c>
      <c r="D37" s="47">
        <v>1920</v>
      </c>
      <c r="E37"/>
      <c r="F37"/>
      <c r="G37"/>
      <c r="H37"/>
      <c r="I37"/>
    </row>
    <row r="38" spans="1:9" x14ac:dyDescent="0.25">
      <c r="A38" s="9">
        <v>145</v>
      </c>
      <c r="B38" s="8" t="s">
        <v>277</v>
      </c>
      <c r="C38" s="8" t="s">
        <v>497</v>
      </c>
      <c r="D38" s="47">
        <v>16935</v>
      </c>
      <c r="E38"/>
      <c r="F38"/>
      <c r="G38"/>
      <c r="H38"/>
      <c r="I38"/>
    </row>
    <row r="39" spans="1:9" x14ac:dyDescent="0.25">
      <c r="A39" s="9">
        <v>146</v>
      </c>
      <c r="B39" s="8" t="s">
        <v>277</v>
      </c>
      <c r="C39" s="8" t="s">
        <v>497</v>
      </c>
      <c r="D39" s="47">
        <v>20835</v>
      </c>
      <c r="E39"/>
      <c r="F39"/>
      <c r="G39"/>
      <c r="H39"/>
      <c r="I39"/>
    </row>
    <row r="40" spans="1:9" x14ac:dyDescent="0.25">
      <c r="A40" s="9">
        <v>147</v>
      </c>
      <c r="B40" s="8" t="s">
        <v>284</v>
      </c>
      <c r="C40" s="8" t="s">
        <v>497</v>
      </c>
      <c r="D40" s="47">
        <v>23435</v>
      </c>
      <c r="E40"/>
      <c r="F40"/>
      <c r="G40"/>
      <c r="H40"/>
      <c r="I40"/>
    </row>
    <row r="41" spans="1:9" x14ac:dyDescent="0.25">
      <c r="A41" s="9">
        <v>148</v>
      </c>
      <c r="B41" s="8" t="s">
        <v>284</v>
      </c>
      <c r="C41" s="8" t="s">
        <v>497</v>
      </c>
      <c r="D41" s="47">
        <v>24735</v>
      </c>
      <c r="E41"/>
      <c r="F41"/>
      <c r="G41"/>
      <c r="H41"/>
      <c r="I41"/>
    </row>
    <row r="42" spans="1:9" x14ac:dyDescent="0.25">
      <c r="A42" s="9">
        <v>149</v>
      </c>
      <c r="B42" s="8" t="s">
        <v>284</v>
      </c>
      <c r="C42" s="8" t="s">
        <v>497</v>
      </c>
      <c r="D42" s="47">
        <v>5150</v>
      </c>
      <c r="E42"/>
      <c r="F42"/>
      <c r="G42"/>
      <c r="H42"/>
      <c r="I42"/>
    </row>
    <row r="43" spans="1:9" x14ac:dyDescent="0.25">
      <c r="A43" s="9">
        <v>151</v>
      </c>
      <c r="B43" s="8" t="s">
        <v>284</v>
      </c>
      <c r="C43" s="8" t="s">
        <v>497</v>
      </c>
      <c r="D43" s="47">
        <v>4905</v>
      </c>
      <c r="E43"/>
      <c r="F43"/>
      <c r="G43"/>
      <c r="H43"/>
      <c r="I43"/>
    </row>
    <row r="44" spans="1:9" x14ac:dyDescent="0.25">
      <c r="A44" s="9">
        <v>152</v>
      </c>
      <c r="B44" s="8" t="s">
        <v>284</v>
      </c>
      <c r="C44" s="8" t="s">
        <v>497</v>
      </c>
      <c r="D44" s="47">
        <v>4765</v>
      </c>
      <c r="E44"/>
      <c r="F44"/>
      <c r="G44"/>
      <c r="H44"/>
      <c r="I44"/>
    </row>
    <row r="45" spans="1:9" x14ac:dyDescent="0.25">
      <c r="A45" s="9">
        <v>153</v>
      </c>
      <c r="B45" s="8" t="s">
        <v>284</v>
      </c>
      <c r="C45" s="8" t="s">
        <v>497</v>
      </c>
      <c r="D45" s="47">
        <v>3935</v>
      </c>
      <c r="E45"/>
      <c r="F45"/>
      <c r="G45"/>
      <c r="H45"/>
      <c r="I45"/>
    </row>
    <row r="46" spans="1:9" x14ac:dyDescent="0.25">
      <c r="A46" s="9">
        <v>154</v>
      </c>
      <c r="B46" s="8" t="s">
        <v>284</v>
      </c>
      <c r="C46" s="8" t="s">
        <v>497</v>
      </c>
      <c r="D46" s="47">
        <v>4480</v>
      </c>
      <c r="E46"/>
      <c r="F46"/>
      <c r="G46"/>
      <c r="H46"/>
      <c r="I46"/>
    </row>
    <row r="47" spans="1:9" x14ac:dyDescent="0.25">
      <c r="A47" s="9">
        <v>155</v>
      </c>
      <c r="B47" s="8" t="s">
        <v>284</v>
      </c>
      <c r="C47" s="8" t="s">
        <v>497</v>
      </c>
      <c r="D47" s="47">
        <v>14985</v>
      </c>
      <c r="E47"/>
      <c r="F47"/>
      <c r="G47"/>
      <c r="H47"/>
      <c r="I47"/>
    </row>
    <row r="48" spans="1:9" x14ac:dyDescent="0.25">
      <c r="A48" s="9">
        <v>160</v>
      </c>
      <c r="B48" s="8" t="s">
        <v>284</v>
      </c>
      <c r="C48" s="8" t="s">
        <v>497</v>
      </c>
      <c r="D48" s="47">
        <v>935</v>
      </c>
      <c r="E48"/>
      <c r="F48"/>
      <c r="G48"/>
      <c r="H48"/>
      <c r="I48"/>
    </row>
    <row r="49" spans="1:9" x14ac:dyDescent="0.25">
      <c r="A49" s="9">
        <v>161</v>
      </c>
      <c r="B49" s="8" t="s">
        <v>284</v>
      </c>
      <c r="C49" s="8" t="s">
        <v>497</v>
      </c>
      <c r="D49" s="47">
        <v>960</v>
      </c>
      <c r="E49"/>
      <c r="F49"/>
      <c r="G49"/>
      <c r="H49"/>
      <c r="I49"/>
    </row>
    <row r="50" spans="1:9" x14ac:dyDescent="0.25">
      <c r="A50" s="9">
        <v>203</v>
      </c>
      <c r="B50" s="8" t="s">
        <v>284</v>
      </c>
      <c r="C50" s="8" t="s">
        <v>493</v>
      </c>
      <c r="D50" s="47">
        <v>395</v>
      </c>
      <c r="E50"/>
      <c r="F50"/>
      <c r="G50"/>
      <c r="H50"/>
      <c r="I50"/>
    </row>
    <row r="51" spans="1:9" x14ac:dyDescent="0.25">
      <c r="A51" s="9">
        <v>208</v>
      </c>
      <c r="B51" s="8" t="s">
        <v>284</v>
      </c>
      <c r="C51" s="8" t="s">
        <v>493</v>
      </c>
      <c r="D51" s="47">
        <v>495</v>
      </c>
      <c r="E51"/>
      <c r="F51"/>
      <c r="G51"/>
      <c r="H51"/>
      <c r="I51"/>
    </row>
    <row r="52" spans="1:9" x14ac:dyDescent="0.25">
      <c r="A52" s="9">
        <v>215</v>
      </c>
      <c r="B52" s="8" t="s">
        <v>284</v>
      </c>
      <c r="C52" s="8" t="s">
        <v>493</v>
      </c>
      <c r="D52" s="47">
        <v>635</v>
      </c>
      <c r="E52"/>
      <c r="F52"/>
      <c r="G52"/>
      <c r="H52"/>
      <c r="I52"/>
    </row>
    <row r="53" spans="1:9" x14ac:dyDescent="0.25">
      <c r="A53" s="9">
        <v>216</v>
      </c>
      <c r="B53" s="8" t="s">
        <v>284</v>
      </c>
      <c r="C53" s="8" t="s">
        <v>493</v>
      </c>
      <c r="D53" s="47">
        <v>580</v>
      </c>
      <c r="E53"/>
      <c r="F53"/>
      <c r="G53"/>
      <c r="H53"/>
      <c r="I53"/>
    </row>
    <row r="54" spans="1:9" x14ac:dyDescent="0.25">
      <c r="A54" s="9">
        <v>221</v>
      </c>
      <c r="B54" s="8" t="s">
        <v>277</v>
      </c>
      <c r="C54" s="8" t="s">
        <v>497</v>
      </c>
      <c r="D54" s="47">
        <v>405</v>
      </c>
      <c r="E54"/>
      <c r="F54"/>
      <c r="G54"/>
      <c r="H54"/>
      <c r="I54"/>
    </row>
    <row r="55" spans="1:9" x14ac:dyDescent="0.25">
      <c r="A55" s="9">
        <v>223</v>
      </c>
      <c r="B55" s="8" t="s">
        <v>277</v>
      </c>
      <c r="C55" s="8" t="s">
        <v>494</v>
      </c>
      <c r="D55" s="47">
        <v>290</v>
      </c>
      <c r="E55"/>
      <c r="F55"/>
      <c r="G55"/>
      <c r="H55"/>
      <c r="I55"/>
    </row>
    <row r="56" spans="1:9" x14ac:dyDescent="0.25">
      <c r="A56" s="9">
        <v>224</v>
      </c>
      <c r="B56" s="8" t="s">
        <v>277</v>
      </c>
      <c r="C56" s="8" t="s">
        <v>497</v>
      </c>
      <c r="D56" s="47">
        <v>1270</v>
      </c>
      <c r="E56"/>
      <c r="F56"/>
      <c r="G56"/>
      <c r="H56"/>
      <c r="I56"/>
    </row>
    <row r="57" spans="1:9" x14ac:dyDescent="0.25">
      <c r="A57" s="9">
        <v>225</v>
      </c>
      <c r="B57" s="8" t="s">
        <v>277</v>
      </c>
      <c r="C57" s="8" t="s">
        <v>497</v>
      </c>
      <c r="D57" s="47">
        <v>575</v>
      </c>
      <c r="E57"/>
      <c r="F57"/>
      <c r="G57"/>
      <c r="H57"/>
      <c r="I57"/>
    </row>
    <row r="58" spans="1:9" x14ac:dyDescent="0.25">
      <c r="A58" s="9">
        <v>226</v>
      </c>
      <c r="B58" s="8" t="s">
        <v>277</v>
      </c>
      <c r="C58" s="8" t="s">
        <v>167</v>
      </c>
      <c r="D58" s="47">
        <v>530</v>
      </c>
      <c r="E58"/>
      <c r="F58"/>
      <c r="G58"/>
      <c r="H58"/>
      <c r="I58"/>
    </row>
    <row r="59" spans="1:9" x14ac:dyDescent="0.25">
      <c r="A59" s="9">
        <v>227</v>
      </c>
      <c r="B59" s="8" t="s">
        <v>284</v>
      </c>
      <c r="C59" s="8" t="s">
        <v>497</v>
      </c>
      <c r="D59" s="47">
        <v>495</v>
      </c>
      <c r="E59"/>
      <c r="F59"/>
      <c r="G59"/>
      <c r="H59"/>
      <c r="I59"/>
    </row>
    <row r="60" spans="1:9" x14ac:dyDescent="0.25">
      <c r="A60" s="9">
        <v>228</v>
      </c>
      <c r="B60" s="8" t="s">
        <v>277</v>
      </c>
      <c r="C60" s="8" t="s">
        <v>494</v>
      </c>
      <c r="D60" s="47">
        <v>390</v>
      </c>
      <c r="E60"/>
      <c r="F60"/>
      <c r="G60"/>
      <c r="H60"/>
      <c r="I60"/>
    </row>
    <row r="61" spans="1:9" x14ac:dyDescent="0.25">
      <c r="A61" s="9">
        <v>229</v>
      </c>
      <c r="B61" s="8" t="s">
        <v>277</v>
      </c>
      <c r="C61" s="8" t="s">
        <v>494</v>
      </c>
      <c r="D61" s="47">
        <v>365</v>
      </c>
      <c r="E61"/>
      <c r="F61"/>
      <c r="G61"/>
      <c r="H61"/>
      <c r="I61"/>
    </row>
    <row r="62" spans="1:9" x14ac:dyDescent="0.25">
      <c r="A62" s="9">
        <v>231</v>
      </c>
      <c r="B62" s="8" t="s">
        <v>277</v>
      </c>
      <c r="C62" s="8" t="s">
        <v>494</v>
      </c>
      <c r="D62" s="47">
        <v>300</v>
      </c>
      <c r="E62"/>
      <c r="F62"/>
      <c r="G62"/>
      <c r="H62"/>
      <c r="I62"/>
    </row>
    <row r="63" spans="1:9" x14ac:dyDescent="0.25">
      <c r="A63" s="9">
        <v>232</v>
      </c>
      <c r="B63" s="8" t="s">
        <v>277</v>
      </c>
      <c r="C63" s="8" t="s">
        <v>494</v>
      </c>
      <c r="D63" s="47">
        <v>410</v>
      </c>
      <c r="E63"/>
      <c r="F63"/>
      <c r="G63"/>
      <c r="H63"/>
      <c r="I63"/>
    </row>
    <row r="64" spans="1:9" x14ac:dyDescent="0.25">
      <c r="A64" s="9">
        <v>233</v>
      </c>
      <c r="B64" s="8" t="s">
        <v>277</v>
      </c>
      <c r="C64" s="8" t="s">
        <v>494</v>
      </c>
      <c r="D64" s="47">
        <v>395</v>
      </c>
      <c r="E64"/>
      <c r="F64"/>
      <c r="G64"/>
      <c r="H64"/>
      <c r="I64"/>
    </row>
    <row r="65" spans="1:9" x14ac:dyDescent="0.25">
      <c r="A65" s="9">
        <v>234</v>
      </c>
      <c r="B65" s="8" t="s">
        <v>277</v>
      </c>
      <c r="C65" s="8" t="s">
        <v>494</v>
      </c>
      <c r="D65" s="47">
        <v>290</v>
      </c>
      <c r="E65"/>
      <c r="F65"/>
      <c r="G65"/>
      <c r="H65"/>
      <c r="I65"/>
    </row>
    <row r="66" spans="1:9" x14ac:dyDescent="0.25">
      <c r="A66" s="9">
        <v>235</v>
      </c>
      <c r="B66" s="8" t="s">
        <v>277</v>
      </c>
      <c r="C66" s="8" t="s">
        <v>494</v>
      </c>
      <c r="D66" s="47">
        <v>365</v>
      </c>
      <c r="E66"/>
      <c r="F66"/>
      <c r="G66"/>
      <c r="H66"/>
      <c r="I66"/>
    </row>
    <row r="67" spans="1:9" x14ac:dyDescent="0.25">
      <c r="A67" s="9">
        <v>236</v>
      </c>
      <c r="B67" s="8" t="s">
        <v>277</v>
      </c>
      <c r="C67" s="8" t="s">
        <v>497</v>
      </c>
      <c r="D67" s="47">
        <v>360</v>
      </c>
      <c r="E67"/>
      <c r="F67"/>
      <c r="G67"/>
      <c r="H67"/>
      <c r="I67"/>
    </row>
    <row r="68" spans="1:9" x14ac:dyDescent="0.25">
      <c r="A68" s="9">
        <v>238</v>
      </c>
      <c r="B68" s="8" t="s">
        <v>277</v>
      </c>
      <c r="C68" s="8" t="s">
        <v>494</v>
      </c>
      <c r="D68" s="47">
        <v>285</v>
      </c>
      <c r="E68"/>
      <c r="F68"/>
      <c r="G68"/>
      <c r="H68"/>
      <c r="I68"/>
    </row>
    <row r="69" spans="1:9" x14ac:dyDescent="0.25">
      <c r="A69" s="9">
        <v>239</v>
      </c>
      <c r="B69" s="8" t="s">
        <v>277</v>
      </c>
      <c r="C69" s="8" t="s">
        <v>497</v>
      </c>
      <c r="D69" s="47">
        <v>580</v>
      </c>
      <c r="E69"/>
      <c r="F69"/>
      <c r="G69"/>
      <c r="H69"/>
      <c r="I69"/>
    </row>
    <row r="70" spans="1:9" x14ac:dyDescent="0.25">
      <c r="A70" s="9">
        <v>240</v>
      </c>
      <c r="B70" s="8" t="s">
        <v>277</v>
      </c>
      <c r="C70" s="8" t="s">
        <v>498</v>
      </c>
      <c r="D70" s="47">
        <v>140</v>
      </c>
      <c r="E70"/>
      <c r="F70"/>
      <c r="G70"/>
      <c r="H70"/>
      <c r="I70"/>
    </row>
    <row r="71" spans="1:9" x14ac:dyDescent="0.25">
      <c r="A71" s="9">
        <v>242</v>
      </c>
      <c r="B71" s="8" t="s">
        <v>284</v>
      </c>
      <c r="C71" s="8" t="s">
        <v>498</v>
      </c>
      <c r="D71" s="47">
        <v>165</v>
      </c>
      <c r="E71"/>
      <c r="F71"/>
      <c r="G71"/>
      <c r="H71"/>
      <c r="I71"/>
    </row>
    <row r="72" spans="1:9" x14ac:dyDescent="0.25">
      <c r="A72" s="9">
        <v>244</v>
      </c>
      <c r="B72" s="8" t="s">
        <v>284</v>
      </c>
      <c r="C72" s="8" t="s">
        <v>538</v>
      </c>
      <c r="D72" s="47">
        <v>410</v>
      </c>
      <c r="E72"/>
      <c r="F72"/>
      <c r="G72"/>
      <c r="H72"/>
      <c r="I72"/>
    </row>
    <row r="73" spans="1:9" x14ac:dyDescent="0.25">
      <c r="A73" s="9">
        <v>245</v>
      </c>
      <c r="B73" s="8" t="s">
        <v>277</v>
      </c>
      <c r="C73" s="8" t="s">
        <v>494</v>
      </c>
      <c r="D73" s="47">
        <v>310</v>
      </c>
      <c r="E73"/>
      <c r="F73"/>
      <c r="G73"/>
      <c r="H73"/>
      <c r="I73"/>
    </row>
    <row r="74" spans="1:9" x14ac:dyDescent="0.25">
      <c r="A74" s="9">
        <v>246</v>
      </c>
      <c r="B74" s="8" t="s">
        <v>277</v>
      </c>
      <c r="C74" s="8" t="s">
        <v>167</v>
      </c>
      <c r="D74" s="47">
        <v>305</v>
      </c>
      <c r="E74"/>
      <c r="F74"/>
      <c r="G74"/>
      <c r="H74"/>
      <c r="I74"/>
    </row>
    <row r="75" spans="1:9" x14ac:dyDescent="0.25">
      <c r="A75" s="9">
        <v>249</v>
      </c>
      <c r="B75" s="8" t="s">
        <v>277</v>
      </c>
      <c r="C75" s="8" t="s">
        <v>494</v>
      </c>
      <c r="D75" s="47">
        <v>310</v>
      </c>
      <c r="E75"/>
      <c r="F75"/>
      <c r="G75"/>
      <c r="H75"/>
      <c r="I75"/>
    </row>
    <row r="76" spans="1:9" x14ac:dyDescent="0.25">
      <c r="A76" s="9">
        <v>250</v>
      </c>
      <c r="B76" s="8" t="s">
        <v>277</v>
      </c>
      <c r="C76" s="8" t="s">
        <v>497</v>
      </c>
      <c r="D76" s="47">
        <v>495</v>
      </c>
      <c r="E76"/>
      <c r="F76"/>
      <c r="G76"/>
      <c r="H76"/>
      <c r="I76"/>
    </row>
    <row r="77" spans="1:9" x14ac:dyDescent="0.25">
      <c r="A77" s="9">
        <v>252</v>
      </c>
      <c r="B77" s="8" t="s">
        <v>277</v>
      </c>
      <c r="C77" s="8" t="s">
        <v>497</v>
      </c>
      <c r="D77" s="47">
        <v>650</v>
      </c>
      <c r="E77"/>
      <c r="F77"/>
      <c r="G77"/>
      <c r="H77"/>
      <c r="I77"/>
    </row>
    <row r="78" spans="1:9" x14ac:dyDescent="0.25">
      <c r="A78" s="9">
        <v>253</v>
      </c>
      <c r="B78" s="8" t="s">
        <v>277</v>
      </c>
      <c r="C78" s="8" t="s">
        <v>497</v>
      </c>
      <c r="D78" s="47">
        <v>465</v>
      </c>
      <c r="E78"/>
      <c r="F78"/>
      <c r="G78"/>
      <c r="H78"/>
      <c r="I78"/>
    </row>
    <row r="79" spans="1:9" x14ac:dyDescent="0.25">
      <c r="A79" s="9">
        <v>254</v>
      </c>
      <c r="B79" s="8" t="s">
        <v>277</v>
      </c>
      <c r="C79" s="8" t="s">
        <v>497</v>
      </c>
      <c r="D79" s="47">
        <v>375</v>
      </c>
      <c r="E79"/>
      <c r="F79"/>
      <c r="G79"/>
      <c r="H79"/>
      <c r="I79"/>
    </row>
    <row r="80" spans="1:9" x14ac:dyDescent="0.25">
      <c r="A80" s="9">
        <v>255</v>
      </c>
      <c r="B80" s="8" t="s">
        <v>277</v>
      </c>
      <c r="C80" s="8" t="s">
        <v>497</v>
      </c>
      <c r="D80" s="47">
        <v>975</v>
      </c>
      <c r="E80"/>
      <c r="F80"/>
      <c r="G80"/>
      <c r="H80"/>
      <c r="I80"/>
    </row>
    <row r="81" spans="1:9" x14ac:dyDescent="0.25">
      <c r="A81" s="9">
        <v>256</v>
      </c>
      <c r="B81" s="8" t="s">
        <v>277</v>
      </c>
      <c r="C81" s="8" t="s">
        <v>497</v>
      </c>
      <c r="D81" s="47">
        <v>770</v>
      </c>
      <c r="E81"/>
      <c r="F81"/>
      <c r="G81"/>
      <c r="H81"/>
      <c r="I81"/>
    </row>
    <row r="82" spans="1:9" x14ac:dyDescent="0.25">
      <c r="A82" s="9">
        <v>257</v>
      </c>
      <c r="B82" s="8" t="s">
        <v>277</v>
      </c>
      <c r="C82" s="8" t="s">
        <v>497</v>
      </c>
      <c r="D82" s="47">
        <v>600</v>
      </c>
      <c r="E82"/>
      <c r="F82"/>
      <c r="G82"/>
      <c r="H82"/>
      <c r="I82"/>
    </row>
    <row r="83" spans="1:9" x14ac:dyDescent="0.25">
      <c r="A83" s="9">
        <v>258</v>
      </c>
      <c r="B83" s="8" t="s">
        <v>277</v>
      </c>
      <c r="C83" s="8" t="s">
        <v>497</v>
      </c>
      <c r="D83" s="47">
        <v>665</v>
      </c>
      <c r="E83"/>
      <c r="F83"/>
      <c r="G83"/>
      <c r="H83"/>
      <c r="I83"/>
    </row>
    <row r="84" spans="1:9" x14ac:dyDescent="0.25">
      <c r="A84" s="9">
        <v>259</v>
      </c>
      <c r="B84" s="8" t="s">
        <v>277</v>
      </c>
      <c r="C84" s="8" t="s">
        <v>497</v>
      </c>
      <c r="D84" s="47">
        <v>780</v>
      </c>
      <c r="E84"/>
      <c r="F84"/>
      <c r="G84"/>
      <c r="H84"/>
      <c r="I84"/>
    </row>
    <row r="85" spans="1:9" x14ac:dyDescent="0.25">
      <c r="A85" s="9">
        <v>260</v>
      </c>
      <c r="B85" s="8" t="s">
        <v>277</v>
      </c>
      <c r="C85" s="8" t="s">
        <v>497</v>
      </c>
      <c r="D85" s="47">
        <v>620</v>
      </c>
      <c r="E85"/>
      <c r="F85"/>
      <c r="G85"/>
      <c r="H85"/>
      <c r="I85"/>
    </row>
    <row r="86" spans="1:9" x14ac:dyDescent="0.25">
      <c r="A86" s="9">
        <v>261</v>
      </c>
      <c r="B86" s="8" t="s">
        <v>277</v>
      </c>
      <c r="C86" s="8" t="s">
        <v>497</v>
      </c>
      <c r="D86" s="47">
        <v>765</v>
      </c>
      <c r="E86"/>
      <c r="F86"/>
      <c r="G86"/>
      <c r="H86"/>
      <c r="I86"/>
    </row>
    <row r="87" spans="1:9" x14ac:dyDescent="0.25">
      <c r="A87" s="9">
        <v>262</v>
      </c>
      <c r="B87" s="8" t="s">
        <v>277</v>
      </c>
      <c r="C87" s="8" t="s">
        <v>497</v>
      </c>
      <c r="D87" s="47">
        <v>730</v>
      </c>
      <c r="E87"/>
      <c r="F87"/>
      <c r="G87"/>
      <c r="H87"/>
      <c r="I87"/>
    </row>
    <row r="88" spans="1:9" x14ac:dyDescent="0.25">
      <c r="A88" s="9">
        <v>263</v>
      </c>
      <c r="B88" s="8" t="s">
        <v>277</v>
      </c>
      <c r="C88" s="8" t="s">
        <v>497</v>
      </c>
      <c r="D88" s="47">
        <v>860</v>
      </c>
      <c r="E88"/>
      <c r="F88"/>
      <c r="G88"/>
      <c r="H88"/>
      <c r="I88"/>
    </row>
    <row r="89" spans="1:9" x14ac:dyDescent="0.25">
      <c r="A89" s="9">
        <v>264</v>
      </c>
      <c r="B89" s="8" t="s">
        <v>277</v>
      </c>
      <c r="C89" s="8" t="s">
        <v>497</v>
      </c>
      <c r="D89" s="47">
        <v>650</v>
      </c>
      <c r="E89"/>
      <c r="F89"/>
      <c r="G89"/>
      <c r="H89"/>
      <c r="I89"/>
    </row>
    <row r="90" spans="1:9" x14ac:dyDescent="0.25">
      <c r="A90" s="9">
        <v>266</v>
      </c>
      <c r="B90" s="8" t="s">
        <v>277</v>
      </c>
      <c r="C90" s="8" t="s">
        <v>497</v>
      </c>
      <c r="D90" s="47">
        <v>810</v>
      </c>
      <c r="E90"/>
      <c r="F90"/>
      <c r="G90"/>
      <c r="H90"/>
      <c r="I90"/>
    </row>
    <row r="91" spans="1:9" x14ac:dyDescent="0.25">
      <c r="A91" s="9">
        <v>267</v>
      </c>
      <c r="B91" s="8" t="s">
        <v>277</v>
      </c>
      <c r="C91" s="8" t="s">
        <v>497</v>
      </c>
      <c r="D91" s="47">
        <v>750</v>
      </c>
      <c r="E91"/>
      <c r="F91"/>
      <c r="G91"/>
      <c r="H91"/>
      <c r="I91"/>
    </row>
    <row r="92" spans="1:9" x14ac:dyDescent="0.25">
      <c r="A92" s="9">
        <v>269</v>
      </c>
      <c r="B92" s="8" t="s">
        <v>277</v>
      </c>
      <c r="C92" s="8" t="s">
        <v>494</v>
      </c>
      <c r="D92" s="47">
        <v>335</v>
      </c>
      <c r="E92"/>
      <c r="F92"/>
      <c r="G92"/>
      <c r="H92"/>
      <c r="I92"/>
    </row>
    <row r="93" spans="1:9" x14ac:dyDescent="0.25">
      <c r="A93" s="9">
        <v>271</v>
      </c>
      <c r="B93" s="8" t="s">
        <v>277</v>
      </c>
      <c r="C93" s="8" t="s">
        <v>494</v>
      </c>
      <c r="D93" s="47">
        <v>395</v>
      </c>
      <c r="E93"/>
      <c r="F93"/>
      <c r="G93"/>
      <c r="H93"/>
      <c r="I93"/>
    </row>
    <row r="94" spans="1:9" x14ac:dyDescent="0.25">
      <c r="A94" s="9">
        <v>272</v>
      </c>
      <c r="B94" s="8" t="s">
        <v>277</v>
      </c>
      <c r="C94" s="8" t="s">
        <v>494</v>
      </c>
      <c r="D94" s="47">
        <v>395</v>
      </c>
      <c r="E94"/>
      <c r="F94"/>
      <c r="G94"/>
      <c r="H94"/>
      <c r="I94"/>
    </row>
    <row r="95" spans="1:9" x14ac:dyDescent="0.25">
      <c r="A95" s="9">
        <v>273</v>
      </c>
      <c r="B95" s="8" t="s">
        <v>277</v>
      </c>
      <c r="C95" s="8" t="s">
        <v>494</v>
      </c>
      <c r="D95" s="47">
        <v>100</v>
      </c>
      <c r="E95"/>
      <c r="F95"/>
      <c r="G95"/>
      <c r="H95"/>
      <c r="I95"/>
    </row>
    <row r="96" spans="1:9" x14ac:dyDescent="0.25">
      <c r="A96" s="9">
        <v>274</v>
      </c>
      <c r="B96" s="8" t="s">
        <v>277</v>
      </c>
      <c r="C96" s="8" t="s">
        <v>494</v>
      </c>
      <c r="D96" s="47">
        <v>140</v>
      </c>
      <c r="E96"/>
      <c r="F96"/>
      <c r="G96"/>
      <c r="H96"/>
      <c r="I96"/>
    </row>
    <row r="97" spans="1:9" x14ac:dyDescent="0.25">
      <c r="A97" s="9">
        <v>280</v>
      </c>
      <c r="B97" s="8" t="s">
        <v>277</v>
      </c>
      <c r="C97" s="8" t="s">
        <v>494</v>
      </c>
      <c r="D97" s="47">
        <v>95</v>
      </c>
      <c r="E97"/>
      <c r="F97"/>
      <c r="G97"/>
      <c r="H97"/>
      <c r="I97"/>
    </row>
    <row r="98" spans="1:9" x14ac:dyDescent="0.25">
      <c r="A98" s="9">
        <v>281</v>
      </c>
      <c r="B98" s="8" t="s">
        <v>277</v>
      </c>
      <c r="C98" s="8" t="s">
        <v>494</v>
      </c>
      <c r="D98" s="47">
        <v>165</v>
      </c>
      <c r="E98"/>
      <c r="F98"/>
      <c r="G98"/>
      <c r="H98"/>
      <c r="I98"/>
    </row>
    <row r="99" spans="1:9" x14ac:dyDescent="0.25">
      <c r="A99" s="9">
        <v>284</v>
      </c>
      <c r="B99" s="8" t="s">
        <v>277</v>
      </c>
      <c r="C99" s="8" t="s">
        <v>494</v>
      </c>
      <c r="D99" s="47">
        <v>125</v>
      </c>
      <c r="E99"/>
      <c r="F99"/>
      <c r="G99"/>
      <c r="H99"/>
      <c r="I99"/>
    </row>
    <row r="100" spans="1:9" x14ac:dyDescent="0.25">
      <c r="A100" s="9">
        <v>286</v>
      </c>
      <c r="B100" s="8" t="s">
        <v>277</v>
      </c>
      <c r="C100" s="8" t="s">
        <v>494</v>
      </c>
      <c r="D100" s="47">
        <v>200</v>
      </c>
      <c r="E100"/>
      <c r="F100"/>
      <c r="G100"/>
      <c r="H100"/>
      <c r="I100"/>
    </row>
    <row r="101" spans="1:9" x14ac:dyDescent="0.25">
      <c r="A101" s="9">
        <v>288</v>
      </c>
      <c r="B101" s="8" t="s">
        <v>277</v>
      </c>
      <c r="C101" s="8" t="s">
        <v>494</v>
      </c>
      <c r="D101" s="47">
        <v>145</v>
      </c>
      <c r="E101"/>
      <c r="F101"/>
      <c r="G101"/>
      <c r="H101"/>
      <c r="I101"/>
    </row>
    <row r="102" spans="1:9" x14ac:dyDescent="0.25">
      <c r="A102" s="9">
        <v>289</v>
      </c>
      <c r="B102" s="8" t="s">
        <v>277</v>
      </c>
      <c r="C102" s="8" t="s">
        <v>494</v>
      </c>
      <c r="D102" s="47">
        <v>150</v>
      </c>
      <c r="E102"/>
      <c r="F102"/>
      <c r="G102"/>
      <c r="H102"/>
      <c r="I102"/>
    </row>
    <row r="103" spans="1:9" x14ac:dyDescent="0.25">
      <c r="A103" s="9">
        <v>291</v>
      </c>
      <c r="B103" s="8" t="s">
        <v>284</v>
      </c>
      <c r="C103" s="8" t="s">
        <v>493</v>
      </c>
      <c r="D103" s="47">
        <v>895</v>
      </c>
      <c r="E103"/>
      <c r="F103"/>
      <c r="G103"/>
      <c r="H103"/>
      <c r="I103"/>
    </row>
    <row r="104" spans="1:9" x14ac:dyDescent="0.25">
      <c r="A104" s="9">
        <v>292</v>
      </c>
      <c r="B104" s="8" t="s">
        <v>284</v>
      </c>
      <c r="C104" s="8" t="s">
        <v>493</v>
      </c>
      <c r="D104" s="47">
        <v>895</v>
      </c>
      <c r="E104"/>
      <c r="F104"/>
      <c r="G104"/>
      <c r="H104"/>
      <c r="I104"/>
    </row>
    <row r="105" spans="1:9" x14ac:dyDescent="0.25">
      <c r="A105" s="9">
        <v>333</v>
      </c>
      <c r="B105" s="8" t="s">
        <v>277</v>
      </c>
      <c r="C105" s="8" t="s">
        <v>494</v>
      </c>
      <c r="D105" s="47">
        <v>100</v>
      </c>
      <c r="E105"/>
      <c r="F105"/>
      <c r="G105"/>
      <c r="H105"/>
      <c r="I105"/>
    </row>
    <row r="106" spans="1:9" x14ac:dyDescent="0.25">
      <c r="A106" s="9">
        <v>401</v>
      </c>
      <c r="B106" s="8" t="s">
        <v>277</v>
      </c>
      <c r="C106" s="8" t="s">
        <v>494</v>
      </c>
      <c r="D106" s="47">
        <v>160</v>
      </c>
      <c r="E106"/>
      <c r="F106"/>
      <c r="G106"/>
      <c r="H106"/>
      <c r="I106"/>
    </row>
    <row r="107" spans="1:9" x14ac:dyDescent="0.25">
      <c r="A107" s="9">
        <v>403</v>
      </c>
      <c r="B107" s="8" t="s">
        <v>277</v>
      </c>
      <c r="C107" s="8" t="s">
        <v>494</v>
      </c>
      <c r="D107" s="47">
        <v>170</v>
      </c>
      <c r="E107"/>
      <c r="F107"/>
      <c r="G107"/>
      <c r="H107"/>
      <c r="I107"/>
    </row>
    <row r="108" spans="1:9" x14ac:dyDescent="0.25">
      <c r="A108" s="9">
        <v>404</v>
      </c>
      <c r="B108" s="8" t="s">
        <v>277</v>
      </c>
      <c r="C108" s="8" t="s">
        <v>494</v>
      </c>
      <c r="D108" s="47">
        <v>160</v>
      </c>
      <c r="E108"/>
      <c r="F108"/>
      <c r="G108"/>
      <c r="H108"/>
      <c r="I108"/>
    </row>
    <row r="109" spans="1:9" x14ac:dyDescent="0.25">
      <c r="A109" s="9">
        <v>405</v>
      </c>
      <c r="B109" s="8" t="s">
        <v>277</v>
      </c>
      <c r="C109" s="8" t="s">
        <v>494</v>
      </c>
      <c r="D109" s="47">
        <v>160</v>
      </c>
      <c r="E109"/>
      <c r="F109"/>
      <c r="G109"/>
      <c r="H109"/>
      <c r="I109"/>
    </row>
    <row r="110" spans="1:9" x14ac:dyDescent="0.25">
      <c r="A110" s="9">
        <v>407</v>
      </c>
      <c r="B110" s="8" t="s">
        <v>277</v>
      </c>
      <c r="C110" s="8" t="s">
        <v>494</v>
      </c>
      <c r="D110" s="47">
        <v>235</v>
      </c>
      <c r="E110"/>
      <c r="F110"/>
      <c r="G110"/>
      <c r="H110"/>
      <c r="I110"/>
    </row>
    <row r="111" spans="1:9" x14ac:dyDescent="0.25">
      <c r="A111" s="9">
        <v>408</v>
      </c>
      <c r="B111" s="8" t="s">
        <v>277</v>
      </c>
      <c r="C111" s="8" t="s">
        <v>494</v>
      </c>
      <c r="D111" s="47">
        <v>170</v>
      </c>
      <c r="E111"/>
      <c r="F111"/>
      <c r="G111"/>
      <c r="H111"/>
      <c r="I111"/>
    </row>
    <row r="112" spans="1:9" x14ac:dyDescent="0.25">
      <c r="A112" s="9">
        <v>409</v>
      </c>
      <c r="B112" s="8" t="s">
        <v>277</v>
      </c>
      <c r="C112" s="8" t="s">
        <v>494</v>
      </c>
      <c r="D112" s="47">
        <v>140</v>
      </c>
      <c r="E112"/>
      <c r="F112"/>
      <c r="G112"/>
      <c r="H112"/>
      <c r="I112"/>
    </row>
    <row r="113" spans="1:9" x14ac:dyDescent="0.25">
      <c r="A113" s="9">
        <v>410</v>
      </c>
      <c r="B113" s="8" t="s">
        <v>277</v>
      </c>
      <c r="C113" s="8" t="s">
        <v>494</v>
      </c>
      <c r="D113" s="47">
        <v>195</v>
      </c>
      <c r="E113"/>
      <c r="F113"/>
      <c r="G113"/>
      <c r="H113"/>
      <c r="I113"/>
    </row>
    <row r="114" spans="1:9" x14ac:dyDescent="0.25">
      <c r="A114" s="9">
        <v>411</v>
      </c>
      <c r="B114" s="8" t="s">
        <v>277</v>
      </c>
      <c r="C114" s="8" t="s">
        <v>494</v>
      </c>
      <c r="D114" s="47">
        <v>135</v>
      </c>
      <c r="E114"/>
      <c r="F114"/>
      <c r="G114"/>
      <c r="H114"/>
      <c r="I114"/>
    </row>
    <row r="115" spans="1:9" x14ac:dyDescent="0.25">
      <c r="A115" s="9">
        <v>412</v>
      </c>
      <c r="B115" s="8" t="s">
        <v>277</v>
      </c>
      <c r="C115" s="8" t="s">
        <v>494</v>
      </c>
      <c r="D115" s="47">
        <v>175</v>
      </c>
      <c r="E115"/>
      <c r="F115"/>
      <c r="G115"/>
      <c r="H115"/>
      <c r="I115"/>
    </row>
    <row r="116" spans="1:9" x14ac:dyDescent="0.25">
      <c r="A116" s="9">
        <v>413</v>
      </c>
      <c r="B116" s="8" t="s">
        <v>277</v>
      </c>
      <c r="C116" s="8" t="s">
        <v>494</v>
      </c>
      <c r="D116" s="47">
        <v>135</v>
      </c>
      <c r="E116"/>
      <c r="F116"/>
      <c r="G116"/>
      <c r="H116"/>
      <c r="I116"/>
    </row>
    <row r="117" spans="1:9" x14ac:dyDescent="0.25">
      <c r="A117" s="9">
        <v>414</v>
      </c>
      <c r="B117" s="8" t="s">
        <v>277</v>
      </c>
      <c r="C117" s="8" t="s">
        <v>494</v>
      </c>
      <c r="D117" s="47">
        <v>160</v>
      </c>
      <c r="E117"/>
      <c r="F117"/>
      <c r="G117"/>
      <c r="H117"/>
      <c r="I117"/>
    </row>
    <row r="118" spans="1:9" x14ac:dyDescent="0.25">
      <c r="A118" s="9">
        <v>415</v>
      </c>
      <c r="B118" s="8" t="s">
        <v>277</v>
      </c>
      <c r="C118" s="8" t="s">
        <v>494</v>
      </c>
      <c r="D118" s="47">
        <v>160</v>
      </c>
      <c r="E118"/>
      <c r="F118"/>
      <c r="G118"/>
      <c r="H118"/>
      <c r="I118"/>
    </row>
    <row r="119" spans="1:9" x14ac:dyDescent="0.25">
      <c r="A119" s="9">
        <v>416</v>
      </c>
      <c r="B119" s="8" t="s">
        <v>277</v>
      </c>
      <c r="C119" s="8" t="s">
        <v>494</v>
      </c>
      <c r="D119" s="47">
        <v>140</v>
      </c>
      <c r="E119"/>
      <c r="F119"/>
      <c r="G119"/>
      <c r="H119"/>
      <c r="I119"/>
    </row>
    <row r="120" spans="1:9" x14ac:dyDescent="0.25">
      <c r="A120" s="9">
        <v>417</v>
      </c>
      <c r="B120" s="8" t="s">
        <v>277</v>
      </c>
      <c r="C120" s="8" t="s">
        <v>494</v>
      </c>
      <c r="D120" s="47">
        <v>210</v>
      </c>
      <c r="E120"/>
      <c r="F120"/>
      <c r="G120"/>
      <c r="H120"/>
      <c r="I120"/>
    </row>
    <row r="121" spans="1:9" x14ac:dyDescent="0.25">
      <c r="A121" s="9">
        <v>418</v>
      </c>
      <c r="B121" s="8" t="s">
        <v>284</v>
      </c>
      <c r="C121" s="8" t="s">
        <v>494</v>
      </c>
      <c r="D121" s="47">
        <v>175</v>
      </c>
      <c r="E121"/>
      <c r="F121"/>
      <c r="G121"/>
      <c r="H121"/>
      <c r="I121"/>
    </row>
    <row r="122" spans="1:9" x14ac:dyDescent="0.25">
      <c r="A122" s="9">
        <v>424</v>
      </c>
      <c r="B122" s="8" t="s">
        <v>277</v>
      </c>
      <c r="C122" s="8" t="s">
        <v>494</v>
      </c>
      <c r="D122" s="47">
        <v>225</v>
      </c>
      <c r="E122"/>
      <c r="F122"/>
      <c r="G122"/>
      <c r="H122"/>
      <c r="I122"/>
    </row>
    <row r="123" spans="1:9" x14ac:dyDescent="0.25">
      <c r="A123" s="9">
        <v>426</v>
      </c>
      <c r="B123" s="8" t="s">
        <v>277</v>
      </c>
      <c r="C123" s="8" t="s">
        <v>494</v>
      </c>
      <c r="D123" s="47">
        <v>200</v>
      </c>
      <c r="E123"/>
      <c r="F123"/>
      <c r="G123"/>
      <c r="H123"/>
      <c r="I123"/>
    </row>
    <row r="124" spans="1:9" x14ac:dyDescent="0.25">
      <c r="A124" s="9">
        <v>427</v>
      </c>
      <c r="B124" s="8" t="s">
        <v>277</v>
      </c>
      <c r="C124" s="8" t="s">
        <v>494</v>
      </c>
      <c r="D124" s="47">
        <v>160</v>
      </c>
      <c r="E124"/>
      <c r="F124"/>
      <c r="G124"/>
      <c r="H124"/>
      <c r="I124"/>
    </row>
    <row r="125" spans="1:9" x14ac:dyDescent="0.25">
      <c r="A125" s="9">
        <v>429</v>
      </c>
      <c r="B125" s="8" t="s">
        <v>277</v>
      </c>
      <c r="C125" s="8" t="s">
        <v>494</v>
      </c>
      <c r="D125" s="47">
        <v>145</v>
      </c>
      <c r="E125"/>
      <c r="F125"/>
      <c r="G125"/>
      <c r="H125"/>
      <c r="I125"/>
    </row>
    <row r="126" spans="1:9" x14ac:dyDescent="0.25">
      <c r="A126" s="9">
        <v>430</v>
      </c>
      <c r="B126" s="8" t="s">
        <v>277</v>
      </c>
      <c r="C126" s="8" t="s">
        <v>494</v>
      </c>
      <c r="D126" s="47">
        <v>135</v>
      </c>
      <c r="E126"/>
      <c r="F126"/>
      <c r="G126"/>
      <c r="H126"/>
      <c r="I126"/>
    </row>
    <row r="127" spans="1:9" x14ac:dyDescent="0.25">
      <c r="A127" s="9">
        <v>432</v>
      </c>
      <c r="B127" s="8" t="s">
        <v>277</v>
      </c>
      <c r="C127" s="8" t="s">
        <v>494</v>
      </c>
      <c r="D127" s="47">
        <v>170</v>
      </c>
      <c r="E127"/>
      <c r="F127"/>
      <c r="G127"/>
      <c r="H127"/>
      <c r="I127"/>
    </row>
    <row r="128" spans="1:9" x14ac:dyDescent="0.25">
      <c r="A128" s="9">
        <v>438</v>
      </c>
      <c r="B128" s="8" t="s">
        <v>277</v>
      </c>
      <c r="C128" s="8" t="s">
        <v>494</v>
      </c>
      <c r="D128" s="47">
        <v>200</v>
      </c>
      <c r="E128"/>
      <c r="F128"/>
      <c r="G128"/>
      <c r="H128"/>
      <c r="I128"/>
    </row>
    <row r="129" spans="1:9" x14ac:dyDescent="0.25">
      <c r="A129" s="9">
        <v>442</v>
      </c>
      <c r="B129" s="8" t="s">
        <v>277</v>
      </c>
      <c r="C129" s="8" t="s">
        <v>494</v>
      </c>
      <c r="D129" s="47">
        <v>175</v>
      </c>
      <c r="E129"/>
      <c r="F129"/>
      <c r="G129"/>
      <c r="H129"/>
      <c r="I129"/>
    </row>
    <row r="130" spans="1:9" x14ac:dyDescent="0.25">
      <c r="A130" s="9">
        <v>446</v>
      </c>
      <c r="B130" s="8" t="s">
        <v>277</v>
      </c>
      <c r="C130" s="8" t="s">
        <v>494</v>
      </c>
      <c r="D130" s="47">
        <v>175</v>
      </c>
      <c r="E130"/>
      <c r="F130"/>
      <c r="G130"/>
      <c r="H130"/>
      <c r="I130"/>
    </row>
    <row r="131" spans="1:9" x14ac:dyDescent="0.25">
      <c r="A131" s="9">
        <v>448</v>
      </c>
      <c r="B131" s="8" t="s">
        <v>277</v>
      </c>
      <c r="C131" s="8" t="s">
        <v>494</v>
      </c>
      <c r="D131" s="47">
        <v>220</v>
      </c>
      <c r="E131"/>
      <c r="F131"/>
      <c r="G131"/>
      <c r="H131"/>
      <c r="I131"/>
    </row>
    <row r="132" spans="1:9" x14ac:dyDescent="0.25">
      <c r="A132" s="9">
        <v>449</v>
      </c>
      <c r="B132" s="8" t="s">
        <v>277</v>
      </c>
      <c r="C132" s="8" t="s">
        <v>494</v>
      </c>
      <c r="D132" s="47">
        <v>125</v>
      </c>
      <c r="E132"/>
      <c r="F132"/>
      <c r="G132"/>
      <c r="H132"/>
      <c r="I132"/>
    </row>
    <row r="133" spans="1:9" x14ac:dyDescent="0.25">
      <c r="A133" s="9">
        <v>474</v>
      </c>
      <c r="B133" s="8" t="s">
        <v>277</v>
      </c>
      <c r="C133" s="8" t="s">
        <v>494</v>
      </c>
      <c r="D133" s="47">
        <v>175</v>
      </c>
      <c r="E133"/>
      <c r="F133"/>
      <c r="G133"/>
      <c r="H133"/>
      <c r="I133"/>
    </row>
    <row r="134" spans="1:9" x14ac:dyDescent="0.25">
      <c r="A134" s="9">
        <v>477</v>
      </c>
      <c r="B134" s="8" t="s">
        <v>277</v>
      </c>
      <c r="C134" s="8" t="s">
        <v>494</v>
      </c>
      <c r="D134" s="47">
        <v>85</v>
      </c>
      <c r="E134"/>
      <c r="F134"/>
      <c r="G134"/>
      <c r="H134"/>
      <c r="I134"/>
    </row>
    <row r="135" spans="1:9" x14ac:dyDescent="0.25">
      <c r="A135" s="9">
        <v>480</v>
      </c>
      <c r="B135" s="8" t="s">
        <v>277</v>
      </c>
      <c r="C135" s="8" t="s">
        <v>494</v>
      </c>
      <c r="D135" s="47">
        <v>125</v>
      </c>
      <c r="E135"/>
      <c r="F135"/>
      <c r="G135"/>
      <c r="H135"/>
      <c r="I135"/>
    </row>
    <row r="136" spans="1:9" x14ac:dyDescent="0.25">
      <c r="A136" s="9">
        <v>481</v>
      </c>
      <c r="B136" s="8" t="s">
        <v>277</v>
      </c>
      <c r="C136" s="8" t="s">
        <v>494</v>
      </c>
      <c r="D136" s="47">
        <v>110</v>
      </c>
      <c r="E136"/>
      <c r="F136"/>
      <c r="G136"/>
      <c r="H136"/>
      <c r="I136"/>
    </row>
    <row r="137" spans="1:9" x14ac:dyDescent="0.25">
      <c r="A137" s="9">
        <v>484</v>
      </c>
      <c r="B137" s="8" t="s">
        <v>277</v>
      </c>
      <c r="C137" s="8" t="s">
        <v>494</v>
      </c>
      <c r="D137" s="47">
        <v>200</v>
      </c>
      <c r="E137"/>
      <c r="F137"/>
      <c r="G137"/>
      <c r="H137"/>
      <c r="I137"/>
    </row>
    <row r="138" spans="1:9" x14ac:dyDescent="0.25">
      <c r="A138" s="9">
        <v>491</v>
      </c>
      <c r="B138" s="8" t="s">
        <v>277</v>
      </c>
      <c r="C138" s="8" t="s">
        <v>494</v>
      </c>
      <c r="D138" s="47">
        <v>90</v>
      </c>
      <c r="E138"/>
      <c r="F138"/>
      <c r="G138"/>
      <c r="H138"/>
      <c r="I138"/>
    </row>
    <row r="139" spans="1:9" x14ac:dyDescent="0.25">
      <c r="A139" s="9">
        <v>493</v>
      </c>
      <c r="B139" s="8" t="s">
        <v>277</v>
      </c>
      <c r="C139" s="8" t="s">
        <v>494</v>
      </c>
      <c r="D139" s="47">
        <v>215</v>
      </c>
      <c r="E139"/>
      <c r="F139"/>
      <c r="G139"/>
      <c r="H139"/>
      <c r="I139"/>
    </row>
    <row r="140" spans="1:9" x14ac:dyDescent="0.25">
      <c r="A140" s="9">
        <v>601</v>
      </c>
      <c r="B140" s="8" t="s">
        <v>277</v>
      </c>
      <c r="C140" s="8" t="s">
        <v>494</v>
      </c>
      <c r="D140" s="47">
        <v>565</v>
      </c>
      <c r="E140"/>
      <c r="F140"/>
      <c r="G140"/>
      <c r="H140"/>
      <c r="I140"/>
    </row>
    <row r="141" spans="1:9" x14ac:dyDescent="0.25">
      <c r="A141" s="9">
        <v>602</v>
      </c>
      <c r="B141" s="8" t="s">
        <v>277</v>
      </c>
      <c r="C141" s="8" t="s">
        <v>494</v>
      </c>
      <c r="D141" s="47">
        <v>490</v>
      </c>
      <c r="E141"/>
      <c r="F141"/>
      <c r="G141"/>
      <c r="H141"/>
      <c r="I141"/>
    </row>
    <row r="142" spans="1:9" x14ac:dyDescent="0.25">
      <c r="A142" s="9">
        <v>603</v>
      </c>
      <c r="B142" s="8" t="s">
        <v>277</v>
      </c>
      <c r="C142" s="8" t="s">
        <v>494</v>
      </c>
      <c r="D142" s="47">
        <v>485</v>
      </c>
      <c r="E142"/>
      <c r="F142"/>
      <c r="G142"/>
      <c r="H142"/>
      <c r="I142"/>
    </row>
    <row r="143" spans="1:9" x14ac:dyDescent="0.25">
      <c r="A143" s="9">
        <v>604</v>
      </c>
      <c r="B143" s="8" t="s">
        <v>277</v>
      </c>
      <c r="C143" s="8" t="s">
        <v>494</v>
      </c>
      <c r="D143" s="47">
        <v>570</v>
      </c>
      <c r="E143"/>
      <c r="F143"/>
      <c r="G143"/>
      <c r="H143"/>
      <c r="I143"/>
    </row>
    <row r="144" spans="1:9" x14ac:dyDescent="0.25">
      <c r="A144" s="9">
        <v>605</v>
      </c>
      <c r="B144" s="8" t="s">
        <v>277</v>
      </c>
      <c r="C144" s="8" t="s">
        <v>494</v>
      </c>
      <c r="D144" s="47">
        <v>565</v>
      </c>
      <c r="E144"/>
      <c r="F144"/>
      <c r="G144"/>
      <c r="H144"/>
      <c r="I144"/>
    </row>
    <row r="145" spans="1:9" x14ac:dyDescent="0.25">
      <c r="A145" s="9">
        <v>607</v>
      </c>
      <c r="B145" s="8" t="s">
        <v>277</v>
      </c>
      <c r="C145" s="8" t="s">
        <v>494</v>
      </c>
      <c r="D145" s="47">
        <v>610</v>
      </c>
      <c r="E145"/>
      <c r="F145"/>
      <c r="G145"/>
      <c r="H145"/>
      <c r="I145"/>
    </row>
    <row r="146" spans="1:9" x14ac:dyDescent="0.25">
      <c r="A146" s="9">
        <v>608</v>
      </c>
      <c r="B146" s="8" t="s">
        <v>277</v>
      </c>
      <c r="C146" s="8" t="s">
        <v>494</v>
      </c>
      <c r="D146" s="47">
        <v>560</v>
      </c>
      <c r="E146"/>
      <c r="F146"/>
      <c r="G146"/>
      <c r="H146"/>
      <c r="I146"/>
    </row>
    <row r="147" spans="1:9" x14ac:dyDescent="0.25">
      <c r="A147" s="9">
        <v>609</v>
      </c>
      <c r="B147" s="8" t="s">
        <v>277</v>
      </c>
      <c r="C147" s="8" t="s">
        <v>494</v>
      </c>
      <c r="D147" s="47">
        <v>625</v>
      </c>
      <c r="E147"/>
      <c r="F147"/>
      <c r="G147"/>
      <c r="H147"/>
      <c r="I147"/>
    </row>
    <row r="148" spans="1:9" x14ac:dyDescent="0.25">
      <c r="A148" s="9">
        <v>610</v>
      </c>
      <c r="B148" s="8" t="s">
        <v>277</v>
      </c>
      <c r="C148" s="8" t="s">
        <v>494</v>
      </c>
      <c r="D148" s="47">
        <v>675</v>
      </c>
      <c r="E148"/>
      <c r="F148"/>
      <c r="G148"/>
      <c r="H148"/>
      <c r="I148"/>
    </row>
    <row r="149" spans="1:9" x14ac:dyDescent="0.25">
      <c r="A149" s="9">
        <v>626</v>
      </c>
      <c r="B149" s="8" t="s">
        <v>277</v>
      </c>
      <c r="C149" s="8" t="s">
        <v>494</v>
      </c>
      <c r="D149" s="47">
        <v>855</v>
      </c>
      <c r="E149"/>
      <c r="F149"/>
      <c r="G149"/>
      <c r="H149"/>
      <c r="I149"/>
    </row>
    <row r="150" spans="1:9" x14ac:dyDescent="0.25">
      <c r="A150" s="9">
        <v>627</v>
      </c>
      <c r="B150" s="8" t="s">
        <v>277</v>
      </c>
      <c r="C150" s="8" t="s">
        <v>494</v>
      </c>
      <c r="D150" s="47">
        <v>850</v>
      </c>
      <c r="E150"/>
      <c r="F150"/>
      <c r="G150"/>
      <c r="H150"/>
      <c r="I150"/>
    </row>
    <row r="151" spans="1:9" x14ac:dyDescent="0.25">
      <c r="A151" s="9">
        <v>628</v>
      </c>
      <c r="B151" s="8" t="s">
        <v>277</v>
      </c>
      <c r="C151" s="8" t="s">
        <v>494</v>
      </c>
      <c r="D151" s="47">
        <v>685</v>
      </c>
      <c r="E151"/>
      <c r="F151"/>
      <c r="G151"/>
      <c r="H151"/>
      <c r="I151"/>
    </row>
    <row r="152" spans="1:9" x14ac:dyDescent="0.25">
      <c r="A152" s="9">
        <v>629</v>
      </c>
      <c r="B152" s="8" t="s">
        <v>277</v>
      </c>
      <c r="C152" s="8" t="s">
        <v>494</v>
      </c>
      <c r="D152" s="47">
        <v>795</v>
      </c>
      <c r="E152"/>
      <c r="F152"/>
      <c r="G152"/>
      <c r="H152"/>
      <c r="I152"/>
    </row>
    <row r="153" spans="1:9" x14ac:dyDescent="0.25">
      <c r="A153" s="9">
        <v>630</v>
      </c>
      <c r="B153" s="8" t="s">
        <v>277</v>
      </c>
      <c r="C153" s="8" t="s">
        <v>494</v>
      </c>
      <c r="D153" s="47">
        <v>760</v>
      </c>
      <c r="E153"/>
      <c r="F153"/>
      <c r="G153"/>
      <c r="H153"/>
      <c r="I153"/>
    </row>
    <row r="154" spans="1:9" x14ac:dyDescent="0.25">
      <c r="A154" s="9">
        <v>631</v>
      </c>
      <c r="B154" s="8" t="s">
        <v>284</v>
      </c>
      <c r="C154" s="8" t="s">
        <v>494</v>
      </c>
      <c r="D154" s="47">
        <v>585</v>
      </c>
      <c r="E154"/>
      <c r="F154"/>
      <c r="G154"/>
      <c r="H154"/>
      <c r="I154"/>
    </row>
    <row r="155" spans="1:9" x14ac:dyDescent="0.25">
      <c r="A155" s="9">
        <v>632</v>
      </c>
      <c r="B155" s="8" t="s">
        <v>277</v>
      </c>
      <c r="C155" s="8" t="s">
        <v>494</v>
      </c>
      <c r="D155" s="47">
        <v>545</v>
      </c>
      <c r="E155"/>
      <c r="F155"/>
      <c r="G155"/>
      <c r="H155"/>
      <c r="I155"/>
    </row>
    <row r="156" spans="1:9" x14ac:dyDescent="0.25">
      <c r="A156" s="9">
        <v>745</v>
      </c>
      <c r="B156" s="8" t="s">
        <v>277</v>
      </c>
      <c r="C156" s="8" t="s">
        <v>494</v>
      </c>
      <c r="D156" s="47">
        <v>150</v>
      </c>
      <c r="E156"/>
      <c r="F156"/>
      <c r="G156"/>
      <c r="H156"/>
      <c r="I156"/>
    </row>
    <row r="157" spans="1:9" x14ac:dyDescent="0.25">
      <c r="A157" s="9">
        <v>750</v>
      </c>
      <c r="B157" s="8" t="s">
        <v>277</v>
      </c>
      <c r="C157" s="8" t="s">
        <v>494</v>
      </c>
      <c r="D157" s="47">
        <v>275</v>
      </c>
      <c r="E157"/>
      <c r="F157"/>
      <c r="G157"/>
      <c r="H157"/>
      <c r="I157"/>
    </row>
    <row r="158" spans="1:9" x14ac:dyDescent="0.25">
      <c r="A158" s="9">
        <v>764</v>
      </c>
      <c r="B158" s="8" t="s">
        <v>277</v>
      </c>
      <c r="C158" s="8" t="s">
        <v>494</v>
      </c>
      <c r="D158" s="47">
        <v>260</v>
      </c>
      <c r="E158"/>
      <c r="F158"/>
      <c r="G158"/>
      <c r="H158"/>
      <c r="I158"/>
    </row>
    <row r="159" spans="1:9" x14ac:dyDescent="0.25">
      <c r="A159" s="9">
        <v>765</v>
      </c>
      <c r="B159" s="8" t="s">
        <v>277</v>
      </c>
      <c r="C159" s="8" t="s">
        <v>494</v>
      </c>
      <c r="D159" s="47">
        <v>170</v>
      </c>
      <c r="E159"/>
      <c r="F159"/>
      <c r="G159"/>
      <c r="H159"/>
      <c r="I159"/>
    </row>
    <row r="160" spans="1:9" x14ac:dyDescent="0.25">
      <c r="A160" s="9">
        <v>766</v>
      </c>
      <c r="B160" s="8" t="s">
        <v>277</v>
      </c>
      <c r="C160" s="8" t="s">
        <v>494</v>
      </c>
      <c r="D160" s="47">
        <v>190</v>
      </c>
      <c r="E160"/>
      <c r="F160"/>
      <c r="G160"/>
      <c r="H160"/>
      <c r="I160"/>
    </row>
    <row r="161" spans="1:9" x14ac:dyDescent="0.25">
      <c r="A161" s="9">
        <v>767</v>
      </c>
      <c r="B161" s="8" t="s">
        <v>277</v>
      </c>
      <c r="C161" s="8" t="s">
        <v>494</v>
      </c>
      <c r="D161" s="47">
        <v>345</v>
      </c>
      <c r="E161"/>
      <c r="F161"/>
      <c r="G161"/>
      <c r="H161"/>
      <c r="I161"/>
    </row>
    <row r="162" spans="1:9" x14ac:dyDescent="0.25">
      <c r="A162" s="9">
        <v>772</v>
      </c>
      <c r="B162" s="8" t="s">
        <v>277</v>
      </c>
      <c r="C162" s="8" t="s">
        <v>494</v>
      </c>
      <c r="D162" s="47">
        <v>195</v>
      </c>
      <c r="E162"/>
      <c r="F162"/>
      <c r="G162"/>
      <c r="H162"/>
      <c r="I162"/>
    </row>
    <row r="163" spans="1:9" x14ac:dyDescent="0.25">
      <c r="A163" s="9">
        <v>801</v>
      </c>
      <c r="B163" s="8" t="s">
        <v>277</v>
      </c>
      <c r="C163" s="8" t="s">
        <v>497</v>
      </c>
      <c r="D163" s="47">
        <v>1790</v>
      </c>
      <c r="E163"/>
      <c r="F163"/>
      <c r="G163"/>
      <c r="H163"/>
      <c r="I163"/>
    </row>
    <row r="164" spans="1:9" x14ac:dyDescent="0.25">
      <c r="A164" s="9">
        <v>802</v>
      </c>
      <c r="B164" s="8" t="s">
        <v>277</v>
      </c>
      <c r="C164" s="8" t="s">
        <v>497</v>
      </c>
      <c r="D164" s="47">
        <v>2910</v>
      </c>
      <c r="E164"/>
      <c r="F164"/>
      <c r="G164"/>
      <c r="H164"/>
      <c r="I164"/>
    </row>
    <row r="165" spans="1:9" x14ac:dyDescent="0.25">
      <c r="A165" s="9">
        <v>803</v>
      </c>
      <c r="B165" s="8" t="s">
        <v>277</v>
      </c>
      <c r="C165" s="8" t="s">
        <v>497</v>
      </c>
      <c r="D165" s="47">
        <v>2115</v>
      </c>
      <c r="E165"/>
      <c r="F165"/>
      <c r="G165"/>
      <c r="H165"/>
      <c r="I165"/>
    </row>
    <row r="166" spans="1:9" x14ac:dyDescent="0.25">
      <c r="A166" s="9">
        <v>804</v>
      </c>
      <c r="B166" s="8" t="s">
        <v>277</v>
      </c>
      <c r="C166" s="8" t="s">
        <v>497</v>
      </c>
      <c r="D166" s="47">
        <v>3025</v>
      </c>
      <c r="E166"/>
      <c r="F166"/>
      <c r="G166"/>
      <c r="H166"/>
      <c r="I166"/>
    </row>
    <row r="167" spans="1:9" x14ac:dyDescent="0.25">
      <c r="A167" s="9">
        <v>805</v>
      </c>
      <c r="B167" s="8" t="s">
        <v>277</v>
      </c>
      <c r="C167" s="8" t="s">
        <v>497</v>
      </c>
      <c r="D167" s="47">
        <v>1820</v>
      </c>
      <c r="E167"/>
      <c r="F167"/>
      <c r="G167"/>
      <c r="H167"/>
      <c r="I167"/>
    </row>
    <row r="168" spans="1:9" x14ac:dyDescent="0.25">
      <c r="A168" s="9">
        <v>806</v>
      </c>
      <c r="B168" s="8" t="s">
        <v>277</v>
      </c>
      <c r="C168" s="8" t="s">
        <v>497</v>
      </c>
      <c r="D168" s="47">
        <v>4615</v>
      </c>
      <c r="E168"/>
      <c r="F168"/>
      <c r="G168"/>
      <c r="H168"/>
      <c r="I168"/>
    </row>
    <row r="169" spans="1:9" x14ac:dyDescent="0.25">
      <c r="A169" s="9">
        <v>807</v>
      </c>
      <c r="B169" s="8" t="s">
        <v>277</v>
      </c>
      <c r="C169" s="8" t="s">
        <v>497</v>
      </c>
      <c r="D169" s="47">
        <v>1385</v>
      </c>
      <c r="E169"/>
      <c r="F169"/>
      <c r="G169"/>
      <c r="H169"/>
      <c r="I169"/>
    </row>
    <row r="170" spans="1:9" x14ac:dyDescent="0.25">
      <c r="A170" s="9">
        <v>808</v>
      </c>
      <c r="B170" s="8" t="s">
        <v>277</v>
      </c>
      <c r="C170" s="8" t="s">
        <v>497</v>
      </c>
      <c r="D170" s="47">
        <v>1660</v>
      </c>
      <c r="E170"/>
      <c r="F170"/>
      <c r="G170"/>
      <c r="H170"/>
      <c r="I170"/>
    </row>
    <row r="171" spans="1:9" x14ac:dyDescent="0.25">
      <c r="A171" s="9">
        <v>809</v>
      </c>
      <c r="B171" s="8" t="s">
        <v>277</v>
      </c>
      <c r="C171" s="8" t="s">
        <v>497</v>
      </c>
      <c r="D171" s="47">
        <v>2635</v>
      </c>
      <c r="E171"/>
      <c r="F171"/>
      <c r="G171"/>
      <c r="H171"/>
      <c r="I171"/>
    </row>
    <row r="172" spans="1:9" x14ac:dyDescent="0.25">
      <c r="A172" s="9">
        <v>810</v>
      </c>
      <c r="B172" s="8" t="s">
        <v>277</v>
      </c>
      <c r="C172" s="8" t="s">
        <v>497</v>
      </c>
      <c r="D172" s="47">
        <v>2765</v>
      </c>
      <c r="E172"/>
      <c r="F172"/>
      <c r="G172"/>
      <c r="H172"/>
      <c r="I172"/>
    </row>
    <row r="173" spans="1:9" x14ac:dyDescent="0.25">
      <c r="A173" s="9">
        <v>811</v>
      </c>
      <c r="B173" s="8" t="s">
        <v>277</v>
      </c>
      <c r="C173" s="8" t="s">
        <v>497</v>
      </c>
      <c r="D173" s="47">
        <v>1595</v>
      </c>
      <c r="E173"/>
      <c r="F173"/>
      <c r="G173"/>
      <c r="H173"/>
      <c r="I173"/>
    </row>
    <row r="174" spans="1:9" x14ac:dyDescent="0.25">
      <c r="A174" s="9">
        <v>812</v>
      </c>
      <c r="B174" s="8" t="s">
        <v>277</v>
      </c>
      <c r="C174" s="8" t="s">
        <v>497</v>
      </c>
      <c r="D174" s="47">
        <v>1090</v>
      </c>
      <c r="E174"/>
      <c r="F174"/>
      <c r="G174"/>
      <c r="H174"/>
      <c r="I174"/>
    </row>
    <row r="175" spans="1:9" x14ac:dyDescent="0.25">
      <c r="A175" s="9">
        <v>813</v>
      </c>
      <c r="B175" s="8" t="s">
        <v>277</v>
      </c>
      <c r="C175" s="8" t="s">
        <v>497</v>
      </c>
      <c r="D175" s="47">
        <v>3770</v>
      </c>
      <c r="E175"/>
      <c r="F175"/>
      <c r="G175"/>
      <c r="H175"/>
      <c r="I175"/>
    </row>
    <row r="176" spans="1:9" x14ac:dyDescent="0.25">
      <c r="A176" s="9">
        <v>814</v>
      </c>
      <c r="B176" s="8" t="s">
        <v>277</v>
      </c>
      <c r="C176" s="8" t="s">
        <v>497</v>
      </c>
      <c r="D176" s="47">
        <v>1690</v>
      </c>
      <c r="E176"/>
      <c r="F176"/>
      <c r="G176"/>
      <c r="H176"/>
      <c r="I176"/>
    </row>
    <row r="177" spans="1:9" x14ac:dyDescent="0.25">
      <c r="A177" s="9">
        <v>815</v>
      </c>
      <c r="B177" s="8" t="s">
        <v>277</v>
      </c>
      <c r="C177" s="8" t="s">
        <v>497</v>
      </c>
      <c r="D177" s="47">
        <v>1530</v>
      </c>
      <c r="E177"/>
      <c r="F177"/>
      <c r="G177"/>
      <c r="H177"/>
      <c r="I177"/>
    </row>
    <row r="178" spans="1:9" x14ac:dyDescent="0.25">
      <c r="A178" s="9">
        <v>816</v>
      </c>
      <c r="B178" s="8" t="s">
        <v>284</v>
      </c>
      <c r="C178" s="8" t="s">
        <v>497</v>
      </c>
      <c r="D178" s="47">
        <v>1140</v>
      </c>
      <c r="E178"/>
      <c r="F178"/>
      <c r="G178"/>
      <c r="H178"/>
      <c r="I178"/>
    </row>
    <row r="179" spans="1:9" x14ac:dyDescent="0.25">
      <c r="A179" s="9">
        <v>817</v>
      </c>
      <c r="B179" s="8" t="s">
        <v>277</v>
      </c>
      <c r="C179" s="8" t="s">
        <v>497</v>
      </c>
      <c r="D179" s="47">
        <v>2180</v>
      </c>
      <c r="E179"/>
      <c r="F179"/>
      <c r="G179"/>
      <c r="H179"/>
      <c r="I179"/>
    </row>
    <row r="180" spans="1:9" x14ac:dyDescent="0.25">
      <c r="A180" s="9">
        <v>818</v>
      </c>
      <c r="B180" s="8" t="s">
        <v>277</v>
      </c>
      <c r="C180" s="8" t="s">
        <v>497</v>
      </c>
      <c r="D180" s="47">
        <v>1140</v>
      </c>
      <c r="E180"/>
      <c r="F180"/>
      <c r="G180"/>
      <c r="H180"/>
      <c r="I180"/>
    </row>
    <row r="181" spans="1:9" x14ac:dyDescent="0.25">
      <c r="A181" s="9">
        <v>819</v>
      </c>
      <c r="B181" s="8" t="s">
        <v>277</v>
      </c>
      <c r="C181" s="8" t="s">
        <v>497</v>
      </c>
      <c r="D181" s="47">
        <v>1060</v>
      </c>
      <c r="E181"/>
      <c r="F181"/>
      <c r="G181"/>
      <c r="H181"/>
      <c r="I181"/>
    </row>
    <row r="182" spans="1:9" x14ac:dyDescent="0.25">
      <c r="A182" s="9">
        <v>820</v>
      </c>
      <c r="B182" s="8" t="s">
        <v>277</v>
      </c>
      <c r="C182" s="8" t="s">
        <v>497</v>
      </c>
      <c r="D182" s="47">
        <v>1060</v>
      </c>
      <c r="E182"/>
      <c r="F182"/>
      <c r="G182"/>
      <c r="H182"/>
      <c r="I182"/>
    </row>
    <row r="183" spans="1:9" x14ac:dyDescent="0.25">
      <c r="A183" s="9">
        <v>821</v>
      </c>
      <c r="B183" s="8" t="s">
        <v>277</v>
      </c>
      <c r="C183" s="8" t="s">
        <v>497</v>
      </c>
      <c r="D183" s="47">
        <v>1010</v>
      </c>
      <c r="E183"/>
      <c r="F183"/>
      <c r="G183"/>
      <c r="H183"/>
      <c r="I183"/>
    </row>
    <row r="184" spans="1:9" x14ac:dyDescent="0.25">
      <c r="A184" s="9">
        <v>822</v>
      </c>
      <c r="B184" s="8" t="s">
        <v>277</v>
      </c>
      <c r="C184" s="8" t="s">
        <v>497</v>
      </c>
      <c r="D184" s="47">
        <v>1060</v>
      </c>
      <c r="E184"/>
      <c r="F184"/>
      <c r="G184"/>
      <c r="H184"/>
      <c r="I184"/>
    </row>
    <row r="185" spans="1:9" x14ac:dyDescent="0.25">
      <c r="A185" s="9">
        <v>823</v>
      </c>
      <c r="B185" s="8" t="s">
        <v>277</v>
      </c>
      <c r="C185" s="8" t="s">
        <v>497</v>
      </c>
      <c r="D185" s="47">
        <v>1205</v>
      </c>
      <c r="E185"/>
      <c r="F185"/>
      <c r="G185"/>
      <c r="H185"/>
      <c r="I185"/>
    </row>
    <row r="186" spans="1:9" x14ac:dyDescent="0.25">
      <c r="A186" s="9">
        <v>824</v>
      </c>
      <c r="B186" s="8" t="s">
        <v>277</v>
      </c>
      <c r="C186" s="8" t="s">
        <v>497</v>
      </c>
      <c r="D186" s="47">
        <v>1235</v>
      </c>
      <c r="E186"/>
      <c r="F186"/>
      <c r="G186"/>
      <c r="H186"/>
      <c r="I186"/>
    </row>
    <row r="187" spans="1:9" x14ac:dyDescent="0.25">
      <c r="A187" s="9">
        <v>825</v>
      </c>
      <c r="B187" s="8" t="s">
        <v>277</v>
      </c>
      <c r="C187" s="8" t="s">
        <v>497</v>
      </c>
      <c r="D187" s="47">
        <v>1335</v>
      </c>
      <c r="E187"/>
      <c r="F187"/>
      <c r="G187"/>
      <c r="H187"/>
      <c r="I187"/>
    </row>
    <row r="188" spans="1:9" x14ac:dyDescent="0.25">
      <c r="A188" s="9">
        <v>826</v>
      </c>
      <c r="B188" s="8" t="s">
        <v>277</v>
      </c>
      <c r="C188" s="8" t="s">
        <v>497</v>
      </c>
      <c r="D188" s="47">
        <v>2860</v>
      </c>
      <c r="E188"/>
      <c r="F188"/>
      <c r="G188"/>
      <c r="H188"/>
      <c r="I188"/>
    </row>
    <row r="189" spans="1:9" x14ac:dyDescent="0.25">
      <c r="A189" s="9">
        <v>827</v>
      </c>
      <c r="B189" s="8" t="s">
        <v>277</v>
      </c>
      <c r="C189" s="8" t="s">
        <v>497</v>
      </c>
      <c r="D189" s="47">
        <v>2245</v>
      </c>
      <c r="E189"/>
      <c r="F189"/>
      <c r="G189"/>
      <c r="H189"/>
      <c r="I189"/>
    </row>
    <row r="190" spans="1:9" x14ac:dyDescent="0.25">
      <c r="A190" s="9">
        <v>828</v>
      </c>
      <c r="B190" s="8" t="s">
        <v>277</v>
      </c>
      <c r="C190" s="8" t="s">
        <v>497</v>
      </c>
      <c r="D190" s="47">
        <v>1300</v>
      </c>
      <c r="E190"/>
      <c r="F190"/>
      <c r="G190"/>
      <c r="H190"/>
      <c r="I190"/>
    </row>
    <row r="191" spans="1:9" x14ac:dyDescent="0.25">
      <c r="A191" s="9">
        <v>829</v>
      </c>
      <c r="B191" s="8" t="s">
        <v>277</v>
      </c>
      <c r="C191" s="8" t="s">
        <v>497</v>
      </c>
      <c r="D191" s="47">
        <v>3285</v>
      </c>
      <c r="E191"/>
      <c r="F191"/>
      <c r="G191"/>
      <c r="H191"/>
      <c r="I191"/>
    </row>
    <row r="192" spans="1:9" x14ac:dyDescent="0.25">
      <c r="A192" s="9">
        <v>830</v>
      </c>
      <c r="B192" s="8" t="s">
        <v>277</v>
      </c>
      <c r="C192" s="8" t="s">
        <v>497</v>
      </c>
      <c r="D192" s="47">
        <v>1300</v>
      </c>
      <c r="E192"/>
      <c r="F192"/>
      <c r="G192"/>
      <c r="H192"/>
      <c r="I192"/>
    </row>
    <row r="193" spans="1:9" x14ac:dyDescent="0.25">
      <c r="A193" s="9">
        <v>831</v>
      </c>
      <c r="B193" s="8" t="s">
        <v>277</v>
      </c>
      <c r="C193" s="8" t="s">
        <v>497</v>
      </c>
      <c r="D193" s="47">
        <v>1660</v>
      </c>
      <c r="E193"/>
      <c r="F193"/>
      <c r="G193"/>
      <c r="H193"/>
      <c r="I193"/>
    </row>
    <row r="194" spans="1:9" x14ac:dyDescent="0.25">
      <c r="A194" s="9">
        <v>832</v>
      </c>
      <c r="B194" s="8" t="s">
        <v>277</v>
      </c>
      <c r="C194" s="8" t="s">
        <v>497</v>
      </c>
      <c r="D194" s="47">
        <v>1400</v>
      </c>
      <c r="E194"/>
      <c r="F194"/>
      <c r="G194"/>
      <c r="H194"/>
      <c r="I194"/>
    </row>
    <row r="195" spans="1:9" x14ac:dyDescent="0.25">
      <c r="A195" s="9">
        <v>833</v>
      </c>
      <c r="B195" s="8" t="s">
        <v>277</v>
      </c>
      <c r="C195" s="8" t="s">
        <v>497</v>
      </c>
      <c r="D195" s="47">
        <v>1035</v>
      </c>
      <c r="E195"/>
      <c r="F195"/>
      <c r="G195"/>
      <c r="H195"/>
      <c r="I195"/>
    </row>
    <row r="196" spans="1:9" x14ac:dyDescent="0.25">
      <c r="A196" s="9">
        <v>834</v>
      </c>
      <c r="B196" s="8" t="s">
        <v>277</v>
      </c>
      <c r="C196" s="8" t="s">
        <v>497</v>
      </c>
      <c r="D196" s="47">
        <v>1335</v>
      </c>
      <c r="E196"/>
      <c r="F196"/>
      <c r="G196"/>
      <c r="H196"/>
      <c r="I196"/>
    </row>
    <row r="197" spans="1:9" x14ac:dyDescent="0.25">
      <c r="A197" s="9">
        <v>835</v>
      </c>
      <c r="B197" s="8" t="s">
        <v>277</v>
      </c>
      <c r="C197" s="8" t="s">
        <v>497</v>
      </c>
      <c r="D197" s="47">
        <v>1465</v>
      </c>
      <c r="E197"/>
      <c r="F197"/>
      <c r="G197"/>
      <c r="H197"/>
      <c r="I197"/>
    </row>
    <row r="198" spans="1:9" x14ac:dyDescent="0.25">
      <c r="A198" s="9">
        <v>836</v>
      </c>
      <c r="B198" s="8" t="s">
        <v>277</v>
      </c>
      <c r="C198" s="8" t="s">
        <v>497</v>
      </c>
      <c r="D198" s="47">
        <v>1140</v>
      </c>
      <c r="E198"/>
      <c r="F198"/>
      <c r="G198"/>
      <c r="H198"/>
      <c r="I198"/>
    </row>
    <row r="199" spans="1:9" x14ac:dyDescent="0.25">
      <c r="A199" s="9">
        <v>837</v>
      </c>
      <c r="B199" s="8" t="s">
        <v>277</v>
      </c>
      <c r="C199" s="8" t="s">
        <v>497</v>
      </c>
      <c r="D199" s="47">
        <v>1270</v>
      </c>
      <c r="E199"/>
      <c r="F199"/>
      <c r="G199"/>
      <c r="H199"/>
      <c r="I199"/>
    </row>
    <row r="200" spans="1:9" x14ac:dyDescent="0.25">
      <c r="A200" s="9">
        <v>838</v>
      </c>
      <c r="B200" s="8" t="s">
        <v>277</v>
      </c>
      <c r="C200" s="8" t="s">
        <v>497</v>
      </c>
      <c r="D200" s="47">
        <v>810</v>
      </c>
      <c r="E200"/>
      <c r="F200"/>
      <c r="G200"/>
      <c r="H200"/>
      <c r="I200"/>
    </row>
    <row r="201" spans="1:9" x14ac:dyDescent="0.25">
      <c r="A201" s="9">
        <v>839</v>
      </c>
      <c r="B201" s="8" t="s">
        <v>277</v>
      </c>
      <c r="C201" s="8" t="s">
        <v>497</v>
      </c>
      <c r="D201" s="47">
        <v>1030</v>
      </c>
      <c r="E201"/>
      <c r="F201"/>
      <c r="G201"/>
      <c r="H201"/>
      <c r="I201"/>
    </row>
    <row r="202" spans="1:9" x14ac:dyDescent="0.25">
      <c r="A202" s="9">
        <v>840</v>
      </c>
      <c r="B202" s="8" t="s">
        <v>277</v>
      </c>
      <c r="C202" s="8" t="s">
        <v>497</v>
      </c>
      <c r="D202" s="47">
        <v>975</v>
      </c>
      <c r="E202"/>
      <c r="F202"/>
      <c r="G202"/>
      <c r="H202"/>
      <c r="I202"/>
    </row>
    <row r="203" spans="1:9" x14ac:dyDescent="0.25">
      <c r="A203" s="9">
        <v>907</v>
      </c>
      <c r="B203" s="8" t="s">
        <v>277</v>
      </c>
      <c r="C203" s="8" t="s">
        <v>497</v>
      </c>
      <c r="D203" s="47">
        <v>2535</v>
      </c>
      <c r="E203"/>
      <c r="F203"/>
      <c r="G203"/>
      <c r="H203"/>
      <c r="I203"/>
    </row>
    <row r="204" spans="1:9" x14ac:dyDescent="0.25">
      <c r="A204" s="9">
        <v>948</v>
      </c>
      <c r="B204" s="8" t="s">
        <v>284</v>
      </c>
      <c r="C204" s="8" t="s">
        <v>493</v>
      </c>
      <c r="D204" s="47">
        <v>820</v>
      </c>
      <c r="E204"/>
      <c r="F204"/>
      <c r="G204"/>
      <c r="H204"/>
      <c r="I204"/>
    </row>
    <row r="205" spans="1:9" x14ac:dyDescent="0.25">
      <c r="A205" s="9">
        <v>949</v>
      </c>
      <c r="B205" s="8" t="s">
        <v>284</v>
      </c>
      <c r="C205" s="8" t="s">
        <v>493</v>
      </c>
      <c r="D205" s="47">
        <v>915</v>
      </c>
      <c r="E205"/>
      <c r="F205"/>
      <c r="G205"/>
      <c r="H205"/>
      <c r="I205"/>
    </row>
    <row r="206" spans="1:9" x14ac:dyDescent="0.25">
      <c r="A206" s="9">
        <v>951</v>
      </c>
      <c r="B206" s="8" t="s">
        <v>284</v>
      </c>
      <c r="C206" s="8" t="s">
        <v>493</v>
      </c>
      <c r="D206" s="47">
        <v>935</v>
      </c>
      <c r="E206"/>
      <c r="F206"/>
      <c r="G206"/>
      <c r="H206"/>
      <c r="I206"/>
    </row>
    <row r="207" spans="1:9" x14ac:dyDescent="0.25">
      <c r="A207" s="9">
        <v>959</v>
      </c>
      <c r="B207" s="8" t="s">
        <v>284</v>
      </c>
      <c r="C207" s="8" t="s">
        <v>493</v>
      </c>
      <c r="D207" s="47">
        <v>885</v>
      </c>
      <c r="E207"/>
      <c r="F207"/>
      <c r="G207"/>
      <c r="H207"/>
      <c r="I207"/>
    </row>
    <row r="208" spans="1:9" x14ac:dyDescent="0.25">
      <c r="A208" s="9">
        <v>960</v>
      </c>
      <c r="B208" s="8" t="s">
        <v>284</v>
      </c>
      <c r="C208" s="8" t="s">
        <v>493</v>
      </c>
      <c r="D208" s="47">
        <v>1060</v>
      </c>
      <c r="E208"/>
      <c r="F208"/>
      <c r="G208"/>
      <c r="H208"/>
      <c r="I208"/>
    </row>
    <row r="209" spans="1:9" x14ac:dyDescent="0.25">
      <c r="A209" s="9">
        <v>962</v>
      </c>
      <c r="B209" s="8" t="s">
        <v>284</v>
      </c>
      <c r="C209" s="8" t="s">
        <v>493</v>
      </c>
      <c r="D209" s="47">
        <v>1040</v>
      </c>
      <c r="E209"/>
      <c r="F209"/>
      <c r="G209"/>
      <c r="H209"/>
      <c r="I209"/>
    </row>
    <row r="210" spans="1:9" x14ac:dyDescent="0.25">
      <c r="A210" s="9">
        <v>965</v>
      </c>
      <c r="B210" s="8" t="s">
        <v>284</v>
      </c>
      <c r="C210" s="8" t="s">
        <v>493</v>
      </c>
      <c r="D210" s="47">
        <v>750</v>
      </c>
      <c r="E210"/>
      <c r="F210"/>
      <c r="G210"/>
      <c r="H210"/>
      <c r="I210"/>
    </row>
    <row r="211" spans="1:9" x14ac:dyDescent="0.25">
      <c r="A211" s="9">
        <v>968</v>
      </c>
      <c r="B211" s="8" t="s">
        <v>284</v>
      </c>
      <c r="C211" s="8" t="s">
        <v>493</v>
      </c>
      <c r="D211" s="47">
        <v>1040</v>
      </c>
      <c r="E211"/>
      <c r="F211"/>
      <c r="G211"/>
      <c r="H211"/>
      <c r="I211"/>
    </row>
    <row r="212" spans="1:9" x14ac:dyDescent="0.25">
      <c r="A212" s="9">
        <v>969</v>
      </c>
      <c r="B212" s="8" t="s">
        <v>284</v>
      </c>
      <c r="C212" s="8" t="s">
        <v>493</v>
      </c>
      <c r="D212" s="47">
        <v>810</v>
      </c>
      <c r="E212"/>
      <c r="F212"/>
      <c r="G212"/>
      <c r="H212"/>
      <c r="I212"/>
    </row>
    <row r="213" spans="1:9" x14ac:dyDescent="0.25">
      <c r="A213" s="9">
        <v>970</v>
      </c>
      <c r="B213" s="8" t="s">
        <v>284</v>
      </c>
      <c r="C213" s="8" t="s">
        <v>493</v>
      </c>
      <c r="D213" s="47">
        <v>1130</v>
      </c>
      <c r="E213"/>
      <c r="F213"/>
      <c r="G213"/>
      <c r="H213"/>
      <c r="I213"/>
    </row>
    <row r="214" spans="1:9" x14ac:dyDescent="0.25">
      <c r="A214" s="9">
        <v>971</v>
      </c>
      <c r="B214" s="8" t="s">
        <v>284</v>
      </c>
      <c r="C214" s="8" t="s">
        <v>493</v>
      </c>
      <c r="D214" s="47">
        <v>860</v>
      </c>
      <c r="E214"/>
      <c r="F214"/>
      <c r="G214"/>
      <c r="H214"/>
      <c r="I214"/>
    </row>
    <row r="215" spans="1:9" x14ac:dyDescent="0.25">
      <c r="A215" s="9">
        <v>973</v>
      </c>
      <c r="B215" s="8" t="s">
        <v>284</v>
      </c>
      <c r="C215" s="8" t="s">
        <v>493</v>
      </c>
      <c r="D215" s="47">
        <v>1080</v>
      </c>
      <c r="E215"/>
      <c r="F215"/>
      <c r="G215"/>
      <c r="H215"/>
      <c r="I215"/>
    </row>
    <row r="216" spans="1:9" x14ac:dyDescent="0.25">
      <c r="A216" s="9">
        <v>1004</v>
      </c>
      <c r="B216" s="8" t="s">
        <v>284</v>
      </c>
      <c r="C216" s="8" t="s">
        <v>493</v>
      </c>
      <c r="D216" s="47">
        <v>955</v>
      </c>
      <c r="E216"/>
      <c r="F216"/>
      <c r="G216"/>
      <c r="H216"/>
      <c r="I216"/>
    </row>
    <row r="217" spans="1:9" x14ac:dyDescent="0.25">
      <c r="A217" s="9">
        <v>1005</v>
      </c>
      <c r="B217" s="8" t="s">
        <v>284</v>
      </c>
      <c r="C217" s="8" t="s">
        <v>493</v>
      </c>
      <c r="D217" s="47">
        <v>1030</v>
      </c>
      <c r="E217"/>
      <c r="F217"/>
      <c r="G217"/>
      <c r="H217"/>
      <c r="I217"/>
    </row>
    <row r="218" spans="1:9" x14ac:dyDescent="0.25">
      <c r="A218" s="9">
        <v>1006</v>
      </c>
      <c r="B218" s="8" t="s">
        <v>284</v>
      </c>
      <c r="C218" s="8" t="s">
        <v>493</v>
      </c>
      <c r="D218" s="47">
        <v>1285</v>
      </c>
      <c r="E218"/>
      <c r="F218"/>
      <c r="G218"/>
      <c r="H218"/>
      <c r="I218"/>
    </row>
    <row r="219" spans="1:9" x14ac:dyDescent="0.25">
      <c r="A219" s="9">
        <v>1007</v>
      </c>
      <c r="B219" s="8" t="s">
        <v>284</v>
      </c>
      <c r="C219" s="8" t="s">
        <v>493</v>
      </c>
      <c r="D219" s="47">
        <v>1040</v>
      </c>
      <c r="E219"/>
      <c r="F219"/>
      <c r="G219"/>
      <c r="H219"/>
      <c r="I219"/>
    </row>
    <row r="220" spans="1:9" x14ac:dyDescent="0.25">
      <c r="A220" s="9">
        <v>1008</v>
      </c>
      <c r="B220" s="8" t="s">
        <v>284</v>
      </c>
      <c r="C220" s="8" t="s">
        <v>493</v>
      </c>
      <c r="D220" s="47">
        <v>1165</v>
      </c>
      <c r="E220"/>
      <c r="F220"/>
      <c r="G220"/>
      <c r="H220"/>
      <c r="I220"/>
    </row>
    <row r="221" spans="1:9" x14ac:dyDescent="0.25">
      <c r="A221" s="9">
        <v>1009</v>
      </c>
      <c r="B221" s="8" t="s">
        <v>284</v>
      </c>
      <c r="C221" s="8" t="s">
        <v>493</v>
      </c>
      <c r="D221" s="47">
        <v>860</v>
      </c>
      <c r="E221"/>
      <c r="F221"/>
      <c r="G221"/>
      <c r="H221"/>
      <c r="I221"/>
    </row>
    <row r="222" spans="1:9" x14ac:dyDescent="0.25">
      <c r="A222" s="9">
        <v>1011</v>
      </c>
      <c r="B222" s="8" t="s">
        <v>284</v>
      </c>
      <c r="C222" s="8" t="s">
        <v>493</v>
      </c>
      <c r="D222" s="47">
        <v>1030</v>
      </c>
      <c r="E222"/>
      <c r="F222"/>
      <c r="G222"/>
      <c r="H222"/>
      <c r="I222"/>
    </row>
    <row r="223" spans="1:9" x14ac:dyDescent="0.25">
      <c r="A223" s="9">
        <v>1012</v>
      </c>
      <c r="B223" s="8" t="s">
        <v>284</v>
      </c>
      <c r="C223" s="8" t="s">
        <v>493</v>
      </c>
      <c r="D223" s="47">
        <v>1150</v>
      </c>
      <c r="E223"/>
      <c r="F223"/>
      <c r="G223"/>
      <c r="H223"/>
      <c r="I223"/>
    </row>
    <row r="224" spans="1:9" x14ac:dyDescent="0.25">
      <c r="A224" s="9">
        <v>1016</v>
      </c>
      <c r="B224" s="8" t="s">
        <v>284</v>
      </c>
      <c r="C224" s="8" t="s">
        <v>493</v>
      </c>
      <c r="D224" s="47">
        <v>1150</v>
      </c>
      <c r="E224"/>
      <c r="F224"/>
      <c r="G224"/>
      <c r="H224"/>
      <c r="I224"/>
    </row>
    <row r="225" spans="1:9" x14ac:dyDescent="0.25">
      <c r="A225" s="9">
        <v>1017</v>
      </c>
      <c r="B225" s="8" t="s">
        <v>284</v>
      </c>
      <c r="C225" s="8" t="s">
        <v>493</v>
      </c>
      <c r="D225" s="47">
        <v>875</v>
      </c>
      <c r="E225"/>
      <c r="F225"/>
      <c r="G225"/>
      <c r="H225"/>
      <c r="I225"/>
    </row>
    <row r="226" spans="1:9" x14ac:dyDescent="0.25">
      <c r="A226" s="9">
        <v>1018</v>
      </c>
      <c r="B226" s="8" t="s">
        <v>284</v>
      </c>
      <c r="C226" s="8" t="s">
        <v>493</v>
      </c>
      <c r="D226" s="47">
        <v>800</v>
      </c>
      <c r="E226"/>
      <c r="F226"/>
      <c r="G226"/>
      <c r="H226"/>
      <c r="I226"/>
    </row>
    <row r="227" spans="1:9" x14ac:dyDescent="0.25">
      <c r="A227" s="9">
        <v>1019</v>
      </c>
      <c r="B227" s="8" t="s">
        <v>284</v>
      </c>
      <c r="C227" s="8" t="s">
        <v>493</v>
      </c>
      <c r="D227" s="47">
        <v>835</v>
      </c>
      <c r="E227"/>
      <c r="F227"/>
      <c r="G227"/>
      <c r="H227"/>
      <c r="I227"/>
    </row>
    <row r="228" spans="1:9" x14ac:dyDescent="0.25">
      <c r="A228" s="9">
        <v>1020</v>
      </c>
      <c r="B228" s="8" t="s">
        <v>284</v>
      </c>
      <c r="C228" s="8" t="s">
        <v>493</v>
      </c>
      <c r="D228" s="47">
        <v>1030</v>
      </c>
      <c r="E228"/>
      <c r="F228"/>
      <c r="G228"/>
      <c r="H228"/>
      <c r="I228"/>
    </row>
    <row r="229" spans="1:9" x14ac:dyDescent="0.25">
      <c r="A229" s="9">
        <v>1021</v>
      </c>
      <c r="B229" s="8" t="s">
        <v>284</v>
      </c>
      <c r="C229" s="8" t="s">
        <v>493</v>
      </c>
      <c r="D229" s="47">
        <v>1380</v>
      </c>
      <c r="E229"/>
      <c r="F229"/>
      <c r="G229"/>
      <c r="H229"/>
      <c r="I229"/>
    </row>
    <row r="230" spans="1:9" x14ac:dyDescent="0.25">
      <c r="A230" s="9">
        <v>1030</v>
      </c>
      <c r="B230" s="8" t="s">
        <v>284</v>
      </c>
      <c r="C230" s="8" t="s">
        <v>493</v>
      </c>
      <c r="D230" s="47">
        <v>935</v>
      </c>
      <c r="E230"/>
      <c r="F230"/>
      <c r="G230"/>
      <c r="H230"/>
      <c r="I230"/>
    </row>
    <row r="231" spans="1:9" x14ac:dyDescent="0.25">
      <c r="A231" s="9">
        <v>2241</v>
      </c>
      <c r="B231" s="8" t="s">
        <v>277</v>
      </c>
      <c r="C231" s="8" t="s">
        <v>497</v>
      </c>
      <c r="D231" s="47">
        <v>1335</v>
      </c>
      <c r="E231"/>
      <c r="F231"/>
      <c r="G231"/>
      <c r="H231"/>
      <c r="I231"/>
    </row>
    <row r="232" spans="1:9" x14ac:dyDescent="0.25">
      <c r="A232" s="9">
        <v>2251</v>
      </c>
      <c r="B232" s="8" t="s">
        <v>284</v>
      </c>
      <c r="C232" s="8" t="s">
        <v>497</v>
      </c>
      <c r="D232" s="47">
        <v>750</v>
      </c>
      <c r="E232"/>
      <c r="F232"/>
      <c r="G232"/>
      <c r="H232"/>
      <c r="I232"/>
    </row>
    <row r="233" spans="1:9" x14ac:dyDescent="0.25">
      <c r="A233" s="9">
        <v>2291</v>
      </c>
      <c r="B233" s="8" t="s">
        <v>277</v>
      </c>
      <c r="C233" s="8" t="s">
        <v>494</v>
      </c>
      <c r="D233" s="47">
        <v>345</v>
      </c>
      <c r="E233"/>
      <c r="F233"/>
      <c r="G233"/>
      <c r="H233"/>
      <c r="I233"/>
    </row>
    <row r="234" spans="1:9" x14ac:dyDescent="0.25">
      <c r="A234" s="9">
        <v>2292</v>
      </c>
      <c r="B234" s="8" t="s">
        <v>277</v>
      </c>
      <c r="C234" s="8" t="s">
        <v>494</v>
      </c>
      <c r="D234" s="47">
        <v>315</v>
      </c>
      <c r="E234"/>
      <c r="F234"/>
      <c r="G234"/>
      <c r="H234"/>
      <c r="I234"/>
    </row>
    <row r="235" spans="1:9" x14ac:dyDescent="0.25">
      <c r="A235" s="9">
        <v>2301</v>
      </c>
      <c r="B235" s="8" t="s">
        <v>277</v>
      </c>
      <c r="C235" s="8" t="s">
        <v>494</v>
      </c>
      <c r="D235" s="47">
        <v>410</v>
      </c>
      <c r="E235"/>
      <c r="F235"/>
      <c r="G235"/>
      <c r="H235"/>
      <c r="I235"/>
    </row>
    <row r="236" spans="1:9" x14ac:dyDescent="0.25">
      <c r="A236" s="9">
        <v>2302</v>
      </c>
      <c r="B236" s="8" t="s">
        <v>277</v>
      </c>
      <c r="C236" s="8" t="s">
        <v>494</v>
      </c>
      <c r="D236" s="47">
        <v>425</v>
      </c>
      <c r="E236"/>
      <c r="F236"/>
      <c r="G236"/>
      <c r="H236"/>
      <c r="I236"/>
    </row>
    <row r="237" spans="1:9" x14ac:dyDescent="0.25">
      <c r="A237" s="9">
        <v>2311</v>
      </c>
      <c r="B237" s="8" t="s">
        <v>277</v>
      </c>
      <c r="C237" s="8" t="s">
        <v>494</v>
      </c>
      <c r="D237" s="47">
        <v>365</v>
      </c>
      <c r="E237"/>
      <c r="F237"/>
      <c r="G237"/>
      <c r="H237"/>
      <c r="I237"/>
    </row>
    <row r="238" spans="1:9" x14ac:dyDescent="0.25">
      <c r="A238" s="9">
        <v>2312</v>
      </c>
      <c r="B238" s="8" t="s">
        <v>277</v>
      </c>
      <c r="C238" s="8" t="s">
        <v>494</v>
      </c>
      <c r="D238" s="47">
        <v>715</v>
      </c>
      <c r="E238"/>
      <c r="F238"/>
      <c r="G238"/>
      <c r="H238"/>
      <c r="I238"/>
    </row>
    <row r="239" spans="1:9" x14ac:dyDescent="0.25">
      <c r="A239" s="9">
        <v>2313</v>
      </c>
      <c r="B239" s="8" t="s">
        <v>277</v>
      </c>
      <c r="C239" s="8" t="s">
        <v>494</v>
      </c>
      <c r="D239" s="47">
        <v>450</v>
      </c>
      <c r="E239"/>
      <c r="F239"/>
      <c r="G239"/>
      <c r="H239"/>
      <c r="I239"/>
    </row>
    <row r="240" spans="1:9" x14ac:dyDescent="0.25">
      <c r="A240" s="9">
        <v>2314</v>
      </c>
      <c r="B240" s="8" t="s">
        <v>277</v>
      </c>
      <c r="C240" s="8" t="s">
        <v>494</v>
      </c>
      <c r="D240" s="47">
        <v>415</v>
      </c>
      <c r="E240"/>
      <c r="F240"/>
      <c r="G240"/>
      <c r="H240"/>
      <c r="I240"/>
    </row>
    <row r="241" spans="1:9" x14ac:dyDescent="0.25">
      <c r="A241" s="9">
        <v>2315</v>
      </c>
      <c r="B241" s="8" t="s">
        <v>277</v>
      </c>
      <c r="C241" s="8" t="s">
        <v>494</v>
      </c>
      <c r="D241" s="47">
        <v>465</v>
      </c>
      <c r="E241"/>
      <c r="F241"/>
      <c r="G241"/>
      <c r="H241"/>
      <c r="I241"/>
    </row>
    <row r="242" spans="1:9" x14ac:dyDescent="0.25">
      <c r="A242" s="9">
        <v>2316</v>
      </c>
      <c r="B242" s="8" t="s">
        <v>277</v>
      </c>
      <c r="C242" s="8" t="s">
        <v>494</v>
      </c>
      <c r="D242" s="47">
        <v>570</v>
      </c>
      <c r="E242"/>
      <c r="F242"/>
      <c r="G242"/>
      <c r="H242"/>
      <c r="I242"/>
    </row>
    <row r="243" spans="1:9" x14ac:dyDescent="0.25">
      <c r="A243" s="9">
        <v>2317</v>
      </c>
      <c r="B243" s="8" t="s">
        <v>277</v>
      </c>
      <c r="C243" s="8" t="s">
        <v>494</v>
      </c>
      <c r="D243" s="47">
        <v>550</v>
      </c>
      <c r="E243"/>
      <c r="F243"/>
      <c r="G243"/>
      <c r="H243"/>
      <c r="I243"/>
    </row>
    <row r="244" spans="1:9" x14ac:dyDescent="0.25">
      <c r="A244" s="9">
        <v>2318</v>
      </c>
      <c r="B244" s="8" t="s">
        <v>277</v>
      </c>
      <c r="C244" s="8" t="s">
        <v>494</v>
      </c>
      <c r="D244" s="47">
        <v>550</v>
      </c>
      <c r="E244"/>
      <c r="F244"/>
      <c r="G244"/>
      <c r="H244"/>
      <c r="I244"/>
    </row>
    <row r="245" spans="1:9" x14ac:dyDescent="0.25">
      <c r="A245" s="9">
        <v>2320</v>
      </c>
      <c r="B245" s="8" t="s">
        <v>277</v>
      </c>
      <c r="C245" s="8" t="s">
        <v>494</v>
      </c>
      <c r="D245" s="47">
        <v>485</v>
      </c>
      <c r="E245"/>
      <c r="F245"/>
      <c r="G245"/>
      <c r="H245"/>
      <c r="I245"/>
    </row>
    <row r="246" spans="1:9" x14ac:dyDescent="0.25">
      <c r="A246" s="9">
        <v>2331</v>
      </c>
      <c r="B246" s="8" t="s">
        <v>277</v>
      </c>
      <c r="C246" s="8" t="s">
        <v>494</v>
      </c>
      <c r="D246" s="47">
        <v>335</v>
      </c>
      <c r="E246"/>
      <c r="F246"/>
      <c r="G246"/>
      <c r="H246"/>
      <c r="I246"/>
    </row>
    <row r="247" spans="1:9" x14ac:dyDescent="0.25">
      <c r="A247" s="9">
        <v>2332</v>
      </c>
      <c r="B247" s="8" t="s">
        <v>277</v>
      </c>
      <c r="C247" s="8" t="s">
        <v>494</v>
      </c>
      <c r="D247" s="47">
        <v>390</v>
      </c>
      <c r="E247"/>
      <c r="F247"/>
      <c r="G247"/>
      <c r="H247"/>
      <c r="I247"/>
    </row>
    <row r="248" spans="1:9" x14ac:dyDescent="0.25">
      <c r="A248" s="9">
        <v>2334</v>
      </c>
      <c r="B248" s="8" t="s">
        <v>277</v>
      </c>
      <c r="C248" s="8" t="s">
        <v>494</v>
      </c>
      <c r="D248" s="47">
        <v>485</v>
      </c>
      <c r="E248"/>
      <c r="F248"/>
      <c r="G248"/>
      <c r="H248"/>
      <c r="I248"/>
    </row>
    <row r="249" spans="1:9" x14ac:dyDescent="0.25">
      <c r="A249" s="9">
        <v>2335</v>
      </c>
      <c r="B249" s="8" t="s">
        <v>277</v>
      </c>
      <c r="C249" s="8" t="s">
        <v>494</v>
      </c>
      <c r="D249" s="47">
        <v>295</v>
      </c>
      <c r="E249"/>
      <c r="F249"/>
      <c r="G249"/>
      <c r="H249"/>
      <c r="I249"/>
    </row>
    <row r="250" spans="1:9" x14ac:dyDescent="0.25">
      <c r="A250" s="9">
        <v>2336</v>
      </c>
      <c r="B250" s="8" t="s">
        <v>284</v>
      </c>
      <c r="C250" s="8" t="s">
        <v>494</v>
      </c>
      <c r="D250" s="47">
        <v>560</v>
      </c>
      <c r="E250"/>
      <c r="F250"/>
      <c r="G250"/>
      <c r="H250"/>
      <c r="I250"/>
    </row>
    <row r="251" spans="1:9" x14ac:dyDescent="0.25">
      <c r="A251" s="9">
        <v>2337</v>
      </c>
      <c r="B251" s="8" t="s">
        <v>277</v>
      </c>
      <c r="C251" s="8" t="s">
        <v>494</v>
      </c>
      <c r="D251" s="47">
        <v>515</v>
      </c>
      <c r="E251"/>
      <c r="F251"/>
      <c r="G251"/>
      <c r="H251"/>
      <c r="I251"/>
    </row>
    <row r="252" spans="1:9" x14ac:dyDescent="0.25">
      <c r="A252" s="9">
        <v>2351</v>
      </c>
      <c r="B252" s="8" t="s">
        <v>277</v>
      </c>
      <c r="C252" s="8" t="s">
        <v>494</v>
      </c>
      <c r="D252" s="47">
        <v>425</v>
      </c>
      <c r="E252"/>
      <c r="F252"/>
      <c r="G252"/>
      <c r="H252"/>
      <c r="I252"/>
    </row>
    <row r="253" spans="1:9" x14ac:dyDescent="0.25">
      <c r="A253" s="9">
        <v>2391</v>
      </c>
      <c r="B253" s="8" t="s">
        <v>277</v>
      </c>
      <c r="C253" s="8" t="s">
        <v>497</v>
      </c>
      <c r="D253" s="47">
        <v>965</v>
      </c>
      <c r="E253"/>
      <c r="F253"/>
      <c r="G253"/>
      <c r="H253"/>
      <c r="I253"/>
    </row>
    <row r="254" spans="1:9" x14ac:dyDescent="0.25">
      <c r="A254" s="9">
        <v>2392</v>
      </c>
      <c r="B254" s="8" t="s">
        <v>277</v>
      </c>
      <c r="C254" s="8" t="s">
        <v>497</v>
      </c>
      <c r="D254" s="47">
        <v>965</v>
      </c>
      <c r="E254"/>
      <c r="F254"/>
      <c r="G254"/>
      <c r="H254"/>
      <c r="I254"/>
    </row>
    <row r="255" spans="1:9" x14ac:dyDescent="0.25">
      <c r="A255" s="9">
        <v>2393</v>
      </c>
      <c r="B255" s="8" t="s">
        <v>277</v>
      </c>
      <c r="C255" s="8" t="s">
        <v>497</v>
      </c>
      <c r="D255" s="47">
        <v>730</v>
      </c>
      <c r="E255"/>
      <c r="F255"/>
      <c r="G255"/>
      <c r="H255"/>
      <c r="I255"/>
    </row>
    <row r="256" spans="1:9" x14ac:dyDescent="0.25">
      <c r="A256" s="9">
        <v>2394</v>
      </c>
      <c r="B256" s="8" t="s">
        <v>277</v>
      </c>
      <c r="C256" s="8" t="s">
        <v>497</v>
      </c>
      <c r="D256" s="47">
        <v>730</v>
      </c>
      <c r="E256"/>
      <c r="F256"/>
      <c r="G256"/>
      <c r="H256"/>
      <c r="I256"/>
    </row>
    <row r="257" spans="1:9" x14ac:dyDescent="0.25">
      <c r="A257" s="9">
        <v>2395</v>
      </c>
      <c r="B257" s="8" t="s">
        <v>277</v>
      </c>
      <c r="C257" s="8" t="s">
        <v>497</v>
      </c>
      <c r="D257" s="47">
        <v>730</v>
      </c>
      <c r="E257"/>
      <c r="F257"/>
      <c r="G257"/>
      <c r="H257"/>
      <c r="I257"/>
    </row>
    <row r="258" spans="1:9" x14ac:dyDescent="0.25">
      <c r="A258" s="9">
        <v>2396</v>
      </c>
      <c r="B258" s="8" t="s">
        <v>277</v>
      </c>
      <c r="C258" s="8" t="s">
        <v>497</v>
      </c>
      <c r="D258" s="47">
        <v>605</v>
      </c>
      <c r="E258"/>
      <c r="F258"/>
      <c r="G258"/>
      <c r="H258"/>
      <c r="I258"/>
    </row>
    <row r="259" spans="1:9" x14ac:dyDescent="0.25">
      <c r="A259" s="9">
        <v>2397</v>
      </c>
      <c r="B259" s="8" t="s">
        <v>277</v>
      </c>
      <c r="C259" s="8" t="s">
        <v>497</v>
      </c>
      <c r="D259" s="47">
        <v>455</v>
      </c>
      <c r="E259"/>
      <c r="F259"/>
      <c r="G259"/>
      <c r="H259"/>
      <c r="I259"/>
    </row>
    <row r="260" spans="1:9" x14ac:dyDescent="0.25">
      <c r="A260" s="9">
        <v>2398</v>
      </c>
      <c r="B260" s="8" t="s">
        <v>277</v>
      </c>
      <c r="C260" s="8" t="s">
        <v>497</v>
      </c>
      <c r="D260" s="47">
        <v>730</v>
      </c>
      <c r="E260"/>
      <c r="F260"/>
      <c r="G260"/>
      <c r="H260"/>
      <c r="I260"/>
    </row>
    <row r="261" spans="1:9" x14ac:dyDescent="0.25">
      <c r="A261" s="9">
        <v>2399</v>
      </c>
      <c r="B261" s="8" t="s">
        <v>277</v>
      </c>
      <c r="C261" s="8" t="s">
        <v>497</v>
      </c>
      <c r="D261" s="47">
        <v>730</v>
      </c>
      <c r="E261"/>
      <c r="F261"/>
      <c r="G261"/>
      <c r="H261"/>
      <c r="I261"/>
    </row>
    <row r="262" spans="1:9" x14ac:dyDescent="0.25">
      <c r="A262" s="9">
        <v>2401</v>
      </c>
      <c r="B262" s="8" t="s">
        <v>277</v>
      </c>
      <c r="C262" s="8" t="s">
        <v>498</v>
      </c>
      <c r="D262" s="47">
        <v>175</v>
      </c>
      <c r="E262"/>
      <c r="F262"/>
      <c r="G262"/>
      <c r="H262"/>
      <c r="I262"/>
    </row>
    <row r="263" spans="1:9" x14ac:dyDescent="0.25">
      <c r="A263" s="9">
        <v>2402</v>
      </c>
      <c r="B263" s="8" t="s">
        <v>277</v>
      </c>
      <c r="C263" s="8" t="s">
        <v>498</v>
      </c>
      <c r="D263" s="47">
        <v>135</v>
      </c>
      <c r="E263"/>
      <c r="F263"/>
      <c r="G263"/>
      <c r="H263"/>
      <c r="I263"/>
    </row>
    <row r="264" spans="1:9" x14ac:dyDescent="0.25">
      <c r="A264" s="9">
        <v>2403</v>
      </c>
      <c r="B264" s="8" t="s">
        <v>277</v>
      </c>
      <c r="C264" s="8" t="s">
        <v>498</v>
      </c>
      <c r="D264" s="47">
        <v>160</v>
      </c>
      <c r="E264"/>
      <c r="F264"/>
      <c r="G264"/>
      <c r="H264"/>
      <c r="I264"/>
    </row>
    <row r="265" spans="1:9" x14ac:dyDescent="0.25">
      <c r="A265" s="9">
        <v>2404</v>
      </c>
      <c r="B265" s="8" t="s">
        <v>277</v>
      </c>
      <c r="C265" s="8" t="s">
        <v>498</v>
      </c>
      <c r="D265" s="47">
        <v>160</v>
      </c>
      <c r="E265"/>
      <c r="F265"/>
      <c r="G265"/>
      <c r="H265"/>
      <c r="I265"/>
    </row>
    <row r="266" spans="1:9" x14ac:dyDescent="0.25">
      <c r="A266" s="9">
        <v>2405</v>
      </c>
      <c r="B266" s="8" t="s">
        <v>277</v>
      </c>
      <c r="C266" s="8" t="s">
        <v>498</v>
      </c>
      <c r="D266" s="47">
        <v>190</v>
      </c>
      <c r="E266"/>
      <c r="F266"/>
      <c r="G266"/>
      <c r="H266"/>
      <c r="I266"/>
    </row>
    <row r="267" spans="1:9" x14ac:dyDescent="0.25">
      <c r="A267" s="9">
        <v>2406</v>
      </c>
      <c r="B267" s="8" t="s">
        <v>277</v>
      </c>
      <c r="C267" s="8" t="s">
        <v>498</v>
      </c>
      <c r="D267" s="47">
        <v>220</v>
      </c>
      <c r="E267"/>
      <c r="F267"/>
      <c r="G267"/>
      <c r="H267"/>
      <c r="I267"/>
    </row>
    <row r="268" spans="1:9" x14ac:dyDescent="0.25">
      <c r="A268" s="9">
        <v>2407</v>
      </c>
      <c r="B268" s="8" t="s">
        <v>277</v>
      </c>
      <c r="C268" s="8" t="s">
        <v>498</v>
      </c>
      <c r="D268" s="47">
        <v>170</v>
      </c>
      <c r="E268"/>
      <c r="F268"/>
      <c r="G268"/>
      <c r="H268"/>
      <c r="I268"/>
    </row>
    <row r="269" spans="1:9" x14ac:dyDescent="0.25">
      <c r="A269" s="9">
        <v>2408</v>
      </c>
      <c r="B269" s="8" t="s">
        <v>277</v>
      </c>
      <c r="C269" s="8" t="s">
        <v>498</v>
      </c>
      <c r="D269" s="47">
        <v>195</v>
      </c>
      <c r="E269"/>
      <c r="F269"/>
      <c r="G269"/>
      <c r="H269"/>
      <c r="I269"/>
    </row>
    <row r="270" spans="1:9" x14ac:dyDescent="0.25">
      <c r="A270" s="9">
        <v>2409</v>
      </c>
      <c r="B270" s="8" t="s">
        <v>277</v>
      </c>
      <c r="C270" s="8" t="s">
        <v>498</v>
      </c>
      <c r="D270" s="47">
        <v>185</v>
      </c>
      <c r="E270"/>
      <c r="F270"/>
      <c r="G270"/>
      <c r="H270"/>
      <c r="I270"/>
    </row>
    <row r="271" spans="1:9" x14ac:dyDescent="0.25">
      <c r="A271" s="9">
        <v>2410</v>
      </c>
      <c r="B271" s="8" t="s">
        <v>277</v>
      </c>
      <c r="C271" s="8" t="s">
        <v>498</v>
      </c>
      <c r="D271" s="47">
        <v>140</v>
      </c>
      <c r="E271"/>
      <c r="F271"/>
      <c r="G271"/>
      <c r="H271"/>
      <c r="I271"/>
    </row>
    <row r="272" spans="1:9" x14ac:dyDescent="0.25">
      <c r="A272" s="9">
        <v>2411</v>
      </c>
      <c r="B272" s="8" t="s">
        <v>277</v>
      </c>
      <c r="C272" s="8" t="s">
        <v>498</v>
      </c>
      <c r="D272" s="47">
        <v>120</v>
      </c>
      <c r="E272"/>
      <c r="F272"/>
      <c r="G272"/>
      <c r="H272"/>
      <c r="I272"/>
    </row>
    <row r="273" spans="1:9" x14ac:dyDescent="0.25">
      <c r="A273" s="9">
        <v>2412</v>
      </c>
      <c r="B273" s="8" t="s">
        <v>277</v>
      </c>
      <c r="C273" s="8" t="s">
        <v>498</v>
      </c>
      <c r="D273" s="47">
        <v>145</v>
      </c>
      <c r="E273"/>
      <c r="F273"/>
      <c r="G273"/>
      <c r="H273"/>
      <c r="I273"/>
    </row>
    <row r="274" spans="1:9" x14ac:dyDescent="0.25">
      <c r="A274" s="9">
        <v>2413</v>
      </c>
      <c r="B274" s="8" t="s">
        <v>277</v>
      </c>
      <c r="C274" s="8" t="s">
        <v>498</v>
      </c>
      <c r="D274" s="47">
        <v>120</v>
      </c>
      <c r="E274"/>
      <c r="F274"/>
      <c r="G274"/>
      <c r="H274"/>
      <c r="I274"/>
    </row>
    <row r="275" spans="1:9" x14ac:dyDescent="0.25">
      <c r="A275" s="9">
        <v>2414</v>
      </c>
      <c r="B275" s="8" t="s">
        <v>277</v>
      </c>
      <c r="C275" s="8" t="s">
        <v>498</v>
      </c>
      <c r="D275" s="47">
        <v>125</v>
      </c>
      <c r="E275"/>
      <c r="F275"/>
      <c r="G275"/>
      <c r="H275"/>
      <c r="I275"/>
    </row>
    <row r="276" spans="1:9" x14ac:dyDescent="0.25">
      <c r="A276" s="9">
        <v>2415</v>
      </c>
      <c r="B276" s="8" t="s">
        <v>284</v>
      </c>
      <c r="C276" s="8" t="s">
        <v>498</v>
      </c>
      <c r="D276" s="47">
        <v>265</v>
      </c>
      <c r="E276"/>
      <c r="F276"/>
      <c r="G276"/>
      <c r="H276"/>
      <c r="I276"/>
    </row>
    <row r="277" spans="1:9" x14ac:dyDescent="0.25">
      <c r="A277" s="9">
        <v>2421</v>
      </c>
      <c r="B277" s="8" t="s">
        <v>284</v>
      </c>
      <c r="C277" s="8" t="s">
        <v>498</v>
      </c>
      <c r="D277" s="47">
        <v>145</v>
      </c>
      <c r="E277"/>
      <c r="F277"/>
      <c r="G277"/>
      <c r="H277"/>
      <c r="I277"/>
    </row>
    <row r="278" spans="1:9" x14ac:dyDescent="0.25">
      <c r="A278" s="9">
        <v>2422</v>
      </c>
      <c r="B278" s="8" t="s">
        <v>284</v>
      </c>
      <c r="C278" s="8" t="s">
        <v>498</v>
      </c>
      <c r="D278" s="47">
        <v>150</v>
      </c>
      <c r="E278"/>
      <c r="F278"/>
      <c r="G278"/>
      <c r="H278"/>
      <c r="I278"/>
    </row>
    <row r="279" spans="1:9" x14ac:dyDescent="0.25">
      <c r="A279" s="9">
        <v>2423</v>
      </c>
      <c r="B279" s="8" t="s">
        <v>284</v>
      </c>
      <c r="C279" s="8" t="s">
        <v>498</v>
      </c>
      <c r="D279" s="47">
        <v>150</v>
      </c>
      <c r="E279"/>
      <c r="F279"/>
      <c r="G279"/>
      <c r="H279"/>
      <c r="I279"/>
    </row>
    <row r="280" spans="1:9" x14ac:dyDescent="0.25">
      <c r="A280" s="9">
        <v>2424</v>
      </c>
      <c r="B280" s="8" t="s">
        <v>284</v>
      </c>
      <c r="C280" s="8" t="s">
        <v>498</v>
      </c>
      <c r="D280" s="47">
        <v>130</v>
      </c>
      <c r="E280"/>
      <c r="F280"/>
      <c r="G280"/>
      <c r="H280"/>
      <c r="I280"/>
    </row>
    <row r="281" spans="1:9" x14ac:dyDescent="0.25">
      <c r="A281" s="9">
        <v>2425</v>
      </c>
      <c r="B281" s="8" t="s">
        <v>284</v>
      </c>
      <c r="C281" s="8" t="s">
        <v>498</v>
      </c>
      <c r="D281" s="47">
        <v>130</v>
      </c>
      <c r="E281"/>
      <c r="F281"/>
      <c r="G281"/>
      <c r="H281"/>
      <c r="I281"/>
    </row>
    <row r="282" spans="1:9" x14ac:dyDescent="0.25">
      <c r="A282" s="9">
        <v>2426</v>
      </c>
      <c r="B282" s="8" t="s">
        <v>284</v>
      </c>
      <c r="C282" s="8" t="s">
        <v>498</v>
      </c>
      <c r="D282" s="47">
        <v>140</v>
      </c>
      <c r="E282"/>
      <c r="F282"/>
      <c r="G282"/>
      <c r="H282"/>
      <c r="I282"/>
    </row>
    <row r="283" spans="1:9" x14ac:dyDescent="0.25">
      <c r="A283" s="9">
        <v>2427</v>
      </c>
      <c r="B283" s="8" t="s">
        <v>284</v>
      </c>
      <c r="C283" s="8" t="s">
        <v>498</v>
      </c>
      <c r="D283" s="47">
        <v>145</v>
      </c>
      <c r="E283"/>
      <c r="F283"/>
      <c r="G283"/>
      <c r="H283"/>
      <c r="I283"/>
    </row>
    <row r="284" spans="1:9" x14ac:dyDescent="0.25">
      <c r="A284" s="9">
        <v>2428</v>
      </c>
      <c r="B284" s="8" t="s">
        <v>284</v>
      </c>
      <c r="C284" s="8" t="s">
        <v>498</v>
      </c>
      <c r="D284" s="47">
        <v>140</v>
      </c>
      <c r="E284"/>
      <c r="F284"/>
      <c r="G284"/>
      <c r="H284"/>
      <c r="I284"/>
    </row>
    <row r="285" spans="1:9" x14ac:dyDescent="0.25">
      <c r="A285" s="9">
        <v>2441</v>
      </c>
      <c r="B285" s="8" t="s">
        <v>277</v>
      </c>
      <c r="C285" s="8" t="s">
        <v>498</v>
      </c>
      <c r="D285" s="47">
        <v>150</v>
      </c>
      <c r="E285"/>
      <c r="F285"/>
      <c r="G285"/>
      <c r="H285"/>
      <c r="I285"/>
    </row>
    <row r="286" spans="1:9" x14ac:dyDescent="0.25">
      <c r="A286" s="9">
        <v>2442</v>
      </c>
      <c r="B286" s="8" t="s">
        <v>277</v>
      </c>
      <c r="C286" s="8" t="s">
        <v>498</v>
      </c>
      <c r="D286" s="47">
        <v>145</v>
      </c>
      <c r="E286"/>
      <c r="F286"/>
      <c r="G286"/>
      <c r="H286"/>
      <c r="I286"/>
    </row>
    <row r="287" spans="1:9" x14ac:dyDescent="0.25">
      <c r="A287" s="9">
        <v>2443</v>
      </c>
      <c r="B287" s="8" t="s">
        <v>277</v>
      </c>
      <c r="C287" s="8" t="s">
        <v>498</v>
      </c>
      <c r="D287" s="47">
        <v>160</v>
      </c>
      <c r="E287"/>
      <c r="F287"/>
      <c r="G287"/>
      <c r="H287"/>
      <c r="I287"/>
    </row>
    <row r="288" spans="1:9" x14ac:dyDescent="0.25">
      <c r="A288" s="9">
        <v>2444</v>
      </c>
      <c r="B288" s="8" t="s">
        <v>277</v>
      </c>
      <c r="C288" s="8" t="s">
        <v>498</v>
      </c>
      <c r="D288" s="47">
        <v>220</v>
      </c>
      <c r="E288"/>
      <c r="F288"/>
      <c r="G288"/>
      <c r="H288"/>
      <c r="I288"/>
    </row>
    <row r="289" spans="1:9" x14ac:dyDescent="0.25">
      <c r="A289" s="9">
        <v>2445</v>
      </c>
      <c r="B289" s="8" t="s">
        <v>277</v>
      </c>
      <c r="C289" s="8" t="s">
        <v>498</v>
      </c>
      <c r="D289" s="47">
        <v>215</v>
      </c>
      <c r="E289"/>
      <c r="F289"/>
      <c r="G289"/>
      <c r="H289"/>
      <c r="I289"/>
    </row>
    <row r="290" spans="1:9" x14ac:dyDescent="0.25">
      <c r="A290" s="9">
        <v>2452</v>
      </c>
      <c r="B290" s="8" t="s">
        <v>277</v>
      </c>
      <c r="C290" s="8" t="s">
        <v>167</v>
      </c>
      <c r="D290" s="47">
        <v>390</v>
      </c>
      <c r="E290"/>
      <c r="F290"/>
      <c r="G290"/>
      <c r="H290"/>
      <c r="I290"/>
    </row>
    <row r="291" spans="1:9" x14ac:dyDescent="0.25">
      <c r="A291" s="9">
        <v>2461</v>
      </c>
      <c r="B291" s="8" t="s">
        <v>277</v>
      </c>
      <c r="C291" s="8" t="s">
        <v>167</v>
      </c>
      <c r="D291" s="47">
        <v>275</v>
      </c>
      <c r="E291"/>
      <c r="F291"/>
      <c r="G291"/>
      <c r="H291"/>
      <c r="I291"/>
    </row>
    <row r="292" spans="1:9" x14ac:dyDescent="0.25">
      <c r="A292" s="9">
        <v>2462</v>
      </c>
      <c r="B292" s="8" t="s">
        <v>277</v>
      </c>
      <c r="C292" s="8" t="s">
        <v>167</v>
      </c>
      <c r="D292" s="47">
        <v>240</v>
      </c>
      <c r="E292"/>
      <c r="F292"/>
      <c r="G292"/>
      <c r="H292"/>
      <c r="I292"/>
    </row>
    <row r="293" spans="1:9" x14ac:dyDescent="0.25">
      <c r="A293" s="9">
        <v>2463</v>
      </c>
      <c r="B293" s="8" t="s">
        <v>277</v>
      </c>
      <c r="C293" s="8" t="s">
        <v>167</v>
      </c>
      <c r="D293" s="47">
        <v>220</v>
      </c>
      <c r="E293"/>
      <c r="F293"/>
      <c r="G293"/>
      <c r="H293"/>
      <c r="I293"/>
    </row>
    <row r="294" spans="1:9" x14ac:dyDescent="0.25">
      <c r="A294" s="9">
        <v>2492</v>
      </c>
      <c r="B294" s="8" t="s">
        <v>277</v>
      </c>
      <c r="C294" s="8" t="s">
        <v>494</v>
      </c>
      <c r="D294" s="47">
        <v>275</v>
      </c>
      <c r="E294"/>
      <c r="F294"/>
      <c r="G294"/>
      <c r="H294"/>
      <c r="I294"/>
    </row>
    <row r="295" spans="1:9" x14ac:dyDescent="0.25">
      <c r="A295" s="9">
        <v>2571</v>
      </c>
      <c r="B295" s="8" t="s">
        <v>277</v>
      </c>
      <c r="C295" s="8" t="s">
        <v>497</v>
      </c>
      <c r="D295" s="47">
        <v>665</v>
      </c>
      <c r="E295"/>
      <c r="F295"/>
      <c r="G295"/>
      <c r="H295"/>
      <c r="I295"/>
    </row>
    <row r="296" spans="1:9" x14ac:dyDescent="0.25">
      <c r="A296" s="9">
        <v>2572</v>
      </c>
      <c r="B296" s="8" t="s">
        <v>277</v>
      </c>
      <c r="C296" s="8" t="s">
        <v>497</v>
      </c>
      <c r="D296" s="47">
        <v>605</v>
      </c>
      <c r="E296"/>
      <c r="F296"/>
      <c r="G296"/>
      <c r="H296"/>
      <c r="I296"/>
    </row>
    <row r="297" spans="1:9" x14ac:dyDescent="0.25">
      <c r="A297" s="9">
        <v>2573</v>
      </c>
      <c r="B297" s="8" t="s">
        <v>277</v>
      </c>
      <c r="C297" s="8" t="s">
        <v>497</v>
      </c>
      <c r="D297" s="47">
        <v>605</v>
      </c>
      <c r="E297"/>
      <c r="F297"/>
      <c r="G297"/>
      <c r="H297"/>
      <c r="I297"/>
    </row>
    <row r="298" spans="1:9" x14ac:dyDescent="0.25">
      <c r="A298" s="9">
        <v>2574</v>
      </c>
      <c r="B298" s="8" t="s">
        <v>277</v>
      </c>
      <c r="C298" s="8" t="s">
        <v>497</v>
      </c>
      <c r="D298" s="47">
        <v>540</v>
      </c>
      <c r="E298"/>
      <c r="F298"/>
      <c r="G298"/>
      <c r="H298"/>
      <c r="I298"/>
    </row>
    <row r="299" spans="1:9" x14ac:dyDescent="0.25">
      <c r="A299" s="9">
        <v>2575</v>
      </c>
      <c r="B299" s="8" t="s">
        <v>277</v>
      </c>
      <c r="C299" s="8" t="s">
        <v>497</v>
      </c>
      <c r="D299" s="47">
        <v>800</v>
      </c>
      <c r="E299"/>
      <c r="F299"/>
      <c r="G299"/>
      <c r="H299"/>
      <c r="I299"/>
    </row>
    <row r="300" spans="1:9" x14ac:dyDescent="0.25">
      <c r="A300" s="9">
        <v>2576</v>
      </c>
      <c r="B300" s="8" t="s">
        <v>277</v>
      </c>
      <c r="C300" s="8" t="s">
        <v>497</v>
      </c>
      <c r="D300" s="47">
        <v>535</v>
      </c>
      <c r="E300"/>
      <c r="F300"/>
      <c r="G300"/>
      <c r="H300"/>
      <c r="I300"/>
    </row>
    <row r="301" spans="1:9" x14ac:dyDescent="0.25">
      <c r="A301" s="9">
        <v>2577</v>
      </c>
      <c r="B301" s="8" t="s">
        <v>277</v>
      </c>
      <c r="C301" s="8" t="s">
        <v>497</v>
      </c>
      <c r="D301" s="47">
        <v>925</v>
      </c>
      <c r="E301"/>
      <c r="F301"/>
      <c r="G301"/>
      <c r="H301"/>
      <c r="I301"/>
    </row>
    <row r="302" spans="1:9" x14ac:dyDescent="0.25">
      <c r="A302" s="9">
        <v>2578</v>
      </c>
      <c r="B302" s="8" t="s">
        <v>277</v>
      </c>
      <c r="C302" s="8" t="s">
        <v>497</v>
      </c>
      <c r="D302" s="47">
        <v>1135</v>
      </c>
      <c r="E302"/>
      <c r="F302"/>
      <c r="G302"/>
      <c r="H302"/>
      <c r="I302"/>
    </row>
    <row r="303" spans="1:9" x14ac:dyDescent="0.25">
      <c r="A303" s="9">
        <v>2579</v>
      </c>
      <c r="B303" s="8" t="s">
        <v>277</v>
      </c>
      <c r="C303" s="8" t="s">
        <v>497</v>
      </c>
      <c r="D303" s="47">
        <v>1135</v>
      </c>
      <c r="E303"/>
      <c r="F303"/>
      <c r="G303"/>
      <c r="H303"/>
      <c r="I303"/>
    </row>
    <row r="304" spans="1:9" x14ac:dyDescent="0.25">
      <c r="A304" s="9">
        <v>2621</v>
      </c>
      <c r="B304" s="8" t="s">
        <v>277</v>
      </c>
      <c r="C304" s="8" t="s">
        <v>497</v>
      </c>
      <c r="D304" s="47">
        <v>810</v>
      </c>
      <c r="E304"/>
      <c r="F304"/>
      <c r="G304"/>
      <c r="H304"/>
      <c r="I304"/>
    </row>
    <row r="305" spans="1:9" x14ac:dyDescent="0.25">
      <c r="A305" s="9">
        <v>2622</v>
      </c>
      <c r="B305" s="8" t="s">
        <v>277</v>
      </c>
      <c r="C305" s="8" t="s">
        <v>497</v>
      </c>
      <c r="D305" s="47">
        <v>1135</v>
      </c>
      <c r="E305"/>
      <c r="F305"/>
      <c r="G305"/>
      <c r="H305"/>
      <c r="I305"/>
    </row>
    <row r="306" spans="1:9" x14ac:dyDescent="0.25">
      <c r="A306" s="9">
        <v>2623</v>
      </c>
      <c r="B306" s="8" t="s">
        <v>277</v>
      </c>
      <c r="C306" s="8" t="s">
        <v>497</v>
      </c>
      <c r="D306" s="47">
        <v>1235</v>
      </c>
      <c r="E306"/>
      <c r="F306"/>
      <c r="G306"/>
      <c r="H306"/>
      <c r="I306"/>
    </row>
    <row r="307" spans="1:9" x14ac:dyDescent="0.25">
      <c r="A307" s="9">
        <v>2624</v>
      </c>
      <c r="B307" s="8" t="s">
        <v>277</v>
      </c>
      <c r="C307" s="8" t="s">
        <v>497</v>
      </c>
      <c r="D307" s="47">
        <v>1235</v>
      </c>
      <c r="E307"/>
      <c r="F307"/>
      <c r="G307"/>
      <c r="H307"/>
      <c r="I307"/>
    </row>
    <row r="308" spans="1:9" x14ac:dyDescent="0.25">
      <c r="A308" s="9">
        <v>2625</v>
      </c>
      <c r="B308" s="8" t="s">
        <v>277</v>
      </c>
      <c r="C308" s="8" t="s">
        <v>497</v>
      </c>
      <c r="D308" s="47">
        <v>1105</v>
      </c>
      <c r="E308"/>
      <c r="F308"/>
      <c r="G308"/>
      <c r="H308"/>
      <c r="I308"/>
    </row>
    <row r="309" spans="1:9" x14ac:dyDescent="0.25">
      <c r="A309" s="9">
        <v>2626</v>
      </c>
      <c r="B309" s="8" t="s">
        <v>277</v>
      </c>
      <c r="C309" s="8" t="s">
        <v>497</v>
      </c>
      <c r="D309" s="47">
        <v>615</v>
      </c>
      <c r="E309"/>
      <c r="F309"/>
      <c r="G309"/>
      <c r="H309"/>
      <c r="I309"/>
    </row>
    <row r="310" spans="1:9" x14ac:dyDescent="0.25">
      <c r="A310" s="9">
        <v>2731</v>
      </c>
      <c r="B310" s="8" t="s">
        <v>277</v>
      </c>
      <c r="C310" s="8" t="s">
        <v>494</v>
      </c>
      <c r="D310" s="47">
        <v>100</v>
      </c>
      <c r="E310"/>
      <c r="F310"/>
      <c r="G310"/>
      <c r="H310"/>
      <c r="I310"/>
    </row>
    <row r="311" spans="1:9" x14ac:dyDescent="0.25">
      <c r="A311" s="9">
        <v>2732</v>
      </c>
      <c r="B311" s="8" t="s">
        <v>277</v>
      </c>
      <c r="C311" s="8" t="s">
        <v>494</v>
      </c>
      <c r="D311" s="47">
        <v>145</v>
      </c>
      <c r="E311"/>
      <c r="F311"/>
      <c r="G311"/>
      <c r="H311"/>
      <c r="I311"/>
    </row>
    <row r="312" spans="1:9" x14ac:dyDescent="0.25">
      <c r="A312" s="9">
        <v>2733</v>
      </c>
      <c r="B312" s="8" t="s">
        <v>277</v>
      </c>
      <c r="C312" s="8" t="s">
        <v>494</v>
      </c>
      <c r="D312" s="47">
        <v>120</v>
      </c>
      <c r="E312"/>
      <c r="F312"/>
      <c r="G312"/>
      <c r="H312"/>
      <c r="I312"/>
    </row>
    <row r="313" spans="1:9" x14ac:dyDescent="0.25">
      <c r="A313" s="9">
        <v>2734</v>
      </c>
      <c r="B313" s="8" t="s">
        <v>277</v>
      </c>
      <c r="C313" s="8" t="s">
        <v>494</v>
      </c>
      <c r="D313" s="47">
        <v>200</v>
      </c>
      <c r="E313"/>
      <c r="F313"/>
      <c r="G313"/>
      <c r="H313"/>
      <c r="I313"/>
    </row>
    <row r="314" spans="1:9" x14ac:dyDescent="0.25">
      <c r="A314" s="9">
        <v>2735</v>
      </c>
      <c r="B314" s="8" t="s">
        <v>277</v>
      </c>
      <c r="C314" s="8" t="s">
        <v>494</v>
      </c>
      <c r="D314" s="47">
        <v>200</v>
      </c>
      <c r="E314"/>
      <c r="F314"/>
      <c r="G314"/>
      <c r="H314"/>
      <c r="I314"/>
    </row>
    <row r="315" spans="1:9" x14ac:dyDescent="0.25">
      <c r="A315" s="9">
        <v>2736</v>
      </c>
      <c r="B315" s="8" t="s">
        <v>277</v>
      </c>
      <c r="C315" s="8" t="s">
        <v>494</v>
      </c>
      <c r="D315" s="47">
        <v>200</v>
      </c>
      <c r="E315"/>
      <c r="F315"/>
      <c r="G315"/>
      <c r="H315"/>
      <c r="I315"/>
    </row>
    <row r="316" spans="1:9" x14ac:dyDescent="0.25">
      <c r="A316" s="9">
        <v>2737</v>
      </c>
      <c r="B316" s="8" t="s">
        <v>277</v>
      </c>
      <c r="C316" s="8" t="s">
        <v>494</v>
      </c>
      <c r="D316" s="47">
        <v>160</v>
      </c>
      <c r="E316"/>
      <c r="F316"/>
      <c r="G316"/>
      <c r="H316"/>
      <c r="I316"/>
    </row>
    <row r="317" spans="1:9" x14ac:dyDescent="0.25">
      <c r="A317" s="9">
        <v>2738</v>
      </c>
      <c r="B317" s="8" t="s">
        <v>277</v>
      </c>
      <c r="C317" s="8" t="s">
        <v>494</v>
      </c>
      <c r="D317" s="47">
        <v>125</v>
      </c>
      <c r="E317"/>
      <c r="F317"/>
      <c r="G317"/>
      <c r="H317"/>
      <c r="I317"/>
    </row>
    <row r="318" spans="1:9" x14ac:dyDescent="0.25">
      <c r="A318" s="9">
        <v>2739</v>
      </c>
      <c r="B318" s="8" t="s">
        <v>277</v>
      </c>
      <c r="C318" s="8" t="s">
        <v>494</v>
      </c>
      <c r="D318" s="47">
        <v>110</v>
      </c>
      <c r="E318"/>
      <c r="F318"/>
      <c r="G318"/>
      <c r="H318"/>
      <c r="I318"/>
    </row>
    <row r="319" spans="1:9" x14ac:dyDescent="0.25">
      <c r="A319" s="9">
        <v>2740</v>
      </c>
      <c r="B319" s="8" t="s">
        <v>277</v>
      </c>
      <c r="C319" s="8" t="s">
        <v>494</v>
      </c>
      <c r="D319" s="47">
        <v>165</v>
      </c>
      <c r="E319"/>
      <c r="F319"/>
      <c r="G319"/>
      <c r="H319"/>
      <c r="I319"/>
    </row>
    <row r="320" spans="1:9" x14ac:dyDescent="0.25">
      <c r="A320" s="9">
        <v>2741</v>
      </c>
      <c r="B320" s="8" t="s">
        <v>277</v>
      </c>
      <c r="C320" s="8" t="s">
        <v>494</v>
      </c>
      <c r="D320" s="47">
        <v>95</v>
      </c>
      <c r="E320"/>
      <c r="F320"/>
      <c r="G320"/>
      <c r="H320"/>
      <c r="I320"/>
    </row>
    <row r="321" spans="1:9" x14ac:dyDescent="0.25">
      <c r="A321" s="9">
        <v>2742</v>
      </c>
      <c r="B321" s="8" t="s">
        <v>277</v>
      </c>
      <c r="C321" s="8" t="s">
        <v>494</v>
      </c>
      <c r="D321" s="47">
        <v>265</v>
      </c>
      <c r="E321"/>
      <c r="F321"/>
      <c r="G321"/>
      <c r="H321"/>
      <c r="I321"/>
    </row>
    <row r="322" spans="1:9" x14ac:dyDescent="0.25">
      <c r="A322" s="9">
        <v>2743</v>
      </c>
      <c r="B322" s="8" t="s">
        <v>277</v>
      </c>
      <c r="C322" s="8" t="s">
        <v>494</v>
      </c>
      <c r="D322" s="47">
        <v>225</v>
      </c>
      <c r="E322"/>
      <c r="F322"/>
      <c r="G322"/>
      <c r="H322"/>
      <c r="I322"/>
    </row>
    <row r="323" spans="1:9" x14ac:dyDescent="0.25">
      <c r="A323" s="9">
        <v>2744</v>
      </c>
      <c r="B323" s="8" t="s">
        <v>277</v>
      </c>
      <c r="C323" s="8" t="s">
        <v>494</v>
      </c>
      <c r="D323" s="47">
        <v>115</v>
      </c>
      <c r="E323"/>
      <c r="F323"/>
      <c r="G323"/>
      <c r="H323"/>
      <c r="I323"/>
    </row>
    <row r="324" spans="1:9" x14ac:dyDescent="0.25">
      <c r="A324" s="9">
        <v>2745</v>
      </c>
      <c r="B324" s="8" t="s">
        <v>277</v>
      </c>
      <c r="C324" s="8" t="s">
        <v>494</v>
      </c>
      <c r="D324" s="47">
        <v>100</v>
      </c>
      <c r="E324"/>
      <c r="F324"/>
      <c r="G324"/>
      <c r="H324"/>
      <c r="I324"/>
    </row>
    <row r="325" spans="1:9" x14ac:dyDescent="0.25">
      <c r="A325" s="9">
        <v>2746</v>
      </c>
      <c r="B325" s="8" t="s">
        <v>277</v>
      </c>
      <c r="C325" s="8" t="s">
        <v>494</v>
      </c>
      <c r="D325" s="47">
        <v>115</v>
      </c>
      <c r="E325"/>
      <c r="F325"/>
      <c r="G325"/>
      <c r="H325"/>
      <c r="I325"/>
    </row>
    <row r="326" spans="1:9" x14ac:dyDescent="0.25">
      <c r="A326" s="9">
        <v>2747</v>
      </c>
      <c r="B326" s="8" t="s">
        <v>277</v>
      </c>
      <c r="C326" s="8" t="s">
        <v>494</v>
      </c>
      <c r="D326" s="47">
        <v>220</v>
      </c>
      <c r="E326"/>
      <c r="F326"/>
      <c r="G326"/>
      <c r="H326"/>
      <c r="I326"/>
    </row>
    <row r="327" spans="1:9" x14ac:dyDescent="0.25">
      <c r="A327" s="9">
        <v>2748</v>
      </c>
      <c r="B327" s="8" t="s">
        <v>277</v>
      </c>
      <c r="C327" s="8" t="s">
        <v>494</v>
      </c>
      <c r="D327" s="47">
        <v>175</v>
      </c>
      <c r="E327"/>
      <c r="F327"/>
      <c r="G327"/>
      <c r="H327"/>
      <c r="I327"/>
    </row>
    <row r="328" spans="1:9" x14ac:dyDescent="0.25">
      <c r="A328" s="9">
        <v>2749</v>
      </c>
      <c r="B328" s="8" t="s">
        <v>277</v>
      </c>
      <c r="C328" s="8" t="s">
        <v>494</v>
      </c>
      <c r="D328" s="47">
        <v>185</v>
      </c>
      <c r="E328"/>
      <c r="F328"/>
      <c r="G328"/>
      <c r="H328"/>
      <c r="I328"/>
    </row>
    <row r="329" spans="1:9" x14ac:dyDescent="0.25">
      <c r="A329" s="9">
        <v>2761</v>
      </c>
      <c r="B329" s="8" t="s">
        <v>284</v>
      </c>
      <c r="C329" s="8" t="s">
        <v>494</v>
      </c>
      <c r="D329" s="47">
        <v>90</v>
      </c>
      <c r="E329"/>
      <c r="F329"/>
      <c r="G329"/>
      <c r="H329"/>
      <c r="I329"/>
    </row>
    <row r="330" spans="1:9" x14ac:dyDescent="0.25">
      <c r="A330" s="9">
        <v>2762</v>
      </c>
      <c r="B330" s="8" t="s">
        <v>284</v>
      </c>
      <c r="C330" s="8" t="s">
        <v>494</v>
      </c>
      <c r="D330" s="47">
        <v>155</v>
      </c>
      <c r="E330"/>
      <c r="F330"/>
      <c r="G330"/>
      <c r="H330"/>
      <c r="I330"/>
    </row>
    <row r="331" spans="1:9" x14ac:dyDescent="0.25">
      <c r="A331" s="9">
        <v>2763</v>
      </c>
      <c r="B331" s="8" t="s">
        <v>284</v>
      </c>
      <c r="C331" s="8" t="s">
        <v>494</v>
      </c>
      <c r="D331" s="47">
        <v>115</v>
      </c>
      <c r="E331"/>
      <c r="F331"/>
      <c r="G331"/>
      <c r="H331"/>
      <c r="I331"/>
    </row>
    <row r="332" spans="1:9" x14ac:dyDescent="0.25">
      <c r="A332" s="9">
        <v>2764</v>
      </c>
      <c r="B332" s="8" t="s">
        <v>284</v>
      </c>
      <c r="C332" s="8" t="s">
        <v>494</v>
      </c>
      <c r="D332" s="47">
        <v>145</v>
      </c>
      <c r="E332"/>
      <c r="F332"/>
      <c r="G332"/>
      <c r="H332"/>
      <c r="I332"/>
    </row>
    <row r="333" spans="1:9" x14ac:dyDescent="0.25">
      <c r="A333" s="9">
        <v>2765</v>
      </c>
      <c r="B333" s="8" t="s">
        <v>284</v>
      </c>
      <c r="C333" s="8" t="s">
        <v>494</v>
      </c>
      <c r="D333" s="47">
        <v>180</v>
      </c>
      <c r="E333"/>
      <c r="F333"/>
      <c r="G333"/>
      <c r="H333"/>
      <c r="I333"/>
    </row>
    <row r="334" spans="1:9" x14ac:dyDescent="0.25">
      <c r="A334" s="9">
        <v>2767</v>
      </c>
      <c r="B334" s="8" t="s">
        <v>284</v>
      </c>
      <c r="C334" s="8" t="s">
        <v>494</v>
      </c>
      <c r="D334" s="47">
        <v>120</v>
      </c>
      <c r="E334"/>
      <c r="F334"/>
      <c r="G334"/>
      <c r="H334"/>
      <c r="I334"/>
    </row>
    <row r="335" spans="1:9" x14ac:dyDescent="0.25">
      <c r="A335" s="9">
        <v>2768</v>
      </c>
      <c r="B335" s="8" t="s">
        <v>284</v>
      </c>
      <c r="C335" s="8" t="s">
        <v>494</v>
      </c>
      <c r="D335" s="47">
        <v>90</v>
      </c>
      <c r="E335"/>
      <c r="F335"/>
      <c r="G335"/>
      <c r="H335"/>
      <c r="I335"/>
    </row>
    <row r="336" spans="1:9" x14ac:dyDescent="0.25">
      <c r="A336" s="9">
        <v>2769</v>
      </c>
      <c r="B336" s="8" t="s">
        <v>284</v>
      </c>
      <c r="C336" s="8" t="s">
        <v>494</v>
      </c>
      <c r="D336" s="47">
        <v>120</v>
      </c>
      <c r="E336"/>
      <c r="F336"/>
      <c r="G336"/>
      <c r="H336"/>
      <c r="I336"/>
    </row>
    <row r="337" spans="1:9" x14ac:dyDescent="0.25">
      <c r="A337" s="9">
        <v>2770</v>
      </c>
      <c r="B337" s="8" t="s">
        <v>284</v>
      </c>
      <c r="C337" s="8" t="s">
        <v>494</v>
      </c>
      <c r="D337" s="47">
        <v>160</v>
      </c>
      <c r="E337"/>
      <c r="F337"/>
      <c r="G337"/>
      <c r="H337"/>
      <c r="I337"/>
    </row>
    <row r="338" spans="1:9" x14ac:dyDescent="0.25">
      <c r="A338" s="9">
        <v>2771</v>
      </c>
      <c r="B338" s="8" t="s">
        <v>284</v>
      </c>
      <c r="C338" s="8" t="s">
        <v>494</v>
      </c>
      <c r="D338" s="47">
        <v>150</v>
      </c>
      <c r="E338"/>
      <c r="F338"/>
      <c r="G338"/>
      <c r="H338"/>
      <c r="I338"/>
    </row>
    <row r="339" spans="1:9" x14ac:dyDescent="0.25">
      <c r="A339" s="9">
        <v>2772</v>
      </c>
      <c r="B339" s="8" t="s">
        <v>284</v>
      </c>
      <c r="C339" s="8" t="s">
        <v>494</v>
      </c>
      <c r="D339" s="47">
        <v>150</v>
      </c>
      <c r="E339"/>
      <c r="F339"/>
      <c r="G339"/>
      <c r="H339"/>
      <c r="I339"/>
    </row>
    <row r="340" spans="1:9" x14ac:dyDescent="0.25">
      <c r="A340" s="9">
        <v>2773</v>
      </c>
      <c r="B340" s="8" t="s">
        <v>284</v>
      </c>
      <c r="C340" s="8" t="s">
        <v>494</v>
      </c>
      <c r="D340" s="47">
        <v>150</v>
      </c>
      <c r="E340"/>
      <c r="F340"/>
      <c r="G340"/>
      <c r="H340"/>
      <c r="I340"/>
    </row>
    <row r="341" spans="1:9" x14ac:dyDescent="0.25">
      <c r="A341" s="9">
        <v>2774</v>
      </c>
      <c r="B341" s="8" t="s">
        <v>284</v>
      </c>
      <c r="C341" s="8" t="s">
        <v>494</v>
      </c>
      <c r="D341" s="47">
        <v>110</v>
      </c>
      <c r="E341"/>
      <c r="F341"/>
      <c r="G341"/>
      <c r="H341"/>
      <c r="I341"/>
    </row>
    <row r="342" spans="1:9" x14ac:dyDescent="0.25">
      <c r="A342" s="9">
        <v>2775</v>
      </c>
      <c r="B342" s="8" t="s">
        <v>277</v>
      </c>
      <c r="C342" s="8" t="s">
        <v>494</v>
      </c>
      <c r="D342" s="47">
        <v>130</v>
      </c>
      <c r="E342"/>
      <c r="F342"/>
      <c r="G342"/>
      <c r="H342"/>
      <c r="I342"/>
    </row>
    <row r="343" spans="1:9" x14ac:dyDescent="0.25">
      <c r="A343" s="9">
        <v>2801</v>
      </c>
      <c r="B343" s="8" t="s">
        <v>277</v>
      </c>
      <c r="C343" s="8" t="s">
        <v>494</v>
      </c>
      <c r="D343" s="47">
        <v>135</v>
      </c>
      <c r="E343"/>
      <c r="F343"/>
      <c r="G343"/>
      <c r="H343"/>
      <c r="I343"/>
    </row>
    <row r="344" spans="1:9" x14ac:dyDescent="0.25">
      <c r="A344" s="9">
        <v>2802</v>
      </c>
      <c r="B344" s="8" t="s">
        <v>277</v>
      </c>
      <c r="C344" s="8" t="s">
        <v>494</v>
      </c>
      <c r="D344" s="47">
        <v>135</v>
      </c>
      <c r="E344"/>
      <c r="F344"/>
      <c r="G344"/>
      <c r="H344"/>
      <c r="I344"/>
    </row>
    <row r="345" spans="1:9" x14ac:dyDescent="0.25">
      <c r="A345" s="9">
        <v>2803</v>
      </c>
      <c r="B345" s="8" t="s">
        <v>277</v>
      </c>
      <c r="C345" s="8" t="s">
        <v>494</v>
      </c>
      <c r="D345" s="47">
        <v>150</v>
      </c>
      <c r="E345"/>
      <c r="F345"/>
      <c r="G345"/>
      <c r="H345"/>
      <c r="I345"/>
    </row>
    <row r="346" spans="1:9" x14ac:dyDescent="0.25">
      <c r="A346" s="9">
        <v>2804</v>
      </c>
      <c r="B346" s="8" t="s">
        <v>277</v>
      </c>
      <c r="C346" s="8" t="s">
        <v>494</v>
      </c>
      <c r="D346" s="47">
        <v>150</v>
      </c>
      <c r="E346"/>
      <c r="F346"/>
      <c r="G346"/>
      <c r="H346"/>
      <c r="I346"/>
    </row>
    <row r="347" spans="1:9" x14ac:dyDescent="0.25">
      <c r="A347" s="9">
        <v>2805</v>
      </c>
      <c r="B347" s="8" t="s">
        <v>277</v>
      </c>
      <c r="C347" s="8" t="s">
        <v>494</v>
      </c>
      <c r="D347" s="47">
        <v>150</v>
      </c>
      <c r="E347"/>
      <c r="F347"/>
      <c r="G347"/>
      <c r="H347"/>
      <c r="I347"/>
    </row>
    <row r="348" spans="1:9" x14ac:dyDescent="0.25">
      <c r="A348" s="9">
        <v>2806</v>
      </c>
      <c r="B348" s="8" t="s">
        <v>277</v>
      </c>
      <c r="C348" s="8" t="s">
        <v>494</v>
      </c>
      <c r="D348" s="47">
        <v>170</v>
      </c>
      <c r="E348"/>
      <c r="F348"/>
      <c r="G348"/>
      <c r="H348"/>
      <c r="I348"/>
    </row>
    <row r="349" spans="1:9" x14ac:dyDescent="0.25">
      <c r="A349" s="9">
        <v>2807</v>
      </c>
      <c r="B349" s="8" t="s">
        <v>277</v>
      </c>
      <c r="C349" s="8" t="s">
        <v>494</v>
      </c>
      <c r="D349" s="47">
        <v>150</v>
      </c>
      <c r="E349"/>
      <c r="F349"/>
      <c r="G349"/>
      <c r="H349"/>
      <c r="I349"/>
    </row>
    <row r="350" spans="1:9" x14ac:dyDescent="0.25">
      <c r="A350" s="9">
        <v>2808</v>
      </c>
      <c r="B350" s="8" t="s">
        <v>277</v>
      </c>
      <c r="C350" s="8" t="s">
        <v>494</v>
      </c>
      <c r="D350" s="47">
        <v>150</v>
      </c>
      <c r="E350"/>
      <c r="F350"/>
      <c r="G350"/>
      <c r="H350"/>
      <c r="I350"/>
    </row>
    <row r="351" spans="1:9" x14ac:dyDescent="0.25">
      <c r="A351" s="9">
        <v>2809</v>
      </c>
      <c r="B351" s="8" t="s">
        <v>277</v>
      </c>
      <c r="C351" s="8" t="s">
        <v>494</v>
      </c>
      <c r="D351" s="47">
        <v>140</v>
      </c>
      <c r="E351"/>
      <c r="F351"/>
      <c r="G351"/>
      <c r="H351"/>
      <c r="I351"/>
    </row>
    <row r="352" spans="1:9" x14ac:dyDescent="0.25">
      <c r="A352" s="9">
        <v>2810</v>
      </c>
      <c r="B352" s="8" t="s">
        <v>277</v>
      </c>
      <c r="C352" s="8" t="s">
        <v>494</v>
      </c>
      <c r="D352" s="47">
        <v>165</v>
      </c>
      <c r="E352"/>
      <c r="F352"/>
      <c r="G352"/>
      <c r="H352"/>
      <c r="I352"/>
    </row>
    <row r="353" spans="1:9" x14ac:dyDescent="0.25">
      <c r="A353" s="9">
        <v>2811</v>
      </c>
      <c r="B353" s="8" t="s">
        <v>277</v>
      </c>
      <c r="C353" s="8" t="s">
        <v>494</v>
      </c>
      <c r="D353" s="47">
        <v>170</v>
      </c>
      <c r="E353"/>
      <c r="F353"/>
      <c r="G353"/>
      <c r="H353"/>
      <c r="I353"/>
    </row>
    <row r="354" spans="1:9" x14ac:dyDescent="0.25">
      <c r="A354" s="9">
        <v>2812</v>
      </c>
      <c r="B354" s="8" t="s">
        <v>277</v>
      </c>
      <c r="C354" s="8" t="s">
        <v>494</v>
      </c>
      <c r="D354" s="47">
        <v>170</v>
      </c>
      <c r="E354"/>
      <c r="F354"/>
      <c r="G354"/>
      <c r="H354"/>
      <c r="I354"/>
    </row>
    <row r="355" spans="1:9" x14ac:dyDescent="0.25">
      <c r="A355" s="9">
        <v>2813</v>
      </c>
      <c r="B355" s="8" t="s">
        <v>277</v>
      </c>
      <c r="C355" s="8" t="s">
        <v>494</v>
      </c>
      <c r="D355" s="47">
        <v>170</v>
      </c>
      <c r="E355"/>
      <c r="F355"/>
      <c r="G355"/>
      <c r="H355"/>
      <c r="I355"/>
    </row>
    <row r="356" spans="1:9" x14ac:dyDescent="0.25">
      <c r="A356" s="9">
        <v>4501</v>
      </c>
      <c r="B356" s="8" t="s">
        <v>277</v>
      </c>
      <c r="C356" s="8" t="s">
        <v>494</v>
      </c>
      <c r="D356" s="47">
        <v>245</v>
      </c>
      <c r="E356"/>
      <c r="F356"/>
      <c r="G356"/>
      <c r="H356"/>
      <c r="I356"/>
    </row>
    <row r="357" spans="1:9" x14ac:dyDescent="0.25">
      <c r="A357" s="9">
        <v>4504</v>
      </c>
      <c r="B357" s="8" t="s">
        <v>277</v>
      </c>
      <c r="C357" s="8" t="s">
        <v>494</v>
      </c>
      <c r="D357" s="47">
        <v>100</v>
      </c>
      <c r="E357"/>
      <c r="F357"/>
      <c r="G357"/>
      <c r="H357"/>
      <c r="I357"/>
    </row>
    <row r="358" spans="1:9" x14ac:dyDescent="0.25">
      <c r="A358" s="9">
        <v>4505</v>
      </c>
      <c r="B358" s="8" t="s">
        <v>277</v>
      </c>
      <c r="C358" s="8" t="s">
        <v>494</v>
      </c>
      <c r="D358" s="47">
        <v>140</v>
      </c>
      <c r="E358"/>
      <c r="F358"/>
      <c r="G358"/>
      <c r="H358"/>
      <c r="I358"/>
    </row>
    <row r="359" spans="1:9" x14ac:dyDescent="0.25">
      <c r="A359" s="9">
        <v>4506</v>
      </c>
      <c r="B359" s="8" t="s">
        <v>277</v>
      </c>
      <c r="C359" s="8" t="s">
        <v>494</v>
      </c>
      <c r="D359" s="47">
        <v>120</v>
      </c>
      <c r="E359"/>
      <c r="F359"/>
      <c r="G359"/>
      <c r="H359"/>
      <c r="I359"/>
    </row>
    <row r="360" spans="1:9" x14ac:dyDescent="0.25">
      <c r="A360" s="9">
        <v>4507</v>
      </c>
      <c r="B360" s="8" t="s">
        <v>277</v>
      </c>
      <c r="C360" s="8" t="s">
        <v>494</v>
      </c>
      <c r="D360" s="47">
        <v>110</v>
      </c>
      <c r="E360"/>
      <c r="F360"/>
      <c r="G360"/>
      <c r="H360"/>
      <c r="I360"/>
    </row>
    <row r="361" spans="1:9" x14ac:dyDescent="0.25">
      <c r="A361" s="9">
        <v>4508</v>
      </c>
      <c r="B361" s="8" t="s">
        <v>277</v>
      </c>
      <c r="C361" s="8" t="s">
        <v>494</v>
      </c>
      <c r="D361" s="47">
        <v>90</v>
      </c>
      <c r="E361"/>
      <c r="F361"/>
      <c r="G361"/>
      <c r="H361"/>
      <c r="I361"/>
    </row>
    <row r="362" spans="1:9" x14ac:dyDescent="0.25">
      <c r="A362" s="9">
        <v>4510</v>
      </c>
      <c r="B362" s="8" t="s">
        <v>277</v>
      </c>
      <c r="C362" s="8" t="s">
        <v>494</v>
      </c>
      <c r="D362" s="47">
        <v>70</v>
      </c>
      <c r="E362"/>
      <c r="F362"/>
      <c r="G362"/>
      <c r="H362"/>
      <c r="I362"/>
    </row>
    <row r="363" spans="1:9" x14ac:dyDescent="0.25">
      <c r="A363" s="9">
        <v>4711</v>
      </c>
      <c r="B363" s="8" t="s">
        <v>277</v>
      </c>
      <c r="C363" s="8" t="s">
        <v>494</v>
      </c>
      <c r="D363" s="47">
        <v>45</v>
      </c>
      <c r="E363"/>
      <c r="F363"/>
      <c r="G363"/>
      <c r="H363"/>
      <c r="I363"/>
    </row>
    <row r="364" spans="1:9" x14ac:dyDescent="0.25">
      <c r="A364" s="9">
        <v>4712</v>
      </c>
      <c r="B364" s="8" t="s">
        <v>277</v>
      </c>
      <c r="C364" s="8" t="s">
        <v>494</v>
      </c>
      <c r="D364" s="47">
        <v>55</v>
      </c>
      <c r="E364"/>
      <c r="F364"/>
      <c r="G364"/>
      <c r="H364"/>
      <c r="I364"/>
    </row>
    <row r="365" spans="1:9" x14ac:dyDescent="0.25">
      <c r="A365" s="9">
        <v>6011</v>
      </c>
      <c r="B365" s="8" t="s">
        <v>277</v>
      </c>
      <c r="C365" s="8" t="s">
        <v>494</v>
      </c>
      <c r="D365" s="47">
        <v>520</v>
      </c>
      <c r="E365"/>
      <c r="F365"/>
      <c r="G365"/>
      <c r="H365"/>
      <c r="I365"/>
    </row>
    <row r="366" spans="1:9" x14ac:dyDescent="0.25">
      <c r="A366" s="9">
        <v>6021</v>
      </c>
      <c r="B366" s="8" t="s">
        <v>277</v>
      </c>
      <c r="C366" s="8" t="s">
        <v>494</v>
      </c>
      <c r="D366" s="47">
        <v>490</v>
      </c>
      <c r="E366"/>
      <c r="F366"/>
      <c r="G366"/>
      <c r="H366"/>
      <c r="I366"/>
    </row>
    <row r="367" spans="1:9" x14ac:dyDescent="0.25">
      <c r="A367" s="9">
        <v>6051</v>
      </c>
      <c r="B367" s="8" t="s">
        <v>277</v>
      </c>
      <c r="C367" s="8" t="s">
        <v>494</v>
      </c>
      <c r="D367" s="47">
        <v>500</v>
      </c>
      <c r="E367"/>
      <c r="F367"/>
      <c r="G367"/>
      <c r="H367"/>
      <c r="I367"/>
    </row>
    <row r="368" spans="1:9" x14ac:dyDescent="0.25">
      <c r="A368" s="9">
        <v>6101</v>
      </c>
      <c r="B368" s="8" t="s">
        <v>277</v>
      </c>
      <c r="C368" s="8" t="s">
        <v>494</v>
      </c>
      <c r="D368" s="47">
        <v>565</v>
      </c>
      <c r="E368"/>
      <c r="F368"/>
      <c r="G368"/>
      <c r="H368"/>
      <c r="I368"/>
    </row>
    <row r="369" spans="1:9" x14ac:dyDescent="0.25">
      <c r="A369" s="9">
        <v>6102</v>
      </c>
      <c r="B369" s="8" t="s">
        <v>277</v>
      </c>
      <c r="C369" s="8" t="s">
        <v>494</v>
      </c>
      <c r="D369" s="47">
        <v>540</v>
      </c>
      <c r="E369"/>
      <c r="F369"/>
      <c r="G369"/>
      <c r="H369"/>
      <c r="I369"/>
    </row>
    <row r="370" spans="1:9" x14ac:dyDescent="0.25">
      <c r="A370" s="9">
        <v>6103</v>
      </c>
      <c r="B370" s="8" t="s">
        <v>277</v>
      </c>
      <c r="C370" s="8" t="s">
        <v>494</v>
      </c>
      <c r="D370" s="47">
        <v>465</v>
      </c>
      <c r="E370"/>
      <c r="F370"/>
      <c r="G370"/>
      <c r="H370"/>
      <c r="I370"/>
    </row>
    <row r="371" spans="1:9" x14ac:dyDescent="0.25">
      <c r="A371" s="9">
        <v>6104</v>
      </c>
      <c r="B371" s="8" t="s">
        <v>277</v>
      </c>
      <c r="C371" s="8" t="s">
        <v>494</v>
      </c>
      <c r="D371" s="47">
        <v>465</v>
      </c>
      <c r="E371"/>
      <c r="F371"/>
      <c r="G371"/>
      <c r="H371"/>
      <c r="I371"/>
    </row>
    <row r="372" spans="1:9" x14ac:dyDescent="0.25">
      <c r="A372" s="9">
        <v>6105</v>
      </c>
      <c r="B372" s="8" t="s">
        <v>277</v>
      </c>
      <c r="C372" s="8" t="s">
        <v>494</v>
      </c>
      <c r="D372" s="47">
        <v>460</v>
      </c>
      <c r="E372"/>
      <c r="F372"/>
      <c r="G372"/>
      <c r="H372"/>
      <c r="I372"/>
    </row>
    <row r="373" spans="1:9" x14ac:dyDescent="0.25">
      <c r="A373" s="9">
        <v>6106</v>
      </c>
      <c r="B373" s="8" t="s">
        <v>277</v>
      </c>
      <c r="C373" s="8" t="s">
        <v>494</v>
      </c>
      <c r="D373" s="47">
        <v>450</v>
      </c>
      <c r="E373"/>
      <c r="F373"/>
      <c r="G373"/>
      <c r="H373"/>
      <c r="I373"/>
    </row>
    <row r="374" spans="1:9" x14ac:dyDescent="0.25">
      <c r="A374" s="9">
        <v>6107</v>
      </c>
      <c r="B374" s="8" t="s">
        <v>277</v>
      </c>
      <c r="C374" s="8" t="s">
        <v>494</v>
      </c>
      <c r="D374" s="47">
        <v>450</v>
      </c>
      <c r="E374"/>
      <c r="F374"/>
      <c r="G374"/>
      <c r="H374"/>
      <c r="I374"/>
    </row>
    <row r="375" spans="1:9" x14ac:dyDescent="0.25">
      <c r="A375" s="9">
        <v>6108</v>
      </c>
      <c r="B375" s="8" t="s">
        <v>277</v>
      </c>
      <c r="C375" s="8" t="s">
        <v>494</v>
      </c>
      <c r="D375" s="47">
        <v>450</v>
      </c>
      <c r="E375"/>
      <c r="F375"/>
      <c r="G375"/>
      <c r="H375"/>
      <c r="I375"/>
    </row>
    <row r="376" spans="1:9" x14ac:dyDescent="0.25">
      <c r="A376" s="9">
        <v>6109</v>
      </c>
      <c r="B376" s="8" t="s">
        <v>277</v>
      </c>
      <c r="C376" s="8" t="s">
        <v>494</v>
      </c>
      <c r="D376" s="47">
        <v>450</v>
      </c>
      <c r="E376"/>
      <c r="F376"/>
      <c r="G376"/>
      <c r="H376"/>
      <c r="I376"/>
    </row>
    <row r="377" spans="1:9" x14ac:dyDescent="0.25">
      <c r="A377" s="9">
        <v>6110</v>
      </c>
      <c r="B377" s="8" t="s">
        <v>277</v>
      </c>
      <c r="C377" s="8" t="s">
        <v>494</v>
      </c>
      <c r="D377" s="47">
        <v>445</v>
      </c>
      <c r="E377"/>
      <c r="F377"/>
      <c r="G377"/>
      <c r="H377"/>
      <c r="I377"/>
    </row>
    <row r="378" spans="1:9" x14ac:dyDescent="0.25">
      <c r="A378" s="9">
        <v>6111</v>
      </c>
      <c r="B378" s="8" t="s">
        <v>277</v>
      </c>
      <c r="C378" s="8" t="s">
        <v>494</v>
      </c>
      <c r="D378" s="47">
        <v>445</v>
      </c>
      <c r="E378"/>
      <c r="F378"/>
      <c r="G378"/>
      <c r="H378"/>
      <c r="I378"/>
    </row>
    <row r="379" spans="1:9" x14ac:dyDescent="0.25">
      <c r="A379" s="9">
        <v>6112</v>
      </c>
      <c r="B379" s="8" t="s">
        <v>277</v>
      </c>
      <c r="C379" s="8" t="s">
        <v>494</v>
      </c>
      <c r="D379" s="47">
        <v>435</v>
      </c>
      <c r="E379"/>
      <c r="F379"/>
      <c r="G379"/>
      <c r="H379"/>
      <c r="I379"/>
    </row>
    <row r="380" spans="1:9" x14ac:dyDescent="0.25">
      <c r="A380" s="9">
        <v>6113</v>
      </c>
      <c r="B380" s="8" t="s">
        <v>277</v>
      </c>
      <c r="C380" s="8" t="s">
        <v>494</v>
      </c>
      <c r="D380" s="47">
        <v>690</v>
      </c>
      <c r="E380"/>
      <c r="F380"/>
      <c r="G380"/>
      <c r="H380"/>
      <c r="I380"/>
    </row>
    <row r="381" spans="1:9" x14ac:dyDescent="0.25">
      <c r="A381" s="9">
        <v>6114</v>
      </c>
      <c r="B381" s="8" t="s">
        <v>277</v>
      </c>
      <c r="C381" s="8" t="s">
        <v>494</v>
      </c>
      <c r="D381" s="47">
        <v>425</v>
      </c>
      <c r="E381"/>
      <c r="F381"/>
      <c r="G381"/>
      <c r="H381"/>
      <c r="I381"/>
    </row>
    <row r="382" spans="1:9" x14ac:dyDescent="0.25">
      <c r="A382" s="9">
        <v>6115</v>
      </c>
      <c r="B382" s="8" t="s">
        <v>277</v>
      </c>
      <c r="C382" s="8" t="s">
        <v>494</v>
      </c>
      <c r="D382" s="47">
        <v>425</v>
      </c>
      <c r="E382"/>
      <c r="F382"/>
      <c r="G382"/>
      <c r="H382"/>
      <c r="I382"/>
    </row>
    <row r="383" spans="1:9" x14ac:dyDescent="0.25">
      <c r="A383" s="9">
        <v>6116</v>
      </c>
      <c r="B383" s="8" t="s">
        <v>277</v>
      </c>
      <c r="C383" s="8" t="s">
        <v>494</v>
      </c>
      <c r="D383" s="47">
        <v>435</v>
      </c>
      <c r="E383"/>
      <c r="F383"/>
      <c r="G383"/>
      <c r="H383"/>
      <c r="I383"/>
    </row>
    <row r="384" spans="1:9" x14ac:dyDescent="0.25">
      <c r="A384" s="9">
        <v>6117</v>
      </c>
      <c r="B384" s="8" t="s">
        <v>277</v>
      </c>
      <c r="C384" s="8" t="s">
        <v>494</v>
      </c>
      <c r="D384" s="47">
        <v>450</v>
      </c>
      <c r="E384"/>
      <c r="F384"/>
      <c r="G384"/>
      <c r="H384"/>
      <c r="I384"/>
    </row>
    <row r="385" spans="1:9" x14ac:dyDescent="0.25">
      <c r="A385" s="9">
        <v>6118</v>
      </c>
      <c r="B385" s="8" t="s">
        <v>277</v>
      </c>
      <c r="C385" s="8" t="s">
        <v>494</v>
      </c>
      <c r="D385" s="47">
        <v>415</v>
      </c>
      <c r="E385"/>
      <c r="F385"/>
      <c r="G385"/>
      <c r="H385"/>
      <c r="I385"/>
    </row>
    <row r="386" spans="1:9" x14ac:dyDescent="0.25">
      <c r="A386" s="9">
        <v>6119</v>
      </c>
      <c r="B386" s="8" t="s">
        <v>277</v>
      </c>
      <c r="C386" s="8" t="s">
        <v>494</v>
      </c>
      <c r="D386" s="47">
        <v>440</v>
      </c>
      <c r="E386"/>
      <c r="F386"/>
      <c r="G386"/>
      <c r="H386"/>
      <c r="I386"/>
    </row>
    <row r="387" spans="1:9" x14ac:dyDescent="0.25">
      <c r="A387" s="9">
        <v>6120</v>
      </c>
      <c r="B387" s="8" t="s">
        <v>277</v>
      </c>
      <c r="C387" s="8" t="s">
        <v>494</v>
      </c>
      <c r="D387" s="47">
        <v>435</v>
      </c>
      <c r="E387"/>
      <c r="F387"/>
      <c r="G387"/>
      <c r="H387"/>
      <c r="I387"/>
    </row>
    <row r="388" spans="1:9" x14ac:dyDescent="0.25">
      <c r="A388" s="9">
        <v>6121</v>
      </c>
      <c r="B388" s="8" t="s">
        <v>277</v>
      </c>
      <c r="C388" s="8" t="s">
        <v>494</v>
      </c>
      <c r="D388" s="47">
        <v>460</v>
      </c>
      <c r="E388"/>
      <c r="F388"/>
      <c r="G388"/>
      <c r="H388"/>
      <c r="I388"/>
    </row>
    <row r="389" spans="1:9" x14ac:dyDescent="0.25">
      <c r="A389" s="9">
        <v>6122</v>
      </c>
      <c r="B389" s="8" t="s">
        <v>277</v>
      </c>
      <c r="C389" s="8" t="s">
        <v>494</v>
      </c>
      <c r="D389" s="47">
        <v>440</v>
      </c>
      <c r="E389"/>
      <c r="F389"/>
      <c r="G389"/>
      <c r="H389"/>
      <c r="I389"/>
    </row>
    <row r="390" spans="1:9" x14ac:dyDescent="0.25">
      <c r="A390" s="9">
        <v>6123</v>
      </c>
      <c r="B390" s="8" t="s">
        <v>277</v>
      </c>
      <c r="C390" s="8" t="s">
        <v>494</v>
      </c>
      <c r="D390" s="47">
        <v>440</v>
      </c>
      <c r="E390"/>
      <c r="F390"/>
      <c r="G390"/>
      <c r="H390"/>
      <c r="I390"/>
    </row>
    <row r="391" spans="1:9" x14ac:dyDescent="0.25">
      <c r="A391" s="9">
        <v>8011</v>
      </c>
      <c r="B391" s="8" t="s">
        <v>277</v>
      </c>
      <c r="C391" s="8" t="s">
        <v>497</v>
      </c>
      <c r="D391" s="47">
        <v>2200</v>
      </c>
      <c r="E391"/>
      <c r="F391"/>
      <c r="G391"/>
      <c r="H391"/>
      <c r="I391"/>
    </row>
    <row r="392" spans="1:9" x14ac:dyDescent="0.25">
      <c r="A392" s="9">
        <v>8031</v>
      </c>
      <c r="B392" s="8" t="s">
        <v>277</v>
      </c>
      <c r="C392" s="8" t="s">
        <v>497</v>
      </c>
      <c r="D392" s="47">
        <v>5820</v>
      </c>
      <c r="E392"/>
      <c r="F392"/>
      <c r="G392"/>
      <c r="H392"/>
      <c r="I392"/>
    </row>
    <row r="393" spans="1:9" x14ac:dyDescent="0.25">
      <c r="A393" s="9">
        <v>8032</v>
      </c>
      <c r="B393" s="8" t="s">
        <v>277</v>
      </c>
      <c r="C393" s="8" t="s">
        <v>497</v>
      </c>
      <c r="D393" s="47">
        <v>2570</v>
      </c>
      <c r="E393"/>
      <c r="F393"/>
      <c r="G393"/>
      <c r="H393"/>
      <c r="I393"/>
    </row>
    <row r="394" spans="1:9" x14ac:dyDescent="0.25">
      <c r="A394" s="9">
        <v>8033</v>
      </c>
      <c r="B394" s="8" t="s">
        <v>277</v>
      </c>
      <c r="C394" s="8" t="s">
        <v>497</v>
      </c>
      <c r="D394" s="47">
        <v>6405</v>
      </c>
      <c r="E394"/>
      <c r="F394"/>
      <c r="G394"/>
      <c r="H394"/>
      <c r="I394"/>
    </row>
    <row r="395" spans="1:9" x14ac:dyDescent="0.25">
      <c r="A395" s="9">
        <v>8034</v>
      </c>
      <c r="B395" s="8" t="s">
        <v>277</v>
      </c>
      <c r="C395" s="8" t="s">
        <v>497</v>
      </c>
      <c r="D395" s="47">
        <v>1820</v>
      </c>
      <c r="E395"/>
      <c r="F395"/>
      <c r="G395"/>
      <c r="H395"/>
      <c r="I395"/>
    </row>
    <row r="396" spans="1:9" x14ac:dyDescent="0.25">
      <c r="A396" s="9">
        <v>8035</v>
      </c>
      <c r="B396" s="8" t="s">
        <v>277</v>
      </c>
      <c r="C396" s="8" t="s">
        <v>497</v>
      </c>
      <c r="D396" s="47">
        <v>3835</v>
      </c>
      <c r="E396"/>
      <c r="F396"/>
      <c r="G396"/>
      <c r="H396"/>
      <c r="I396"/>
    </row>
    <row r="397" spans="1:9" x14ac:dyDescent="0.25">
      <c r="A397" s="9">
        <v>8036</v>
      </c>
      <c r="B397" s="8" t="s">
        <v>277</v>
      </c>
      <c r="C397" s="8" t="s">
        <v>497</v>
      </c>
      <c r="D397" s="47">
        <v>3090</v>
      </c>
      <c r="E397"/>
      <c r="F397"/>
      <c r="G397"/>
      <c r="H397"/>
      <c r="I397"/>
    </row>
    <row r="398" spans="1:9" x14ac:dyDescent="0.25">
      <c r="A398" s="9">
        <v>8037</v>
      </c>
      <c r="B398" s="8" t="s">
        <v>277</v>
      </c>
      <c r="C398" s="8" t="s">
        <v>497</v>
      </c>
      <c r="D398" s="47">
        <v>1790</v>
      </c>
      <c r="E398"/>
      <c r="F398"/>
      <c r="G398"/>
      <c r="H398"/>
      <c r="I398"/>
    </row>
    <row r="399" spans="1:9" x14ac:dyDescent="0.25">
      <c r="A399" s="9">
        <v>8061</v>
      </c>
      <c r="B399" s="8" t="s">
        <v>277</v>
      </c>
      <c r="C399" s="8" t="s">
        <v>497</v>
      </c>
      <c r="D399" s="47">
        <v>2570</v>
      </c>
      <c r="E399"/>
      <c r="F399"/>
      <c r="G399"/>
      <c r="H399"/>
      <c r="I399"/>
    </row>
    <row r="400" spans="1:9" x14ac:dyDescent="0.25">
      <c r="A400" s="9">
        <v>8062</v>
      </c>
      <c r="B400" s="8" t="s">
        <v>277</v>
      </c>
      <c r="C400" s="8" t="s">
        <v>497</v>
      </c>
      <c r="D400" s="47">
        <v>1755</v>
      </c>
      <c r="E400"/>
      <c r="F400"/>
      <c r="G400"/>
      <c r="H400"/>
      <c r="I400"/>
    </row>
    <row r="401" spans="1:9" x14ac:dyDescent="0.25">
      <c r="A401" s="9">
        <v>8063</v>
      </c>
      <c r="B401" s="8" t="s">
        <v>277</v>
      </c>
      <c r="C401" s="8" t="s">
        <v>497</v>
      </c>
      <c r="D401" s="47">
        <v>2535</v>
      </c>
      <c r="E401"/>
      <c r="F401"/>
      <c r="G401"/>
      <c r="H401"/>
      <c r="I401"/>
    </row>
    <row r="402" spans="1:9" x14ac:dyDescent="0.25">
      <c r="A402" s="9">
        <v>8064</v>
      </c>
      <c r="B402" s="8" t="s">
        <v>277</v>
      </c>
      <c r="C402" s="8" t="s">
        <v>497</v>
      </c>
      <c r="D402" s="47">
        <v>2570</v>
      </c>
      <c r="E402"/>
      <c r="F402"/>
      <c r="G402"/>
      <c r="H402"/>
      <c r="I402"/>
    </row>
    <row r="403" spans="1:9" x14ac:dyDescent="0.25">
      <c r="A403" s="9">
        <v>8065</v>
      </c>
      <c r="B403" s="8" t="s">
        <v>277</v>
      </c>
      <c r="C403" s="8" t="s">
        <v>497</v>
      </c>
      <c r="D403" s="47">
        <v>1430</v>
      </c>
      <c r="E403"/>
      <c r="F403"/>
      <c r="G403"/>
      <c r="H403"/>
      <c r="I403"/>
    </row>
    <row r="404" spans="1:9" x14ac:dyDescent="0.25">
      <c r="A404" s="9">
        <v>8066</v>
      </c>
      <c r="B404" s="8" t="s">
        <v>277</v>
      </c>
      <c r="C404" s="8" t="s">
        <v>497</v>
      </c>
      <c r="D404" s="47">
        <v>1755</v>
      </c>
      <c r="E404"/>
      <c r="F404"/>
      <c r="G404"/>
      <c r="H404"/>
      <c r="I404"/>
    </row>
    <row r="405" spans="1:9" x14ac:dyDescent="0.25">
      <c r="A405" s="9">
        <v>8067</v>
      </c>
      <c r="B405" s="8" t="s">
        <v>277</v>
      </c>
      <c r="C405" s="8" t="s">
        <v>497</v>
      </c>
      <c r="D405" s="47">
        <v>1885</v>
      </c>
      <c r="E405"/>
      <c r="F405"/>
      <c r="G405"/>
      <c r="H405"/>
      <c r="I405"/>
    </row>
    <row r="406" spans="1:9" x14ac:dyDescent="0.25">
      <c r="A406" s="9">
        <v>8068</v>
      </c>
      <c r="B406" s="8" t="s">
        <v>277</v>
      </c>
      <c r="C406" s="8" t="s">
        <v>497</v>
      </c>
      <c r="D406" s="47">
        <v>2895</v>
      </c>
      <c r="H406"/>
      <c r="I406"/>
    </row>
    <row r="407" spans="1:9" x14ac:dyDescent="0.25">
      <c r="A407" s="9">
        <v>8069</v>
      </c>
      <c r="B407" s="8" t="s">
        <v>277</v>
      </c>
      <c r="C407" s="8" t="s">
        <v>497</v>
      </c>
      <c r="D407" s="47">
        <v>2635</v>
      </c>
      <c r="H407"/>
      <c r="I407"/>
    </row>
    <row r="408" spans="1:9" x14ac:dyDescent="0.25">
      <c r="A408" s="9">
        <v>8081</v>
      </c>
      <c r="B408" s="8" t="s">
        <v>277</v>
      </c>
      <c r="C408" s="8" t="s">
        <v>497</v>
      </c>
      <c r="D408" s="47">
        <v>780</v>
      </c>
      <c r="H408"/>
      <c r="I408"/>
    </row>
    <row r="409" spans="1:9" x14ac:dyDescent="0.25">
      <c r="A409" s="9">
        <v>8121</v>
      </c>
      <c r="B409" s="8" t="s">
        <v>277</v>
      </c>
      <c r="C409" s="8" t="s">
        <v>497</v>
      </c>
      <c r="D409" s="47">
        <v>1255</v>
      </c>
      <c r="H409"/>
      <c r="I409"/>
    </row>
    <row r="410" spans="1:9" x14ac:dyDescent="0.25">
      <c r="A410" s="9">
        <v>8122</v>
      </c>
      <c r="B410" s="8" t="s">
        <v>277</v>
      </c>
      <c r="C410" s="8" t="s">
        <v>497</v>
      </c>
      <c r="D410" s="47">
        <v>1790</v>
      </c>
      <c r="H410"/>
      <c r="I410"/>
    </row>
    <row r="411" spans="1:9" x14ac:dyDescent="0.25">
      <c r="A411" s="9">
        <v>8123</v>
      </c>
      <c r="B411" s="8" t="s">
        <v>277</v>
      </c>
      <c r="C411" s="8" t="s">
        <v>497</v>
      </c>
      <c r="D411" s="47">
        <v>845</v>
      </c>
      <c r="H411"/>
      <c r="I411"/>
    </row>
    <row r="412" spans="1:9" x14ac:dyDescent="0.25">
      <c r="A412" s="9">
        <v>8321</v>
      </c>
      <c r="B412" s="8" t="s">
        <v>277</v>
      </c>
      <c r="C412" s="8" t="s">
        <v>497</v>
      </c>
      <c r="D412" s="47">
        <v>1660</v>
      </c>
      <c r="H412"/>
      <c r="I412"/>
    </row>
    <row r="413" spans="1:9" x14ac:dyDescent="0.25">
      <c r="A413" s="9">
        <v>9062</v>
      </c>
      <c r="B413" s="8" t="s">
        <v>277</v>
      </c>
      <c r="C413" s="8" t="s">
        <v>497</v>
      </c>
      <c r="D413" s="47">
        <v>2145</v>
      </c>
      <c r="H413"/>
      <c r="I413"/>
    </row>
    <row r="414" spans="1:9" x14ac:dyDescent="0.25">
      <c r="A414" s="9">
        <v>9063</v>
      </c>
      <c r="B414" s="8" t="s">
        <v>277</v>
      </c>
      <c r="C414" s="8" t="s">
        <v>497</v>
      </c>
      <c r="D414" s="47">
        <v>1820</v>
      </c>
      <c r="H414"/>
      <c r="I414"/>
    </row>
    <row r="415" spans="1:9" x14ac:dyDescent="0.25">
      <c r="A415" s="9">
        <v>9065</v>
      </c>
      <c r="B415" s="8" t="s">
        <v>277</v>
      </c>
      <c r="C415" s="8" t="s">
        <v>497</v>
      </c>
      <c r="D415" s="47">
        <v>1935</v>
      </c>
      <c r="H415"/>
      <c r="I415"/>
    </row>
    <row r="416" spans="1:9" x14ac:dyDescent="0.25">
      <c r="A416" s="9">
        <v>9068</v>
      </c>
      <c r="B416" s="8" t="s">
        <v>277</v>
      </c>
      <c r="C416" s="8" t="s">
        <v>497</v>
      </c>
      <c r="D416" s="47">
        <v>2275</v>
      </c>
      <c r="H416"/>
      <c r="I416"/>
    </row>
    <row r="417" spans="1:9" x14ac:dyDescent="0.25">
      <c r="A417" s="9">
        <v>9069</v>
      </c>
      <c r="B417" s="8" t="s">
        <v>277</v>
      </c>
      <c r="C417" s="8" t="s">
        <v>497</v>
      </c>
      <c r="D417" s="47">
        <v>2145</v>
      </c>
      <c r="H417"/>
      <c r="I417"/>
    </row>
    <row r="418" spans="1:9" x14ac:dyDescent="0.25">
      <c r="A418" s="9">
        <v>9071</v>
      </c>
      <c r="B418" s="8" t="s">
        <v>277</v>
      </c>
      <c r="C418" s="8" t="s">
        <v>497</v>
      </c>
      <c r="D418" s="47">
        <v>1755</v>
      </c>
      <c r="H418"/>
      <c r="I418"/>
    </row>
    <row r="419" spans="1:9" x14ac:dyDescent="0.25">
      <c r="A419" s="9">
        <v>9072</v>
      </c>
      <c r="B419" s="8" t="s">
        <v>277</v>
      </c>
      <c r="C419" s="8" t="s">
        <v>497</v>
      </c>
      <c r="D419" s="47">
        <v>4975</v>
      </c>
      <c r="H419"/>
      <c r="I419"/>
    </row>
    <row r="420" spans="1:9" x14ac:dyDescent="0.25">
      <c r="A420" s="9">
        <v>9073</v>
      </c>
      <c r="B420" s="8" t="s">
        <v>277</v>
      </c>
      <c r="C420" s="8" t="s">
        <v>497</v>
      </c>
      <c r="D420" s="47">
        <v>4585</v>
      </c>
    </row>
    <row r="421" spans="1:9" x14ac:dyDescent="0.25">
      <c r="A421" s="9">
        <v>9074</v>
      </c>
      <c r="B421" s="8" t="s">
        <v>277</v>
      </c>
      <c r="C421" s="8" t="s">
        <v>497</v>
      </c>
      <c r="D421" s="47">
        <v>3250</v>
      </c>
    </row>
    <row r="422" spans="1:9" x14ac:dyDescent="0.25">
      <c r="A422" s="9">
        <v>9075</v>
      </c>
      <c r="B422" s="8" t="s">
        <v>277</v>
      </c>
      <c r="C422" s="8" t="s">
        <v>497</v>
      </c>
      <c r="D422" s="47">
        <v>5590</v>
      </c>
    </row>
    <row r="423" spans="1:9" x14ac:dyDescent="0.25">
      <c r="A423" s="9">
        <v>9076</v>
      </c>
      <c r="B423" s="8" t="s">
        <v>277</v>
      </c>
      <c r="C423" s="8" t="s">
        <v>497</v>
      </c>
      <c r="D423" s="47">
        <v>1920</v>
      </c>
    </row>
    <row r="424" spans="1:9" x14ac:dyDescent="0.25">
      <c r="A424" s="9" t="s">
        <v>755</v>
      </c>
      <c r="B424" s="8" t="s">
        <v>284</v>
      </c>
      <c r="C424" s="8" t="s">
        <v>705</v>
      </c>
      <c r="D424" s="47">
        <v>3815</v>
      </c>
    </row>
    <row r="425" spans="1:9" x14ac:dyDescent="0.25">
      <c r="A425" s="9" t="s">
        <v>760</v>
      </c>
      <c r="B425" s="8" t="s">
        <v>284</v>
      </c>
      <c r="C425" s="8" t="s">
        <v>705</v>
      </c>
      <c r="D425" s="47">
        <v>5690</v>
      </c>
    </row>
    <row r="426" spans="1:9" x14ac:dyDescent="0.25">
      <c r="A426" s="9" t="s">
        <v>835</v>
      </c>
      <c r="B426" s="8" t="s">
        <v>277</v>
      </c>
      <c r="C426" s="8" t="s">
        <v>494</v>
      </c>
      <c r="D426" s="47">
        <v>100</v>
      </c>
    </row>
    <row r="427" spans="1:9" x14ac:dyDescent="0.25">
      <c r="A427" s="9" t="s">
        <v>1021</v>
      </c>
      <c r="B427" s="8" t="s">
        <v>277</v>
      </c>
      <c r="C427" s="8" t="s">
        <v>494</v>
      </c>
      <c r="D427" s="47">
        <v>165</v>
      </c>
    </row>
    <row r="428" spans="1:9" x14ac:dyDescent="0.25">
      <c r="A428" s="9" t="s">
        <v>805</v>
      </c>
      <c r="B428" s="8" t="s">
        <v>277</v>
      </c>
      <c r="C428" s="8" t="s">
        <v>494</v>
      </c>
      <c r="D428" s="47">
        <v>165</v>
      </c>
    </row>
  </sheetData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horizontalDpi="0" verticalDpi="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4D784-FB86-471E-B9EB-EA5C97B18F4C}">
  <dimension ref="A1:I295"/>
  <sheetViews>
    <sheetView workbookViewId="0">
      <selection activeCell="D2" sqref="D2"/>
    </sheetView>
  </sheetViews>
  <sheetFormatPr defaultRowHeight="15.75" x14ac:dyDescent="0.25"/>
  <cols>
    <col min="1" max="1" width="12.42578125" style="5" bestFit="1" customWidth="1"/>
    <col min="2" max="2" width="10" style="6" bestFit="1" customWidth="1"/>
    <col min="3" max="3" width="12.7109375" style="6" bestFit="1" customWidth="1"/>
    <col min="4" max="4" width="9.85546875" style="7" bestFit="1" customWidth="1"/>
    <col min="5" max="5" width="10.42578125" style="7" bestFit="1" customWidth="1"/>
    <col min="6" max="6" width="11.42578125" style="7" bestFit="1" customWidth="1"/>
    <col min="7" max="7" width="12.42578125" style="7" bestFit="1" customWidth="1"/>
    <col min="8" max="9" width="11.140625" style="7" bestFit="1" customWidth="1"/>
    <col min="10" max="10" width="12.42578125" bestFit="1" customWidth="1"/>
    <col min="11" max="11" width="13.85546875" customWidth="1"/>
    <col min="12" max="12" width="7.140625" bestFit="1" customWidth="1"/>
    <col min="13" max="13" width="10.7109375" bestFit="1" customWidth="1"/>
    <col min="14" max="14" width="11.5703125" bestFit="1" customWidth="1"/>
    <col min="15" max="15" width="12" bestFit="1" customWidth="1"/>
    <col min="16" max="16" width="17.42578125" bestFit="1" customWidth="1"/>
    <col min="17" max="17" width="7.28515625" bestFit="1" customWidth="1"/>
    <col min="18" max="18" width="7" bestFit="1" customWidth="1"/>
    <col min="19" max="19" width="11.140625" bestFit="1" customWidth="1"/>
    <col min="20" max="20" width="8.42578125" bestFit="1" customWidth="1"/>
  </cols>
  <sheetData>
    <row r="1" spans="1:9" x14ac:dyDescent="0.25">
      <c r="A1" s="5" t="s">
        <v>696</v>
      </c>
      <c r="B1" s="6" t="s">
        <v>427</v>
      </c>
      <c r="C1" s="6" t="s">
        <v>503</v>
      </c>
      <c r="D1" s="7" t="s">
        <v>752</v>
      </c>
      <c r="E1" t="s">
        <v>918</v>
      </c>
      <c r="F1" t="s">
        <v>951</v>
      </c>
      <c r="G1"/>
      <c r="H1"/>
      <c r="I1"/>
    </row>
    <row r="2" spans="1:9" x14ac:dyDescent="0.25">
      <c r="A2" s="5">
        <v>181</v>
      </c>
      <c r="B2" s="6" t="s">
        <v>171</v>
      </c>
      <c r="C2" s="6" t="s">
        <v>167</v>
      </c>
      <c r="D2" s="7">
        <v>325</v>
      </c>
      <c r="E2">
        <v>990</v>
      </c>
      <c r="F2">
        <v>500</v>
      </c>
      <c r="G2"/>
      <c r="H2"/>
      <c r="I2"/>
    </row>
    <row r="3" spans="1:9" x14ac:dyDescent="0.25">
      <c r="A3" s="5">
        <v>452</v>
      </c>
      <c r="B3" s="6" t="s">
        <v>171</v>
      </c>
      <c r="C3" s="6" t="s">
        <v>495</v>
      </c>
      <c r="D3" s="7">
        <v>215</v>
      </c>
      <c r="E3">
        <v>740</v>
      </c>
      <c r="F3">
        <v>350</v>
      </c>
      <c r="G3"/>
      <c r="H3"/>
      <c r="I3"/>
    </row>
    <row r="4" spans="1:9" x14ac:dyDescent="0.25">
      <c r="A4" s="5">
        <v>455</v>
      </c>
      <c r="B4" s="6" t="s">
        <v>171</v>
      </c>
      <c r="C4" s="6" t="s">
        <v>495</v>
      </c>
      <c r="D4" s="7">
        <v>225</v>
      </c>
      <c r="E4">
        <v>770</v>
      </c>
      <c r="F4">
        <v>370</v>
      </c>
      <c r="G4"/>
      <c r="H4"/>
      <c r="I4"/>
    </row>
    <row r="5" spans="1:9" x14ac:dyDescent="0.25">
      <c r="A5" s="5">
        <v>466</v>
      </c>
      <c r="B5" s="6" t="s">
        <v>171</v>
      </c>
      <c r="C5" s="6" t="s">
        <v>495</v>
      </c>
      <c r="D5" s="7">
        <v>295</v>
      </c>
      <c r="E5">
        <v>970</v>
      </c>
      <c r="F5">
        <v>450</v>
      </c>
      <c r="G5"/>
      <c r="H5"/>
      <c r="I5"/>
    </row>
    <row r="6" spans="1:9" x14ac:dyDescent="0.25">
      <c r="A6" s="5">
        <v>501</v>
      </c>
      <c r="B6" s="6" t="s">
        <v>171</v>
      </c>
      <c r="C6" s="6" t="s">
        <v>494</v>
      </c>
      <c r="D6" s="7">
        <v>300</v>
      </c>
      <c r="E6">
        <v>780</v>
      </c>
      <c r="F6">
        <v>450</v>
      </c>
      <c r="G6"/>
      <c r="H6"/>
      <c r="I6"/>
    </row>
    <row r="7" spans="1:9" x14ac:dyDescent="0.25">
      <c r="A7" s="5">
        <v>502</v>
      </c>
      <c r="B7" s="6" t="s">
        <v>171</v>
      </c>
      <c r="C7" s="6" t="s">
        <v>494</v>
      </c>
      <c r="D7" s="7">
        <v>300</v>
      </c>
      <c r="E7">
        <v>940</v>
      </c>
      <c r="F7">
        <v>470</v>
      </c>
      <c r="G7"/>
      <c r="H7"/>
      <c r="I7"/>
    </row>
    <row r="8" spans="1:9" x14ac:dyDescent="0.25">
      <c r="A8" s="5">
        <v>503</v>
      </c>
      <c r="B8" s="6" t="s">
        <v>171</v>
      </c>
      <c r="C8" s="6" t="s">
        <v>494</v>
      </c>
      <c r="D8" s="7">
        <v>290</v>
      </c>
      <c r="E8">
        <v>960</v>
      </c>
      <c r="F8">
        <v>450</v>
      </c>
      <c r="G8"/>
      <c r="H8"/>
      <c r="I8"/>
    </row>
    <row r="9" spans="1:9" x14ac:dyDescent="0.25">
      <c r="A9" s="5">
        <v>504</v>
      </c>
      <c r="B9" s="6" t="s">
        <v>171</v>
      </c>
      <c r="C9" s="6" t="s">
        <v>494</v>
      </c>
      <c r="D9" s="7">
        <v>275</v>
      </c>
      <c r="E9">
        <v>870</v>
      </c>
      <c r="F9">
        <v>420</v>
      </c>
      <c r="G9"/>
      <c r="H9"/>
      <c r="I9"/>
    </row>
    <row r="10" spans="1:9" x14ac:dyDescent="0.25">
      <c r="A10" s="5">
        <v>505</v>
      </c>
      <c r="B10" s="6" t="s">
        <v>171</v>
      </c>
      <c r="C10" s="6" t="s">
        <v>494</v>
      </c>
      <c r="D10" s="7">
        <v>225</v>
      </c>
      <c r="E10">
        <v>650</v>
      </c>
      <c r="F10">
        <v>370</v>
      </c>
      <c r="G10"/>
      <c r="H10"/>
      <c r="I10"/>
    </row>
    <row r="11" spans="1:9" x14ac:dyDescent="0.25">
      <c r="A11" s="5">
        <v>506</v>
      </c>
      <c r="B11" s="6" t="s">
        <v>171</v>
      </c>
      <c r="C11" s="6" t="s">
        <v>494</v>
      </c>
      <c r="D11" s="7">
        <v>470</v>
      </c>
      <c r="E11">
        <v>770</v>
      </c>
      <c r="F11">
        <v>670</v>
      </c>
      <c r="G11"/>
      <c r="H11"/>
      <c r="I11"/>
    </row>
    <row r="12" spans="1:9" x14ac:dyDescent="0.25">
      <c r="A12" s="5">
        <v>507</v>
      </c>
      <c r="B12" s="6" t="s">
        <v>171</v>
      </c>
      <c r="C12" s="6" t="s">
        <v>494</v>
      </c>
      <c r="D12" s="7">
        <v>375</v>
      </c>
      <c r="E12">
        <v>690</v>
      </c>
      <c r="F12">
        <v>550</v>
      </c>
      <c r="G12"/>
      <c r="H12"/>
      <c r="I12"/>
    </row>
    <row r="13" spans="1:9" x14ac:dyDescent="0.25">
      <c r="A13" s="5">
        <v>508</v>
      </c>
      <c r="B13" s="6" t="s">
        <v>171</v>
      </c>
      <c r="C13" s="6" t="s">
        <v>494</v>
      </c>
      <c r="D13" s="7">
        <v>215</v>
      </c>
      <c r="E13">
        <v>730</v>
      </c>
      <c r="F13">
        <v>350</v>
      </c>
      <c r="G13"/>
      <c r="H13"/>
      <c r="I13"/>
    </row>
    <row r="14" spans="1:9" x14ac:dyDescent="0.25">
      <c r="A14" s="5">
        <v>509</v>
      </c>
      <c r="B14" s="6" t="s">
        <v>171</v>
      </c>
      <c r="C14" s="6" t="s">
        <v>494</v>
      </c>
      <c r="D14" s="7">
        <v>260</v>
      </c>
      <c r="E14">
        <v>810</v>
      </c>
      <c r="F14">
        <v>400</v>
      </c>
      <c r="G14"/>
      <c r="H14"/>
      <c r="I14"/>
    </row>
    <row r="15" spans="1:9" x14ac:dyDescent="0.25">
      <c r="A15" s="5">
        <v>510</v>
      </c>
      <c r="B15" s="6" t="s">
        <v>171</v>
      </c>
      <c r="C15" s="6" t="s">
        <v>494</v>
      </c>
      <c r="D15" s="7">
        <v>225</v>
      </c>
      <c r="E15">
        <v>750</v>
      </c>
      <c r="F15">
        <v>370</v>
      </c>
      <c r="G15"/>
      <c r="H15"/>
      <c r="I15"/>
    </row>
    <row r="16" spans="1:9" x14ac:dyDescent="0.25">
      <c r="A16" s="5">
        <v>512</v>
      </c>
      <c r="B16" s="6" t="s">
        <v>171</v>
      </c>
      <c r="C16" s="6" t="s">
        <v>494</v>
      </c>
      <c r="D16" s="7">
        <v>485</v>
      </c>
      <c r="E16">
        <v>1540</v>
      </c>
      <c r="F16">
        <v>700</v>
      </c>
      <c r="G16"/>
      <c r="H16"/>
      <c r="I16"/>
    </row>
    <row r="17" spans="1:9" x14ac:dyDescent="0.25">
      <c r="A17" s="5">
        <v>515</v>
      </c>
      <c r="B17" s="6" t="s">
        <v>171</v>
      </c>
      <c r="C17" s="6" t="s">
        <v>494</v>
      </c>
      <c r="D17" s="7">
        <v>200</v>
      </c>
      <c r="E17">
        <v>670</v>
      </c>
      <c r="F17">
        <v>320</v>
      </c>
      <c r="G17"/>
      <c r="H17"/>
      <c r="I17"/>
    </row>
    <row r="18" spans="1:9" x14ac:dyDescent="0.25">
      <c r="A18" s="5">
        <v>516</v>
      </c>
      <c r="B18" s="6" t="s">
        <v>171</v>
      </c>
      <c r="C18" s="6" t="s">
        <v>494</v>
      </c>
      <c r="D18" s="7">
        <v>320</v>
      </c>
      <c r="E18">
        <v>1000</v>
      </c>
      <c r="F18">
        <v>500</v>
      </c>
      <c r="G18"/>
      <c r="H18"/>
      <c r="I18"/>
    </row>
    <row r="19" spans="1:9" x14ac:dyDescent="0.25">
      <c r="A19" s="5">
        <v>520</v>
      </c>
      <c r="B19" s="6" t="s">
        <v>171</v>
      </c>
      <c r="C19" s="6" t="s">
        <v>494</v>
      </c>
      <c r="D19" s="7">
        <v>355</v>
      </c>
      <c r="E19">
        <v>1140</v>
      </c>
      <c r="F19">
        <v>520</v>
      </c>
      <c r="G19"/>
      <c r="H19"/>
      <c r="I19"/>
    </row>
    <row r="20" spans="1:9" x14ac:dyDescent="0.25">
      <c r="A20" s="5">
        <v>522</v>
      </c>
      <c r="B20" s="6" t="s">
        <v>171</v>
      </c>
      <c r="C20" s="6" t="s">
        <v>494</v>
      </c>
      <c r="D20" s="7">
        <v>265</v>
      </c>
      <c r="E20">
        <v>860</v>
      </c>
      <c r="F20">
        <v>420</v>
      </c>
      <c r="G20"/>
      <c r="H20"/>
      <c r="I20"/>
    </row>
    <row r="21" spans="1:9" x14ac:dyDescent="0.25">
      <c r="A21" s="5">
        <v>523</v>
      </c>
      <c r="B21" s="6" t="s">
        <v>171</v>
      </c>
      <c r="C21" s="6" t="s">
        <v>494</v>
      </c>
      <c r="D21" s="7">
        <v>405</v>
      </c>
      <c r="E21">
        <v>1300</v>
      </c>
      <c r="F21">
        <v>600</v>
      </c>
      <c r="G21"/>
      <c r="H21"/>
      <c r="I21"/>
    </row>
    <row r="22" spans="1:9" x14ac:dyDescent="0.25">
      <c r="A22" s="5">
        <v>524</v>
      </c>
      <c r="B22" s="6" t="s">
        <v>171</v>
      </c>
      <c r="C22" s="6" t="s">
        <v>494</v>
      </c>
      <c r="D22" s="7">
        <v>505</v>
      </c>
      <c r="E22">
        <v>1600</v>
      </c>
      <c r="F22">
        <v>720</v>
      </c>
      <c r="G22"/>
      <c r="H22"/>
      <c r="I22"/>
    </row>
    <row r="23" spans="1:9" x14ac:dyDescent="0.25">
      <c r="A23" s="5">
        <v>527</v>
      </c>
      <c r="B23" s="6" t="s">
        <v>171</v>
      </c>
      <c r="C23" s="6" t="s">
        <v>494</v>
      </c>
      <c r="D23" s="7">
        <v>455</v>
      </c>
      <c r="E23">
        <v>750</v>
      </c>
      <c r="F23">
        <v>650</v>
      </c>
      <c r="G23"/>
      <c r="H23"/>
      <c r="I23"/>
    </row>
    <row r="24" spans="1:9" x14ac:dyDescent="0.25">
      <c r="A24" s="5">
        <v>529</v>
      </c>
      <c r="B24" s="6" t="s">
        <v>171</v>
      </c>
      <c r="C24" s="6" t="s">
        <v>494</v>
      </c>
      <c r="D24" s="7">
        <v>465</v>
      </c>
      <c r="E24">
        <v>690</v>
      </c>
      <c r="F24">
        <v>670</v>
      </c>
      <c r="G24"/>
      <c r="H24"/>
      <c r="I24"/>
    </row>
    <row r="25" spans="1:9" x14ac:dyDescent="0.25">
      <c r="A25" s="5">
        <v>530</v>
      </c>
      <c r="B25" s="6" t="s">
        <v>171</v>
      </c>
      <c r="C25" s="6" t="s">
        <v>494</v>
      </c>
      <c r="D25" s="7">
        <v>210</v>
      </c>
      <c r="E25">
        <v>690</v>
      </c>
      <c r="F25">
        <v>350</v>
      </c>
      <c r="G25"/>
      <c r="H25"/>
      <c r="I25"/>
    </row>
    <row r="26" spans="1:9" x14ac:dyDescent="0.25">
      <c r="A26" s="5">
        <v>533</v>
      </c>
      <c r="B26" s="6" t="s">
        <v>171</v>
      </c>
      <c r="C26" s="6" t="s">
        <v>494</v>
      </c>
      <c r="D26" s="7">
        <v>125</v>
      </c>
      <c r="E26">
        <v>470</v>
      </c>
      <c r="F26">
        <v>250</v>
      </c>
      <c r="G26"/>
      <c r="H26"/>
      <c r="I26"/>
    </row>
    <row r="27" spans="1:9" x14ac:dyDescent="0.25">
      <c r="A27" s="5">
        <v>535</v>
      </c>
      <c r="B27" s="6" t="s">
        <v>171</v>
      </c>
      <c r="C27" s="6" t="s">
        <v>494</v>
      </c>
      <c r="D27" s="7">
        <v>275</v>
      </c>
      <c r="E27">
        <v>900</v>
      </c>
      <c r="F27">
        <v>420</v>
      </c>
      <c r="G27"/>
      <c r="H27"/>
      <c r="I27"/>
    </row>
    <row r="28" spans="1:9" x14ac:dyDescent="0.25">
      <c r="A28" s="5">
        <v>536</v>
      </c>
      <c r="B28" s="6" t="s">
        <v>171</v>
      </c>
      <c r="C28" s="6" t="s">
        <v>494</v>
      </c>
      <c r="D28" s="7">
        <v>290</v>
      </c>
      <c r="E28">
        <v>940</v>
      </c>
      <c r="F28">
        <v>450</v>
      </c>
      <c r="G28"/>
      <c r="H28"/>
      <c r="I28"/>
    </row>
    <row r="29" spans="1:9" x14ac:dyDescent="0.25">
      <c r="A29" s="5">
        <v>537</v>
      </c>
      <c r="B29" s="6" t="s">
        <v>171</v>
      </c>
      <c r="C29" s="6" t="s">
        <v>494</v>
      </c>
      <c r="D29" s="7">
        <v>210</v>
      </c>
      <c r="E29">
        <v>710</v>
      </c>
      <c r="F29">
        <v>350</v>
      </c>
      <c r="G29"/>
      <c r="H29"/>
      <c r="I29"/>
    </row>
    <row r="30" spans="1:9" x14ac:dyDescent="0.25">
      <c r="A30" s="5">
        <v>538</v>
      </c>
      <c r="B30" s="6" t="s">
        <v>171</v>
      </c>
      <c r="C30" s="6" t="s">
        <v>494</v>
      </c>
      <c r="D30" s="7">
        <v>190</v>
      </c>
      <c r="E30">
        <v>650</v>
      </c>
      <c r="F30">
        <v>320</v>
      </c>
      <c r="G30"/>
      <c r="H30"/>
      <c r="I30"/>
    </row>
    <row r="31" spans="1:9" x14ac:dyDescent="0.25">
      <c r="A31" s="5">
        <v>539</v>
      </c>
      <c r="B31" s="6" t="s">
        <v>171</v>
      </c>
      <c r="C31" s="6" t="s">
        <v>494</v>
      </c>
      <c r="D31" s="7">
        <v>215</v>
      </c>
      <c r="E31">
        <v>730</v>
      </c>
      <c r="F31">
        <v>350</v>
      </c>
      <c r="G31"/>
      <c r="H31"/>
      <c r="I31"/>
    </row>
    <row r="32" spans="1:9" x14ac:dyDescent="0.25">
      <c r="A32" s="5">
        <v>551</v>
      </c>
      <c r="B32" s="6" t="s">
        <v>171</v>
      </c>
      <c r="C32" s="6" t="s">
        <v>494</v>
      </c>
      <c r="D32" s="7">
        <v>225</v>
      </c>
      <c r="E32">
        <v>750</v>
      </c>
      <c r="F32">
        <v>370</v>
      </c>
      <c r="G32"/>
      <c r="H32"/>
      <c r="I32"/>
    </row>
    <row r="33" spans="1:9" x14ac:dyDescent="0.25">
      <c r="A33" s="5">
        <v>552</v>
      </c>
      <c r="B33" s="6" t="s">
        <v>171</v>
      </c>
      <c r="C33" s="6" t="s">
        <v>494</v>
      </c>
      <c r="D33" s="7">
        <v>215</v>
      </c>
      <c r="E33">
        <v>650</v>
      </c>
      <c r="F33">
        <v>350</v>
      </c>
      <c r="G33"/>
      <c r="H33"/>
      <c r="I33"/>
    </row>
    <row r="34" spans="1:9" x14ac:dyDescent="0.25">
      <c r="A34" s="5">
        <v>554</v>
      </c>
      <c r="B34" s="6" t="s">
        <v>171</v>
      </c>
      <c r="C34" s="6" t="s">
        <v>494</v>
      </c>
      <c r="D34" s="7">
        <v>295</v>
      </c>
      <c r="E34">
        <v>930</v>
      </c>
      <c r="F34">
        <v>450</v>
      </c>
      <c r="G34"/>
      <c r="H34"/>
      <c r="I34"/>
    </row>
    <row r="35" spans="1:9" x14ac:dyDescent="0.25">
      <c r="A35" s="5">
        <v>556</v>
      </c>
      <c r="B35" s="6" t="s">
        <v>171</v>
      </c>
      <c r="C35" s="6" t="s">
        <v>494</v>
      </c>
      <c r="D35" s="7">
        <v>515</v>
      </c>
      <c r="E35">
        <v>750</v>
      </c>
      <c r="F35">
        <v>720</v>
      </c>
      <c r="G35"/>
      <c r="H35"/>
      <c r="I35"/>
    </row>
    <row r="36" spans="1:9" x14ac:dyDescent="0.25">
      <c r="A36" s="5">
        <v>557</v>
      </c>
      <c r="B36" s="6" t="s">
        <v>171</v>
      </c>
      <c r="C36" s="6" t="s">
        <v>494</v>
      </c>
      <c r="D36" s="7">
        <v>435</v>
      </c>
      <c r="E36">
        <v>690</v>
      </c>
      <c r="F36">
        <v>620</v>
      </c>
      <c r="G36"/>
      <c r="H36"/>
      <c r="I36"/>
    </row>
    <row r="37" spans="1:9" x14ac:dyDescent="0.25">
      <c r="A37" s="5">
        <v>558</v>
      </c>
      <c r="B37" s="6" t="s">
        <v>171</v>
      </c>
      <c r="C37" s="6" t="s">
        <v>494</v>
      </c>
      <c r="D37" s="7">
        <v>445</v>
      </c>
      <c r="E37">
        <v>690</v>
      </c>
      <c r="F37">
        <v>650</v>
      </c>
      <c r="G37"/>
      <c r="H37"/>
      <c r="I37"/>
    </row>
    <row r="38" spans="1:9" x14ac:dyDescent="0.25">
      <c r="A38" s="5">
        <v>560</v>
      </c>
      <c r="B38" s="6" t="s">
        <v>171</v>
      </c>
      <c r="C38" s="6" t="s">
        <v>494</v>
      </c>
      <c r="D38" s="7">
        <v>250</v>
      </c>
      <c r="E38">
        <v>670</v>
      </c>
      <c r="F38">
        <v>400</v>
      </c>
      <c r="G38"/>
      <c r="H38"/>
      <c r="I38"/>
    </row>
    <row r="39" spans="1:9" x14ac:dyDescent="0.25">
      <c r="A39" s="5">
        <v>561</v>
      </c>
      <c r="B39" s="6" t="s">
        <v>171</v>
      </c>
      <c r="C39" s="6" t="s">
        <v>494</v>
      </c>
      <c r="D39" s="7">
        <v>560</v>
      </c>
      <c r="E39">
        <v>730</v>
      </c>
      <c r="F39">
        <v>800</v>
      </c>
      <c r="G39"/>
      <c r="H39"/>
      <c r="I39"/>
    </row>
    <row r="40" spans="1:9" x14ac:dyDescent="0.25">
      <c r="A40" s="5">
        <v>562</v>
      </c>
      <c r="B40" s="6" t="s">
        <v>171</v>
      </c>
      <c r="C40" s="6" t="s">
        <v>494</v>
      </c>
      <c r="D40" s="7">
        <v>485</v>
      </c>
      <c r="E40">
        <v>750</v>
      </c>
      <c r="F40">
        <v>700</v>
      </c>
      <c r="G40"/>
      <c r="H40"/>
      <c r="I40"/>
    </row>
    <row r="41" spans="1:9" x14ac:dyDescent="0.25">
      <c r="A41" s="5">
        <v>563</v>
      </c>
      <c r="B41" s="6" t="s">
        <v>171</v>
      </c>
      <c r="C41" s="6" t="s">
        <v>494</v>
      </c>
      <c r="D41" s="7">
        <v>370</v>
      </c>
      <c r="E41">
        <v>730</v>
      </c>
      <c r="F41">
        <v>550</v>
      </c>
      <c r="G41"/>
      <c r="H41"/>
      <c r="I41"/>
    </row>
    <row r="42" spans="1:9" x14ac:dyDescent="0.25">
      <c r="A42" s="5">
        <v>568</v>
      </c>
      <c r="B42" s="6" t="s">
        <v>171</v>
      </c>
      <c r="C42" s="6" t="s">
        <v>494</v>
      </c>
      <c r="D42" s="7">
        <v>390</v>
      </c>
      <c r="E42">
        <v>670</v>
      </c>
      <c r="F42">
        <v>570</v>
      </c>
      <c r="G42"/>
      <c r="H42"/>
      <c r="I42"/>
    </row>
    <row r="43" spans="1:9" x14ac:dyDescent="0.25">
      <c r="A43" s="5">
        <v>572</v>
      </c>
      <c r="B43" s="6" t="s">
        <v>171</v>
      </c>
      <c r="C43" s="6" t="s">
        <v>494</v>
      </c>
      <c r="D43" s="7">
        <v>485</v>
      </c>
      <c r="E43">
        <v>770</v>
      </c>
      <c r="F43">
        <v>700</v>
      </c>
      <c r="G43"/>
      <c r="H43"/>
      <c r="I43"/>
    </row>
    <row r="44" spans="1:9" x14ac:dyDescent="0.25">
      <c r="A44" s="5">
        <v>573</v>
      </c>
      <c r="B44" s="6" t="s">
        <v>171</v>
      </c>
      <c r="C44" s="6" t="s">
        <v>494</v>
      </c>
      <c r="D44" s="7">
        <v>540</v>
      </c>
      <c r="E44">
        <v>750</v>
      </c>
      <c r="F44">
        <v>770</v>
      </c>
      <c r="G44"/>
      <c r="H44"/>
      <c r="I44"/>
    </row>
    <row r="45" spans="1:9" x14ac:dyDescent="0.25">
      <c r="A45" s="5">
        <v>574</v>
      </c>
      <c r="B45" s="6" t="s">
        <v>171</v>
      </c>
      <c r="C45" s="6" t="s">
        <v>494</v>
      </c>
      <c r="D45" s="7">
        <v>435</v>
      </c>
      <c r="E45">
        <v>730</v>
      </c>
      <c r="F45">
        <v>620</v>
      </c>
      <c r="G45"/>
      <c r="H45"/>
      <c r="I45"/>
    </row>
    <row r="46" spans="1:9" x14ac:dyDescent="0.25">
      <c r="A46" s="5">
        <v>577</v>
      </c>
      <c r="B46" s="6" t="s">
        <v>171</v>
      </c>
      <c r="C46" s="6" t="s">
        <v>494</v>
      </c>
      <c r="D46" s="7">
        <v>575</v>
      </c>
      <c r="E46">
        <v>640</v>
      </c>
      <c r="F46">
        <v>800</v>
      </c>
      <c r="G46"/>
      <c r="H46"/>
      <c r="I46"/>
    </row>
    <row r="47" spans="1:9" x14ac:dyDescent="0.25">
      <c r="A47" s="5">
        <v>578</v>
      </c>
      <c r="B47" s="6" t="s">
        <v>171</v>
      </c>
      <c r="C47" s="6" t="s">
        <v>494</v>
      </c>
      <c r="D47" s="7">
        <v>395</v>
      </c>
      <c r="E47">
        <v>620</v>
      </c>
      <c r="F47">
        <v>570</v>
      </c>
      <c r="G47"/>
      <c r="H47"/>
      <c r="I47"/>
    </row>
    <row r="48" spans="1:9" x14ac:dyDescent="0.25">
      <c r="A48" s="5">
        <v>582</v>
      </c>
      <c r="B48" s="6" t="s">
        <v>171</v>
      </c>
      <c r="C48" s="6" t="s">
        <v>494</v>
      </c>
      <c r="D48" s="7">
        <v>250</v>
      </c>
      <c r="E48">
        <v>820</v>
      </c>
      <c r="F48">
        <v>400</v>
      </c>
      <c r="G48"/>
      <c r="H48"/>
      <c r="I48"/>
    </row>
    <row r="49" spans="1:9" x14ac:dyDescent="0.25">
      <c r="A49" s="5">
        <v>596</v>
      </c>
      <c r="B49" s="6" t="s">
        <v>171</v>
      </c>
      <c r="C49" s="6" t="s">
        <v>494</v>
      </c>
      <c r="D49" s="7">
        <v>210</v>
      </c>
      <c r="E49">
        <v>690</v>
      </c>
      <c r="F49">
        <v>350</v>
      </c>
      <c r="G49"/>
      <c r="H49"/>
      <c r="I49"/>
    </row>
    <row r="50" spans="1:9" x14ac:dyDescent="0.25">
      <c r="A50" s="5">
        <v>597</v>
      </c>
      <c r="B50" s="6" t="s">
        <v>171</v>
      </c>
      <c r="C50" s="6" t="s">
        <v>494</v>
      </c>
      <c r="D50" s="7">
        <v>185</v>
      </c>
      <c r="E50">
        <v>640</v>
      </c>
      <c r="F50">
        <v>320</v>
      </c>
      <c r="G50"/>
      <c r="H50"/>
      <c r="I50"/>
    </row>
    <row r="51" spans="1:9" x14ac:dyDescent="0.25">
      <c r="A51" s="5">
        <v>599</v>
      </c>
      <c r="B51" s="6" t="s">
        <v>171</v>
      </c>
      <c r="C51" s="6" t="s">
        <v>494</v>
      </c>
      <c r="D51" s="7">
        <v>490</v>
      </c>
      <c r="E51">
        <v>770</v>
      </c>
      <c r="F51">
        <v>700</v>
      </c>
      <c r="G51"/>
      <c r="H51"/>
      <c r="I51"/>
    </row>
    <row r="52" spans="1:9" x14ac:dyDescent="0.25">
      <c r="A52" s="5">
        <v>841</v>
      </c>
      <c r="B52" s="6" t="s">
        <v>171</v>
      </c>
      <c r="C52" s="6" t="s">
        <v>497</v>
      </c>
      <c r="D52" s="7">
        <v>880</v>
      </c>
      <c r="E52">
        <v>2580</v>
      </c>
      <c r="F52">
        <v>1150</v>
      </c>
      <c r="G52"/>
      <c r="H52"/>
      <c r="I52"/>
    </row>
    <row r="53" spans="1:9" x14ac:dyDescent="0.25">
      <c r="A53" s="5">
        <v>842</v>
      </c>
      <c r="B53" s="6" t="s">
        <v>171</v>
      </c>
      <c r="C53" s="6" t="s">
        <v>497</v>
      </c>
      <c r="D53" s="7">
        <v>1010</v>
      </c>
      <c r="E53">
        <v>2960</v>
      </c>
      <c r="F53">
        <v>1300</v>
      </c>
      <c r="G53"/>
      <c r="H53"/>
      <c r="I53"/>
    </row>
    <row r="54" spans="1:9" x14ac:dyDescent="0.25">
      <c r="A54" s="5">
        <v>843</v>
      </c>
      <c r="B54" s="6" t="s">
        <v>171</v>
      </c>
      <c r="C54" s="6" t="s">
        <v>497</v>
      </c>
      <c r="D54" s="7">
        <v>1140</v>
      </c>
      <c r="E54">
        <v>3330</v>
      </c>
      <c r="F54">
        <v>1470</v>
      </c>
      <c r="G54"/>
      <c r="H54"/>
      <c r="I54"/>
    </row>
    <row r="55" spans="1:9" x14ac:dyDescent="0.25">
      <c r="A55" s="5">
        <v>844</v>
      </c>
      <c r="B55" s="6" t="s">
        <v>171</v>
      </c>
      <c r="C55" s="6" t="s">
        <v>497</v>
      </c>
      <c r="D55" s="7">
        <v>1010</v>
      </c>
      <c r="E55">
        <v>2960</v>
      </c>
      <c r="F55">
        <v>1300</v>
      </c>
      <c r="G55"/>
      <c r="H55"/>
      <c r="I55"/>
    </row>
    <row r="56" spans="1:9" x14ac:dyDescent="0.25">
      <c r="A56" s="5">
        <v>845</v>
      </c>
      <c r="B56" s="6" t="s">
        <v>171</v>
      </c>
      <c r="C56" s="6" t="s">
        <v>497</v>
      </c>
      <c r="D56" s="7">
        <v>910</v>
      </c>
      <c r="E56">
        <v>2670</v>
      </c>
      <c r="F56">
        <v>1200</v>
      </c>
      <c r="G56"/>
      <c r="H56"/>
      <c r="I56"/>
    </row>
    <row r="57" spans="1:9" x14ac:dyDescent="0.25">
      <c r="A57" s="5">
        <v>846</v>
      </c>
      <c r="B57" s="6" t="s">
        <v>171</v>
      </c>
      <c r="C57" s="6" t="s">
        <v>497</v>
      </c>
      <c r="D57" s="7">
        <v>750</v>
      </c>
      <c r="E57">
        <v>2200</v>
      </c>
      <c r="F57">
        <v>1000</v>
      </c>
      <c r="G57"/>
      <c r="H57"/>
      <c r="I57"/>
    </row>
    <row r="58" spans="1:9" x14ac:dyDescent="0.25">
      <c r="A58" s="5">
        <v>848</v>
      </c>
      <c r="B58" s="6" t="s">
        <v>171</v>
      </c>
      <c r="C58" s="6" t="s">
        <v>497</v>
      </c>
      <c r="D58" s="7">
        <v>1125</v>
      </c>
      <c r="E58">
        <v>3290</v>
      </c>
      <c r="F58">
        <v>1450</v>
      </c>
      <c r="G58"/>
      <c r="H58"/>
      <c r="I58"/>
    </row>
    <row r="59" spans="1:9" x14ac:dyDescent="0.25">
      <c r="A59" s="5">
        <v>849</v>
      </c>
      <c r="B59" s="6" t="s">
        <v>171</v>
      </c>
      <c r="C59" s="6" t="s">
        <v>497</v>
      </c>
      <c r="D59" s="7">
        <v>780</v>
      </c>
      <c r="E59">
        <v>2290</v>
      </c>
      <c r="F59">
        <v>1020</v>
      </c>
      <c r="G59"/>
      <c r="H59"/>
      <c r="I59"/>
    </row>
    <row r="60" spans="1:9" x14ac:dyDescent="0.25">
      <c r="A60" s="5">
        <v>850</v>
      </c>
      <c r="B60" s="6" t="s">
        <v>171</v>
      </c>
      <c r="C60" s="6" t="s">
        <v>497</v>
      </c>
      <c r="D60" s="7">
        <v>815</v>
      </c>
      <c r="E60">
        <v>2390</v>
      </c>
      <c r="F60">
        <v>1070</v>
      </c>
      <c r="G60"/>
      <c r="H60"/>
      <c r="I60"/>
    </row>
    <row r="61" spans="1:9" x14ac:dyDescent="0.25">
      <c r="A61" s="5">
        <v>851</v>
      </c>
      <c r="B61" s="6" t="s">
        <v>171</v>
      </c>
      <c r="C61" s="6" t="s">
        <v>497</v>
      </c>
      <c r="D61" s="7">
        <v>815</v>
      </c>
      <c r="E61">
        <v>2390</v>
      </c>
      <c r="F61">
        <v>1070</v>
      </c>
      <c r="G61"/>
      <c r="H61"/>
      <c r="I61"/>
    </row>
    <row r="62" spans="1:9" x14ac:dyDescent="0.25">
      <c r="A62" s="5">
        <v>852</v>
      </c>
      <c r="B62" s="6" t="s">
        <v>171</v>
      </c>
      <c r="C62" s="6" t="s">
        <v>497</v>
      </c>
      <c r="D62" s="7">
        <v>685</v>
      </c>
      <c r="E62">
        <v>2010</v>
      </c>
      <c r="F62">
        <v>920</v>
      </c>
      <c r="G62"/>
      <c r="H62"/>
      <c r="I62"/>
    </row>
    <row r="63" spans="1:9" x14ac:dyDescent="0.25">
      <c r="A63" s="5">
        <v>853</v>
      </c>
      <c r="B63" s="6" t="s">
        <v>171</v>
      </c>
      <c r="C63" s="6" t="s">
        <v>497</v>
      </c>
      <c r="D63" s="7">
        <v>1465</v>
      </c>
      <c r="E63">
        <v>4280</v>
      </c>
      <c r="F63">
        <v>1850</v>
      </c>
      <c r="G63"/>
      <c r="H63"/>
      <c r="I63"/>
    </row>
    <row r="64" spans="1:9" x14ac:dyDescent="0.25">
      <c r="A64" s="5">
        <v>854</v>
      </c>
      <c r="B64" s="6" t="s">
        <v>171</v>
      </c>
      <c r="C64" s="6" t="s">
        <v>497</v>
      </c>
      <c r="D64" s="7">
        <v>905</v>
      </c>
      <c r="E64">
        <v>2650</v>
      </c>
      <c r="F64">
        <v>1170</v>
      </c>
      <c r="G64"/>
      <c r="H64"/>
      <c r="I64"/>
    </row>
    <row r="65" spans="1:9" x14ac:dyDescent="0.25">
      <c r="A65" s="5">
        <v>855</v>
      </c>
      <c r="B65" s="6" t="s">
        <v>171</v>
      </c>
      <c r="C65" s="6" t="s">
        <v>497</v>
      </c>
      <c r="D65" s="7">
        <v>945</v>
      </c>
      <c r="E65">
        <v>2770</v>
      </c>
      <c r="F65">
        <v>1220</v>
      </c>
      <c r="G65"/>
      <c r="H65"/>
      <c r="I65"/>
    </row>
    <row r="66" spans="1:9" x14ac:dyDescent="0.25">
      <c r="A66" s="5">
        <v>856</v>
      </c>
      <c r="B66" s="6" t="s">
        <v>171</v>
      </c>
      <c r="C66" s="6" t="s">
        <v>497</v>
      </c>
      <c r="D66" s="7">
        <v>1335</v>
      </c>
      <c r="E66">
        <v>3900</v>
      </c>
      <c r="F66">
        <v>1700</v>
      </c>
      <c r="G66"/>
      <c r="H66"/>
      <c r="I66"/>
    </row>
    <row r="67" spans="1:9" x14ac:dyDescent="0.25">
      <c r="A67" s="5">
        <v>857</v>
      </c>
      <c r="B67" s="6" t="s">
        <v>171</v>
      </c>
      <c r="C67" s="6" t="s">
        <v>497</v>
      </c>
      <c r="D67" s="7">
        <v>1075</v>
      </c>
      <c r="E67">
        <v>3140</v>
      </c>
      <c r="F67">
        <v>1370</v>
      </c>
      <c r="G67"/>
      <c r="H67"/>
      <c r="I67"/>
    </row>
    <row r="68" spans="1:9" x14ac:dyDescent="0.25">
      <c r="A68" s="5">
        <v>858</v>
      </c>
      <c r="B68" s="6" t="s">
        <v>171</v>
      </c>
      <c r="C68" s="6" t="s">
        <v>497</v>
      </c>
      <c r="D68" s="7">
        <v>1140</v>
      </c>
      <c r="E68">
        <v>3330</v>
      </c>
      <c r="F68">
        <v>1470</v>
      </c>
      <c r="G68"/>
      <c r="H68"/>
      <c r="I68"/>
    </row>
    <row r="69" spans="1:9" x14ac:dyDescent="0.25">
      <c r="A69" s="5">
        <v>859</v>
      </c>
      <c r="B69" s="6" t="s">
        <v>171</v>
      </c>
      <c r="C69" s="6" t="s">
        <v>497</v>
      </c>
      <c r="D69" s="7">
        <v>1040</v>
      </c>
      <c r="E69">
        <v>3050</v>
      </c>
      <c r="F69">
        <v>1350</v>
      </c>
      <c r="G69"/>
      <c r="H69"/>
      <c r="I69"/>
    </row>
    <row r="70" spans="1:9" x14ac:dyDescent="0.25">
      <c r="A70" s="5">
        <v>860</v>
      </c>
      <c r="B70" s="6" t="s">
        <v>171</v>
      </c>
      <c r="C70" s="6" t="s">
        <v>497</v>
      </c>
      <c r="D70" s="7">
        <v>880</v>
      </c>
      <c r="E70">
        <v>2580</v>
      </c>
      <c r="F70">
        <v>1150</v>
      </c>
      <c r="G70"/>
      <c r="H70"/>
      <c r="I70"/>
    </row>
    <row r="71" spans="1:9" x14ac:dyDescent="0.25">
      <c r="A71" s="5">
        <v>861</v>
      </c>
      <c r="B71" s="6" t="s">
        <v>171</v>
      </c>
      <c r="C71" s="6" t="s">
        <v>497</v>
      </c>
      <c r="D71" s="7">
        <v>520</v>
      </c>
      <c r="E71">
        <v>1540</v>
      </c>
      <c r="F71">
        <v>720</v>
      </c>
      <c r="G71"/>
      <c r="H71"/>
      <c r="I71"/>
    </row>
    <row r="72" spans="1:9" x14ac:dyDescent="0.25">
      <c r="A72" s="5">
        <v>862</v>
      </c>
      <c r="B72" s="6" t="s">
        <v>171</v>
      </c>
      <c r="C72" s="6" t="s">
        <v>497</v>
      </c>
      <c r="D72" s="7">
        <v>715</v>
      </c>
      <c r="E72">
        <v>2110</v>
      </c>
      <c r="F72">
        <v>950</v>
      </c>
      <c r="G72"/>
      <c r="H72"/>
      <c r="I72"/>
    </row>
    <row r="73" spans="1:9" x14ac:dyDescent="0.25">
      <c r="A73" s="5">
        <v>866</v>
      </c>
      <c r="B73" s="6" t="s">
        <v>171</v>
      </c>
      <c r="C73" s="6" t="s">
        <v>497</v>
      </c>
      <c r="D73" s="7">
        <v>605</v>
      </c>
      <c r="E73">
        <v>1790</v>
      </c>
      <c r="F73">
        <v>820</v>
      </c>
      <c r="G73"/>
      <c r="H73"/>
      <c r="I73"/>
    </row>
    <row r="74" spans="1:9" x14ac:dyDescent="0.25">
      <c r="A74" s="5">
        <v>868</v>
      </c>
      <c r="B74" s="6" t="s">
        <v>171</v>
      </c>
      <c r="C74" s="6" t="s">
        <v>497</v>
      </c>
      <c r="D74" s="7">
        <v>750</v>
      </c>
      <c r="E74">
        <v>2200</v>
      </c>
      <c r="F74">
        <v>1000</v>
      </c>
      <c r="G74"/>
      <c r="H74"/>
      <c r="I74"/>
    </row>
    <row r="75" spans="1:9" x14ac:dyDescent="0.25">
      <c r="A75" s="5">
        <v>869</v>
      </c>
      <c r="B75" s="6" t="s">
        <v>171</v>
      </c>
      <c r="C75" s="6" t="s">
        <v>497</v>
      </c>
      <c r="D75" s="7">
        <v>1725</v>
      </c>
      <c r="E75">
        <v>5030</v>
      </c>
      <c r="F75">
        <v>2170</v>
      </c>
      <c r="G75"/>
      <c r="H75"/>
      <c r="I75"/>
    </row>
    <row r="76" spans="1:9" x14ac:dyDescent="0.25">
      <c r="A76" s="5">
        <v>870</v>
      </c>
      <c r="B76" s="6" t="s">
        <v>171</v>
      </c>
      <c r="C76" s="6" t="s">
        <v>497</v>
      </c>
      <c r="D76" s="7">
        <v>880</v>
      </c>
      <c r="E76">
        <v>2580</v>
      </c>
      <c r="F76">
        <v>1150</v>
      </c>
      <c r="G76"/>
      <c r="H76"/>
      <c r="I76"/>
    </row>
    <row r="77" spans="1:9" x14ac:dyDescent="0.25">
      <c r="A77" s="5">
        <v>871</v>
      </c>
      <c r="B77" s="6" t="s">
        <v>171</v>
      </c>
      <c r="C77" s="6" t="s">
        <v>497</v>
      </c>
      <c r="D77" s="7">
        <v>715</v>
      </c>
      <c r="E77">
        <v>2110</v>
      </c>
      <c r="F77">
        <v>950</v>
      </c>
      <c r="G77"/>
      <c r="H77"/>
      <c r="I77"/>
    </row>
    <row r="78" spans="1:9" x14ac:dyDescent="0.25">
      <c r="A78" s="5">
        <v>874</v>
      </c>
      <c r="B78" s="6" t="s">
        <v>171</v>
      </c>
      <c r="C78" s="6" t="s">
        <v>497</v>
      </c>
      <c r="D78" s="7">
        <v>815</v>
      </c>
      <c r="E78">
        <v>2390</v>
      </c>
      <c r="F78">
        <v>1070</v>
      </c>
      <c r="G78"/>
      <c r="H78"/>
      <c r="I78"/>
    </row>
    <row r="79" spans="1:9" x14ac:dyDescent="0.25">
      <c r="A79" s="5">
        <v>875</v>
      </c>
      <c r="B79" s="6" t="s">
        <v>171</v>
      </c>
      <c r="C79" s="6" t="s">
        <v>497</v>
      </c>
      <c r="D79" s="7">
        <v>880</v>
      </c>
      <c r="E79">
        <v>2580</v>
      </c>
      <c r="F79">
        <v>1150</v>
      </c>
      <c r="G79"/>
      <c r="H79"/>
      <c r="I79"/>
    </row>
    <row r="80" spans="1:9" x14ac:dyDescent="0.25">
      <c r="A80" s="5">
        <v>876</v>
      </c>
      <c r="B80" s="6" t="s">
        <v>171</v>
      </c>
      <c r="C80" s="6" t="s">
        <v>497</v>
      </c>
      <c r="D80" s="7">
        <v>705</v>
      </c>
      <c r="E80">
        <v>850</v>
      </c>
      <c r="F80">
        <v>950</v>
      </c>
      <c r="G80"/>
      <c r="H80"/>
      <c r="I80"/>
    </row>
    <row r="81" spans="1:9" x14ac:dyDescent="0.25">
      <c r="A81" s="5">
        <v>877</v>
      </c>
      <c r="B81" s="6" t="s">
        <v>171</v>
      </c>
      <c r="C81" s="6" t="s">
        <v>497</v>
      </c>
      <c r="D81" s="7">
        <v>680</v>
      </c>
      <c r="E81">
        <v>1130</v>
      </c>
      <c r="F81">
        <v>900</v>
      </c>
      <c r="G81"/>
      <c r="H81"/>
      <c r="I81"/>
    </row>
    <row r="82" spans="1:9" x14ac:dyDescent="0.25">
      <c r="A82" s="5">
        <v>878</v>
      </c>
      <c r="B82" s="6" t="s">
        <v>171</v>
      </c>
      <c r="C82" s="6" t="s">
        <v>497</v>
      </c>
      <c r="D82" s="7">
        <v>570</v>
      </c>
      <c r="E82">
        <v>850</v>
      </c>
      <c r="F82">
        <v>770</v>
      </c>
      <c r="G82"/>
      <c r="H82"/>
      <c r="I82"/>
    </row>
    <row r="83" spans="1:9" x14ac:dyDescent="0.25">
      <c r="A83" s="5">
        <v>879</v>
      </c>
      <c r="B83" s="6" t="s">
        <v>171</v>
      </c>
      <c r="C83" s="6" t="s">
        <v>497</v>
      </c>
      <c r="D83" s="7">
        <v>495</v>
      </c>
      <c r="E83">
        <v>820</v>
      </c>
      <c r="F83">
        <v>670</v>
      </c>
      <c r="G83"/>
      <c r="H83"/>
      <c r="I83"/>
    </row>
    <row r="84" spans="1:9" x14ac:dyDescent="0.25">
      <c r="A84" s="5">
        <v>883</v>
      </c>
      <c r="B84" s="6" t="s">
        <v>171</v>
      </c>
      <c r="C84" s="6" t="s">
        <v>497</v>
      </c>
      <c r="D84" s="7">
        <v>765</v>
      </c>
      <c r="E84">
        <v>850</v>
      </c>
      <c r="F84">
        <v>1000</v>
      </c>
      <c r="G84"/>
      <c r="H84"/>
      <c r="I84"/>
    </row>
    <row r="85" spans="1:9" x14ac:dyDescent="0.25">
      <c r="A85" s="5">
        <v>885</v>
      </c>
      <c r="B85" s="6" t="s">
        <v>171</v>
      </c>
      <c r="C85" s="6" t="s">
        <v>497</v>
      </c>
      <c r="D85" s="7">
        <v>660</v>
      </c>
      <c r="E85">
        <v>850</v>
      </c>
      <c r="F85">
        <v>870</v>
      </c>
      <c r="G85"/>
      <c r="H85"/>
      <c r="I85"/>
    </row>
    <row r="86" spans="1:9" x14ac:dyDescent="0.25">
      <c r="A86" s="5">
        <v>886</v>
      </c>
      <c r="B86" s="6" t="s">
        <v>171</v>
      </c>
      <c r="C86" s="6" t="s">
        <v>497</v>
      </c>
      <c r="D86" s="7">
        <v>675</v>
      </c>
      <c r="E86">
        <v>850</v>
      </c>
      <c r="F86">
        <v>900</v>
      </c>
      <c r="G86"/>
      <c r="H86"/>
      <c r="I86"/>
    </row>
    <row r="87" spans="1:9" x14ac:dyDescent="0.25">
      <c r="A87" s="5">
        <v>887</v>
      </c>
      <c r="B87" s="6" t="s">
        <v>171</v>
      </c>
      <c r="C87" s="6" t="s">
        <v>497</v>
      </c>
      <c r="D87" s="7">
        <v>1530</v>
      </c>
      <c r="E87">
        <v>4460</v>
      </c>
      <c r="F87">
        <v>1950</v>
      </c>
      <c r="G87"/>
      <c r="H87"/>
      <c r="I87"/>
    </row>
    <row r="88" spans="1:9" x14ac:dyDescent="0.25">
      <c r="A88" s="5">
        <v>890</v>
      </c>
      <c r="B88" s="6" t="s">
        <v>171</v>
      </c>
      <c r="C88" s="6" t="s">
        <v>497</v>
      </c>
      <c r="D88" s="7">
        <v>1790</v>
      </c>
      <c r="E88">
        <v>5220</v>
      </c>
      <c r="F88">
        <v>2250</v>
      </c>
      <c r="G88"/>
      <c r="H88"/>
      <c r="I88"/>
    </row>
    <row r="89" spans="1:9" x14ac:dyDescent="0.25">
      <c r="A89" s="5">
        <v>891</v>
      </c>
      <c r="B89" s="6" t="s">
        <v>171</v>
      </c>
      <c r="C89" s="6" t="s">
        <v>497</v>
      </c>
      <c r="D89" s="7">
        <v>1660</v>
      </c>
      <c r="E89">
        <v>4840</v>
      </c>
      <c r="F89">
        <v>2100</v>
      </c>
      <c r="G89"/>
      <c r="H89"/>
      <c r="I89"/>
    </row>
    <row r="90" spans="1:9" x14ac:dyDescent="0.25">
      <c r="A90" s="5">
        <v>894</v>
      </c>
      <c r="B90" s="6" t="s">
        <v>171</v>
      </c>
      <c r="C90" s="6" t="s">
        <v>497</v>
      </c>
      <c r="D90" s="7">
        <v>750</v>
      </c>
      <c r="E90">
        <v>2200</v>
      </c>
      <c r="F90">
        <v>1000</v>
      </c>
      <c r="G90"/>
      <c r="H90"/>
      <c r="I90"/>
    </row>
    <row r="91" spans="1:9" x14ac:dyDescent="0.25">
      <c r="A91" s="5">
        <v>895</v>
      </c>
      <c r="B91" s="6" t="s">
        <v>171</v>
      </c>
      <c r="C91" s="6" t="s">
        <v>497</v>
      </c>
      <c r="D91" s="7">
        <v>1920</v>
      </c>
      <c r="E91">
        <v>6290</v>
      </c>
      <c r="F91">
        <v>2400</v>
      </c>
      <c r="G91"/>
      <c r="H91"/>
      <c r="I91"/>
    </row>
    <row r="92" spans="1:9" x14ac:dyDescent="0.25">
      <c r="A92" s="5">
        <v>896</v>
      </c>
      <c r="B92" s="6" t="s">
        <v>171</v>
      </c>
      <c r="C92" s="6" t="s">
        <v>497</v>
      </c>
      <c r="D92" s="7">
        <v>2310</v>
      </c>
      <c r="E92">
        <v>7560</v>
      </c>
      <c r="F92">
        <v>3220</v>
      </c>
      <c r="G92"/>
      <c r="H92"/>
      <c r="I92"/>
    </row>
    <row r="93" spans="1:9" x14ac:dyDescent="0.25">
      <c r="A93" s="5">
        <v>897</v>
      </c>
      <c r="B93" s="6" t="s">
        <v>171</v>
      </c>
      <c r="C93" s="6" t="s">
        <v>497</v>
      </c>
      <c r="D93" s="7">
        <v>1335</v>
      </c>
      <c r="E93">
        <v>3900</v>
      </c>
      <c r="F93">
        <v>1700</v>
      </c>
      <c r="G93"/>
      <c r="H93"/>
      <c r="I93"/>
    </row>
    <row r="94" spans="1:9" x14ac:dyDescent="0.25">
      <c r="A94" s="5">
        <v>898</v>
      </c>
      <c r="B94" s="6" t="s">
        <v>171</v>
      </c>
      <c r="C94" s="6" t="s">
        <v>497</v>
      </c>
      <c r="D94" s="7">
        <v>2115</v>
      </c>
      <c r="E94">
        <v>6920</v>
      </c>
      <c r="F94">
        <v>2670</v>
      </c>
      <c r="G94"/>
      <c r="H94"/>
      <c r="I94"/>
    </row>
    <row r="95" spans="1:9" x14ac:dyDescent="0.25">
      <c r="A95" s="5">
        <v>4521</v>
      </c>
      <c r="B95" s="6" t="s">
        <v>171</v>
      </c>
      <c r="C95" s="6" t="s">
        <v>495</v>
      </c>
      <c r="D95" s="7">
        <v>270</v>
      </c>
      <c r="E95">
        <v>900</v>
      </c>
      <c r="F95">
        <v>420</v>
      </c>
      <c r="G95"/>
      <c r="H95"/>
      <c r="I95"/>
    </row>
    <row r="96" spans="1:9" x14ac:dyDescent="0.25">
      <c r="A96" s="5">
        <v>4561</v>
      </c>
      <c r="B96" s="6" t="s">
        <v>171</v>
      </c>
      <c r="C96" s="6" t="s">
        <v>495</v>
      </c>
      <c r="D96" s="7">
        <v>525</v>
      </c>
      <c r="E96">
        <v>1650</v>
      </c>
      <c r="F96">
        <v>750</v>
      </c>
      <c r="G96"/>
      <c r="H96"/>
      <c r="I96"/>
    </row>
    <row r="97" spans="1:9" x14ac:dyDescent="0.25">
      <c r="A97" s="5">
        <v>4562</v>
      </c>
      <c r="B97" s="6" t="s">
        <v>171</v>
      </c>
      <c r="C97" s="6" t="s">
        <v>495</v>
      </c>
      <c r="D97" s="7">
        <v>470</v>
      </c>
      <c r="E97">
        <v>1480</v>
      </c>
      <c r="F97">
        <v>670</v>
      </c>
      <c r="G97"/>
      <c r="H97"/>
      <c r="I97"/>
    </row>
    <row r="98" spans="1:9" x14ac:dyDescent="0.25">
      <c r="A98" s="5">
        <v>4563</v>
      </c>
      <c r="B98" s="6" t="s">
        <v>171</v>
      </c>
      <c r="C98" s="6" t="s">
        <v>495</v>
      </c>
      <c r="D98" s="7">
        <v>640</v>
      </c>
      <c r="E98">
        <v>1990</v>
      </c>
      <c r="F98">
        <v>900</v>
      </c>
      <c r="G98"/>
      <c r="H98"/>
      <c r="I98"/>
    </row>
    <row r="99" spans="1:9" x14ac:dyDescent="0.25">
      <c r="A99" s="5">
        <v>4564</v>
      </c>
      <c r="B99" s="6" t="s">
        <v>171</v>
      </c>
      <c r="C99" s="6" t="s">
        <v>495</v>
      </c>
      <c r="D99" s="7">
        <v>485</v>
      </c>
      <c r="E99">
        <v>1520</v>
      </c>
      <c r="F99">
        <v>700</v>
      </c>
      <c r="G99"/>
      <c r="H99"/>
      <c r="I99"/>
    </row>
    <row r="100" spans="1:9" x14ac:dyDescent="0.25">
      <c r="A100" s="5">
        <v>4565</v>
      </c>
      <c r="B100" s="6" t="s">
        <v>171</v>
      </c>
      <c r="C100" s="6" t="s">
        <v>495</v>
      </c>
      <c r="D100" s="7">
        <v>600</v>
      </c>
      <c r="E100">
        <v>1880</v>
      </c>
      <c r="F100">
        <v>850</v>
      </c>
      <c r="G100"/>
      <c r="H100"/>
      <c r="I100"/>
    </row>
    <row r="101" spans="1:9" x14ac:dyDescent="0.25">
      <c r="A101" s="5">
        <v>4566</v>
      </c>
      <c r="B101" s="6" t="s">
        <v>171</v>
      </c>
      <c r="C101" s="6" t="s">
        <v>495</v>
      </c>
      <c r="D101" s="7">
        <v>635</v>
      </c>
      <c r="E101">
        <v>1970</v>
      </c>
      <c r="F101">
        <v>870</v>
      </c>
      <c r="G101"/>
      <c r="H101"/>
      <c r="I101"/>
    </row>
    <row r="102" spans="1:9" x14ac:dyDescent="0.25">
      <c r="A102" s="5">
        <v>4567</v>
      </c>
      <c r="B102" s="6" t="s">
        <v>171</v>
      </c>
      <c r="C102" s="6" t="s">
        <v>495</v>
      </c>
      <c r="D102" s="7">
        <v>540</v>
      </c>
      <c r="E102">
        <v>1690</v>
      </c>
      <c r="F102">
        <v>770</v>
      </c>
      <c r="G102"/>
      <c r="H102"/>
      <c r="I102"/>
    </row>
    <row r="103" spans="1:9" x14ac:dyDescent="0.25">
      <c r="A103" s="5">
        <v>4568</v>
      </c>
      <c r="B103" s="6" t="s">
        <v>171</v>
      </c>
      <c r="C103" s="6" t="s">
        <v>495</v>
      </c>
      <c r="D103" s="7">
        <v>665</v>
      </c>
      <c r="E103">
        <v>2070</v>
      </c>
      <c r="F103">
        <v>920</v>
      </c>
      <c r="G103"/>
      <c r="H103"/>
      <c r="I103"/>
    </row>
    <row r="104" spans="1:9" x14ac:dyDescent="0.25">
      <c r="A104" s="5">
        <v>4569</v>
      </c>
      <c r="B104" s="6" t="s">
        <v>171</v>
      </c>
      <c r="C104" s="6" t="s">
        <v>495</v>
      </c>
      <c r="D104" s="7">
        <v>820</v>
      </c>
      <c r="E104">
        <v>2540</v>
      </c>
      <c r="F104">
        <v>1120</v>
      </c>
      <c r="G104"/>
      <c r="H104"/>
      <c r="I104"/>
    </row>
    <row r="105" spans="1:9" x14ac:dyDescent="0.25">
      <c r="A105" s="5">
        <v>4570</v>
      </c>
      <c r="B105" s="6" t="s">
        <v>171</v>
      </c>
      <c r="C105" s="6" t="s">
        <v>495</v>
      </c>
      <c r="D105" s="7">
        <v>690</v>
      </c>
      <c r="E105">
        <v>2140</v>
      </c>
      <c r="F105">
        <v>950</v>
      </c>
      <c r="G105"/>
      <c r="H105"/>
      <c r="I105"/>
    </row>
    <row r="106" spans="1:9" x14ac:dyDescent="0.25">
      <c r="A106" s="5">
        <v>4571</v>
      </c>
      <c r="B106" s="6" t="s">
        <v>171</v>
      </c>
      <c r="C106" s="6" t="s">
        <v>495</v>
      </c>
      <c r="D106" s="7">
        <v>750</v>
      </c>
      <c r="E106">
        <v>2330</v>
      </c>
      <c r="F106">
        <v>1020</v>
      </c>
      <c r="G106"/>
      <c r="H106"/>
      <c r="I106"/>
    </row>
    <row r="107" spans="1:9" x14ac:dyDescent="0.25">
      <c r="A107" s="5">
        <v>4573</v>
      </c>
      <c r="B107" s="6" t="s">
        <v>171</v>
      </c>
      <c r="C107" s="6" t="s">
        <v>495</v>
      </c>
      <c r="D107" s="7">
        <v>690</v>
      </c>
      <c r="E107">
        <v>2140</v>
      </c>
      <c r="F107">
        <v>950</v>
      </c>
      <c r="G107"/>
      <c r="H107"/>
      <c r="I107"/>
    </row>
    <row r="108" spans="1:9" x14ac:dyDescent="0.25">
      <c r="A108" s="5">
        <v>4574</v>
      </c>
      <c r="B108" s="6" t="s">
        <v>171</v>
      </c>
      <c r="C108" s="6" t="s">
        <v>495</v>
      </c>
      <c r="D108" s="7">
        <v>510</v>
      </c>
      <c r="E108">
        <v>1600</v>
      </c>
      <c r="F108">
        <v>720</v>
      </c>
      <c r="G108"/>
      <c r="H108"/>
      <c r="I108"/>
    </row>
    <row r="109" spans="1:9" x14ac:dyDescent="0.25">
      <c r="A109" s="5">
        <v>4575</v>
      </c>
      <c r="B109" s="6" t="s">
        <v>171</v>
      </c>
      <c r="C109" s="6" t="s">
        <v>495</v>
      </c>
      <c r="D109" s="7">
        <v>760</v>
      </c>
      <c r="E109">
        <v>2350</v>
      </c>
      <c r="F109">
        <v>1050</v>
      </c>
      <c r="G109"/>
      <c r="H109"/>
      <c r="I109"/>
    </row>
    <row r="110" spans="1:9" x14ac:dyDescent="0.25">
      <c r="A110" s="5">
        <v>4576</v>
      </c>
      <c r="B110" s="6" t="s">
        <v>171</v>
      </c>
      <c r="C110" s="6" t="s">
        <v>495</v>
      </c>
      <c r="D110" s="7">
        <v>820</v>
      </c>
      <c r="E110">
        <v>2540</v>
      </c>
      <c r="F110">
        <v>1120</v>
      </c>
      <c r="G110"/>
      <c r="H110"/>
      <c r="I110"/>
    </row>
    <row r="111" spans="1:9" x14ac:dyDescent="0.25">
      <c r="A111" s="5">
        <v>5001</v>
      </c>
      <c r="B111" s="6" t="s">
        <v>171</v>
      </c>
      <c r="C111" s="6" t="s">
        <v>494</v>
      </c>
      <c r="D111" s="7">
        <v>580</v>
      </c>
      <c r="E111">
        <v>1820</v>
      </c>
      <c r="F111">
        <v>820</v>
      </c>
      <c r="G111"/>
      <c r="H111"/>
      <c r="I111"/>
    </row>
    <row r="112" spans="1:9" x14ac:dyDescent="0.25">
      <c r="A112" s="5">
        <v>5002</v>
      </c>
      <c r="B112" s="6" t="s">
        <v>171</v>
      </c>
      <c r="C112" s="6" t="s">
        <v>494</v>
      </c>
      <c r="D112" s="7">
        <v>255</v>
      </c>
      <c r="E112">
        <v>840</v>
      </c>
      <c r="F112">
        <v>400</v>
      </c>
      <c r="G112"/>
      <c r="H112"/>
      <c r="I112"/>
    </row>
    <row r="113" spans="1:9" x14ac:dyDescent="0.25">
      <c r="A113" s="5">
        <v>5003</v>
      </c>
      <c r="B113" s="6" t="s">
        <v>171</v>
      </c>
      <c r="C113" s="6" t="s">
        <v>494</v>
      </c>
      <c r="D113" s="7">
        <v>315</v>
      </c>
      <c r="E113">
        <v>1010</v>
      </c>
      <c r="F113">
        <v>470</v>
      </c>
      <c r="G113"/>
      <c r="H113"/>
      <c r="I113"/>
    </row>
    <row r="114" spans="1:9" x14ac:dyDescent="0.25">
      <c r="A114" s="5">
        <v>5004</v>
      </c>
      <c r="B114" s="6" t="s">
        <v>171</v>
      </c>
      <c r="C114" s="6" t="s">
        <v>494</v>
      </c>
      <c r="D114" s="7">
        <v>335</v>
      </c>
      <c r="E114">
        <v>1070</v>
      </c>
      <c r="F114">
        <v>500</v>
      </c>
      <c r="G114"/>
      <c r="H114"/>
      <c r="I114"/>
    </row>
    <row r="115" spans="1:9" x14ac:dyDescent="0.25">
      <c r="A115" s="5">
        <v>5006</v>
      </c>
      <c r="B115" s="6" t="s">
        <v>171</v>
      </c>
      <c r="C115" s="6" t="s">
        <v>494</v>
      </c>
      <c r="D115" s="7">
        <v>365</v>
      </c>
      <c r="E115">
        <v>1180</v>
      </c>
      <c r="F115">
        <v>550</v>
      </c>
      <c r="G115"/>
      <c r="H115"/>
      <c r="I115"/>
    </row>
    <row r="116" spans="1:9" x14ac:dyDescent="0.25">
      <c r="A116" s="5">
        <v>5007</v>
      </c>
      <c r="B116" s="6" t="s">
        <v>171</v>
      </c>
      <c r="C116" s="6" t="s">
        <v>494</v>
      </c>
      <c r="D116" s="7">
        <v>330</v>
      </c>
      <c r="E116">
        <v>1070</v>
      </c>
      <c r="F116">
        <v>500</v>
      </c>
      <c r="G116"/>
      <c r="H116"/>
      <c r="I116"/>
    </row>
    <row r="117" spans="1:9" x14ac:dyDescent="0.25">
      <c r="A117" s="5">
        <v>5010</v>
      </c>
      <c r="B117" s="6" t="s">
        <v>171</v>
      </c>
      <c r="C117" s="6" t="s">
        <v>494</v>
      </c>
      <c r="D117" s="7">
        <v>320</v>
      </c>
      <c r="E117">
        <v>1030</v>
      </c>
      <c r="F117">
        <v>500</v>
      </c>
      <c r="G117"/>
      <c r="H117"/>
      <c r="I117"/>
    </row>
    <row r="118" spans="1:9" x14ac:dyDescent="0.25">
      <c r="A118" s="5">
        <v>5011</v>
      </c>
      <c r="B118" s="6" t="s">
        <v>171</v>
      </c>
      <c r="C118" s="6" t="s">
        <v>494</v>
      </c>
      <c r="D118" s="7">
        <v>275</v>
      </c>
      <c r="E118">
        <v>870</v>
      </c>
      <c r="F118">
        <v>420</v>
      </c>
      <c r="G118"/>
      <c r="H118"/>
      <c r="I118"/>
    </row>
    <row r="119" spans="1:9" x14ac:dyDescent="0.25">
      <c r="A119" s="5">
        <v>5012</v>
      </c>
      <c r="B119" s="6" t="s">
        <v>171</v>
      </c>
      <c r="C119" s="6" t="s">
        <v>494</v>
      </c>
      <c r="D119" s="7">
        <v>360</v>
      </c>
      <c r="E119">
        <v>1140</v>
      </c>
      <c r="F119">
        <v>520</v>
      </c>
      <c r="G119"/>
      <c r="H119"/>
      <c r="I119"/>
    </row>
    <row r="120" spans="1:9" x14ac:dyDescent="0.25">
      <c r="A120" s="5">
        <v>5013</v>
      </c>
      <c r="B120" s="6" t="s">
        <v>171</v>
      </c>
      <c r="C120" s="6" t="s">
        <v>494</v>
      </c>
      <c r="D120" s="7">
        <v>285</v>
      </c>
      <c r="E120">
        <v>920</v>
      </c>
      <c r="F120">
        <v>450</v>
      </c>
      <c r="G120"/>
      <c r="H120"/>
      <c r="I120"/>
    </row>
    <row r="121" spans="1:9" x14ac:dyDescent="0.25">
      <c r="A121" s="5">
        <v>5014</v>
      </c>
      <c r="B121" s="6" t="s">
        <v>171</v>
      </c>
      <c r="C121" s="6" t="s">
        <v>494</v>
      </c>
      <c r="D121" s="7">
        <v>310</v>
      </c>
      <c r="E121">
        <v>990</v>
      </c>
      <c r="F121">
        <v>470</v>
      </c>
      <c r="G121"/>
      <c r="H121"/>
      <c r="I121"/>
    </row>
    <row r="122" spans="1:9" x14ac:dyDescent="0.25">
      <c r="A122" s="5">
        <v>5015</v>
      </c>
      <c r="B122" s="6" t="s">
        <v>171</v>
      </c>
      <c r="C122" s="6" t="s">
        <v>494</v>
      </c>
      <c r="D122" s="7">
        <v>360</v>
      </c>
      <c r="E122">
        <v>1140</v>
      </c>
      <c r="F122">
        <v>520</v>
      </c>
      <c r="G122"/>
      <c r="H122"/>
      <c r="I122"/>
    </row>
    <row r="123" spans="1:9" x14ac:dyDescent="0.25">
      <c r="A123" s="5">
        <v>5016</v>
      </c>
      <c r="B123" s="6" t="s">
        <v>171</v>
      </c>
      <c r="C123" s="6" t="s">
        <v>494</v>
      </c>
      <c r="D123" s="7">
        <v>345</v>
      </c>
      <c r="E123">
        <v>1110</v>
      </c>
      <c r="F123">
        <v>520</v>
      </c>
      <c r="G123"/>
      <c r="H123"/>
      <c r="I123"/>
    </row>
    <row r="124" spans="1:9" x14ac:dyDescent="0.25">
      <c r="A124" s="5">
        <v>5017</v>
      </c>
      <c r="B124" s="6" t="s">
        <v>171</v>
      </c>
      <c r="C124" s="6" t="s">
        <v>494</v>
      </c>
      <c r="D124" s="7">
        <v>310</v>
      </c>
      <c r="E124">
        <v>990</v>
      </c>
      <c r="F124">
        <v>470</v>
      </c>
      <c r="G124"/>
      <c r="H124"/>
      <c r="I124"/>
    </row>
    <row r="125" spans="1:9" x14ac:dyDescent="0.25">
      <c r="A125" s="5">
        <v>5018</v>
      </c>
      <c r="B125" s="6" t="s">
        <v>171</v>
      </c>
      <c r="C125" s="6" t="s">
        <v>494</v>
      </c>
      <c r="D125" s="7">
        <v>360</v>
      </c>
      <c r="E125">
        <v>1140</v>
      </c>
      <c r="F125">
        <v>520</v>
      </c>
      <c r="G125"/>
      <c r="H125"/>
      <c r="I125"/>
    </row>
    <row r="126" spans="1:9" x14ac:dyDescent="0.25">
      <c r="A126" s="5">
        <v>5019</v>
      </c>
      <c r="B126" s="6" t="s">
        <v>171</v>
      </c>
      <c r="C126" s="6" t="s">
        <v>494</v>
      </c>
      <c r="D126" s="7">
        <v>310</v>
      </c>
      <c r="E126">
        <v>990</v>
      </c>
      <c r="F126">
        <v>470</v>
      </c>
      <c r="G126"/>
      <c r="H126"/>
      <c r="I126"/>
    </row>
    <row r="127" spans="1:9" x14ac:dyDescent="0.25">
      <c r="A127" s="5">
        <v>5020</v>
      </c>
      <c r="B127" s="6" t="s">
        <v>171</v>
      </c>
      <c r="C127" s="6" t="s">
        <v>494</v>
      </c>
      <c r="D127" s="7">
        <v>310</v>
      </c>
      <c r="E127">
        <v>990</v>
      </c>
      <c r="F127">
        <v>470</v>
      </c>
      <c r="G127"/>
      <c r="H127"/>
      <c r="I127"/>
    </row>
    <row r="128" spans="1:9" x14ac:dyDescent="0.25">
      <c r="A128" s="5">
        <v>5021</v>
      </c>
      <c r="B128" s="6" t="s">
        <v>171</v>
      </c>
      <c r="C128" s="6" t="s">
        <v>494</v>
      </c>
      <c r="D128" s="7">
        <v>345</v>
      </c>
      <c r="E128">
        <v>840</v>
      </c>
      <c r="F128">
        <v>520</v>
      </c>
      <c r="G128"/>
      <c r="H128"/>
      <c r="I128"/>
    </row>
    <row r="129" spans="1:9" x14ac:dyDescent="0.25">
      <c r="A129" s="5">
        <v>5022</v>
      </c>
      <c r="B129" s="6" t="s">
        <v>171</v>
      </c>
      <c r="C129" s="6" t="s">
        <v>494</v>
      </c>
      <c r="D129" s="7">
        <v>395</v>
      </c>
      <c r="E129">
        <v>1260</v>
      </c>
      <c r="F129">
        <v>570</v>
      </c>
      <c r="G129"/>
      <c r="H129"/>
      <c r="I129"/>
    </row>
    <row r="130" spans="1:9" x14ac:dyDescent="0.25">
      <c r="A130" s="5">
        <v>5023</v>
      </c>
      <c r="B130" s="6" t="s">
        <v>171</v>
      </c>
      <c r="C130" s="6" t="s">
        <v>494</v>
      </c>
      <c r="D130" s="7">
        <v>310</v>
      </c>
      <c r="E130">
        <v>990</v>
      </c>
      <c r="F130">
        <v>470</v>
      </c>
      <c r="G130"/>
      <c r="H130"/>
      <c r="I130"/>
    </row>
    <row r="131" spans="1:9" x14ac:dyDescent="0.25">
      <c r="A131" s="5">
        <v>5024</v>
      </c>
      <c r="B131" s="6" t="s">
        <v>171</v>
      </c>
      <c r="C131" s="6" t="s">
        <v>494</v>
      </c>
      <c r="D131" s="7">
        <v>310</v>
      </c>
      <c r="E131">
        <v>990</v>
      </c>
      <c r="F131">
        <v>470</v>
      </c>
      <c r="G131"/>
      <c r="H131"/>
      <c r="I131"/>
    </row>
    <row r="132" spans="1:9" x14ac:dyDescent="0.25">
      <c r="A132" s="5">
        <v>5025</v>
      </c>
      <c r="B132" s="6" t="s">
        <v>171</v>
      </c>
      <c r="C132" s="6" t="s">
        <v>494</v>
      </c>
      <c r="D132" s="7">
        <v>310</v>
      </c>
      <c r="E132">
        <v>990</v>
      </c>
      <c r="F132">
        <v>470</v>
      </c>
      <c r="G132"/>
      <c r="H132"/>
      <c r="I132"/>
    </row>
    <row r="133" spans="1:9" x14ac:dyDescent="0.25">
      <c r="A133" s="5">
        <v>5026</v>
      </c>
      <c r="B133" s="6" t="s">
        <v>171</v>
      </c>
      <c r="C133" s="6" t="s">
        <v>494</v>
      </c>
      <c r="D133" s="7">
        <v>310</v>
      </c>
      <c r="E133">
        <v>990</v>
      </c>
      <c r="F133">
        <v>470</v>
      </c>
      <c r="G133"/>
      <c r="H133"/>
      <c r="I133"/>
    </row>
    <row r="134" spans="1:9" x14ac:dyDescent="0.25">
      <c r="A134" s="5">
        <v>5027</v>
      </c>
      <c r="B134" s="6" t="s">
        <v>171</v>
      </c>
      <c r="C134" s="6" t="s">
        <v>494</v>
      </c>
      <c r="D134" s="7">
        <v>310</v>
      </c>
      <c r="E134">
        <v>990</v>
      </c>
      <c r="F134">
        <v>470</v>
      </c>
      <c r="G134"/>
      <c r="H134"/>
      <c r="I134"/>
    </row>
    <row r="135" spans="1:9" x14ac:dyDescent="0.25">
      <c r="A135" s="5">
        <v>5051</v>
      </c>
      <c r="B135" s="6" t="s">
        <v>171</v>
      </c>
      <c r="C135" s="6" t="s">
        <v>494</v>
      </c>
      <c r="D135" s="7">
        <v>235</v>
      </c>
      <c r="E135">
        <v>690</v>
      </c>
      <c r="F135">
        <v>370</v>
      </c>
      <c r="G135"/>
      <c r="H135"/>
      <c r="I135"/>
    </row>
    <row r="136" spans="1:9" x14ac:dyDescent="0.25">
      <c r="A136" s="5">
        <v>5081</v>
      </c>
      <c r="B136" s="6" t="s">
        <v>171</v>
      </c>
      <c r="C136" s="6" t="s">
        <v>494</v>
      </c>
      <c r="D136" s="7">
        <v>265</v>
      </c>
      <c r="E136">
        <v>710</v>
      </c>
      <c r="F136">
        <v>420</v>
      </c>
      <c r="G136"/>
      <c r="H136"/>
      <c r="I136"/>
    </row>
    <row r="137" spans="1:9" x14ac:dyDescent="0.25">
      <c r="A137" s="5">
        <v>5082</v>
      </c>
      <c r="B137" s="6" t="s">
        <v>171</v>
      </c>
      <c r="C137" s="6" t="s">
        <v>494</v>
      </c>
      <c r="D137" s="7">
        <v>485</v>
      </c>
      <c r="E137">
        <v>750</v>
      </c>
      <c r="F137">
        <v>700</v>
      </c>
      <c r="G137"/>
      <c r="H137"/>
      <c r="I137"/>
    </row>
    <row r="138" spans="1:9" x14ac:dyDescent="0.25">
      <c r="A138" s="5">
        <v>5083</v>
      </c>
      <c r="B138" s="6" t="s">
        <v>171</v>
      </c>
      <c r="C138" s="6" t="s">
        <v>494</v>
      </c>
      <c r="D138" s="7">
        <v>350</v>
      </c>
      <c r="E138">
        <v>750</v>
      </c>
      <c r="F138">
        <v>520</v>
      </c>
      <c r="G138"/>
      <c r="H138"/>
      <c r="I138"/>
    </row>
    <row r="139" spans="1:9" x14ac:dyDescent="0.25">
      <c r="A139" s="5">
        <v>5085</v>
      </c>
      <c r="B139" s="6" t="s">
        <v>171</v>
      </c>
      <c r="C139" s="6" t="s">
        <v>494</v>
      </c>
      <c r="D139" s="7">
        <v>320</v>
      </c>
      <c r="E139">
        <v>750</v>
      </c>
      <c r="F139">
        <v>500</v>
      </c>
      <c r="G139"/>
      <c r="H139"/>
      <c r="I139"/>
    </row>
    <row r="140" spans="1:9" x14ac:dyDescent="0.25">
      <c r="A140" s="5">
        <v>5086</v>
      </c>
      <c r="B140" s="6" t="s">
        <v>171</v>
      </c>
      <c r="C140" s="6" t="s">
        <v>494</v>
      </c>
      <c r="D140" s="7">
        <v>385</v>
      </c>
      <c r="E140">
        <v>750</v>
      </c>
      <c r="F140">
        <v>570</v>
      </c>
      <c r="G140"/>
      <c r="H140"/>
      <c r="I140"/>
    </row>
    <row r="141" spans="1:9" x14ac:dyDescent="0.25">
      <c r="A141" s="5">
        <v>5087</v>
      </c>
      <c r="B141" s="6" t="s">
        <v>171</v>
      </c>
      <c r="C141" s="6" t="s">
        <v>494</v>
      </c>
      <c r="D141" s="7">
        <v>415</v>
      </c>
      <c r="E141">
        <v>750</v>
      </c>
      <c r="F141">
        <v>600</v>
      </c>
      <c r="G141"/>
      <c r="H141"/>
      <c r="I141"/>
    </row>
    <row r="142" spans="1:9" x14ac:dyDescent="0.25">
      <c r="A142" s="5">
        <v>5088</v>
      </c>
      <c r="B142" s="6" t="s">
        <v>171</v>
      </c>
      <c r="C142" s="6" t="s">
        <v>494</v>
      </c>
      <c r="D142" s="7">
        <v>375</v>
      </c>
      <c r="E142">
        <v>750</v>
      </c>
      <c r="F142">
        <v>550</v>
      </c>
      <c r="G142"/>
      <c r="H142"/>
      <c r="I142"/>
    </row>
    <row r="143" spans="1:9" x14ac:dyDescent="0.25">
      <c r="A143" s="5">
        <v>5089</v>
      </c>
      <c r="B143" s="6" t="s">
        <v>171</v>
      </c>
      <c r="C143" s="6" t="s">
        <v>494</v>
      </c>
      <c r="D143" s="7">
        <v>240</v>
      </c>
      <c r="E143">
        <v>710</v>
      </c>
      <c r="F143">
        <v>370</v>
      </c>
      <c r="G143"/>
      <c r="H143"/>
      <c r="I143"/>
    </row>
    <row r="144" spans="1:9" x14ac:dyDescent="0.25">
      <c r="A144" s="5">
        <v>5090</v>
      </c>
      <c r="B144" s="6" t="s">
        <v>171</v>
      </c>
      <c r="C144" s="6" t="s">
        <v>494</v>
      </c>
      <c r="D144" s="7">
        <v>325</v>
      </c>
      <c r="E144">
        <v>750</v>
      </c>
      <c r="F144">
        <v>500</v>
      </c>
      <c r="G144"/>
      <c r="H144"/>
      <c r="I144"/>
    </row>
    <row r="145" spans="1:9" x14ac:dyDescent="0.25">
      <c r="A145" s="5">
        <v>5091</v>
      </c>
      <c r="B145" s="6" t="s">
        <v>171</v>
      </c>
      <c r="C145" s="6" t="s">
        <v>494</v>
      </c>
      <c r="D145" s="7">
        <v>360</v>
      </c>
      <c r="E145">
        <v>710</v>
      </c>
      <c r="F145">
        <v>520</v>
      </c>
      <c r="G145"/>
      <c r="H145"/>
      <c r="I145"/>
    </row>
    <row r="146" spans="1:9" x14ac:dyDescent="0.25">
      <c r="A146" s="5">
        <v>5092</v>
      </c>
      <c r="B146" s="6" t="s">
        <v>171</v>
      </c>
      <c r="C146" s="6" t="s">
        <v>494</v>
      </c>
      <c r="D146" s="7">
        <v>365</v>
      </c>
      <c r="E146">
        <v>970</v>
      </c>
      <c r="F146">
        <v>550</v>
      </c>
      <c r="G146"/>
      <c r="H146"/>
      <c r="I146"/>
    </row>
    <row r="147" spans="1:9" x14ac:dyDescent="0.25">
      <c r="A147" s="5">
        <v>5093</v>
      </c>
      <c r="B147" s="6" t="s">
        <v>171</v>
      </c>
      <c r="C147" s="6" t="s">
        <v>494</v>
      </c>
      <c r="D147" s="7">
        <v>290</v>
      </c>
      <c r="E147">
        <v>750</v>
      </c>
      <c r="F147">
        <v>450</v>
      </c>
      <c r="G147"/>
      <c r="H147"/>
      <c r="I147"/>
    </row>
    <row r="148" spans="1:9" x14ac:dyDescent="0.25">
      <c r="A148" s="5">
        <v>5094</v>
      </c>
      <c r="B148" s="6" t="s">
        <v>171</v>
      </c>
      <c r="C148" s="6" t="s">
        <v>494</v>
      </c>
      <c r="D148" s="7">
        <v>445</v>
      </c>
      <c r="E148">
        <v>750</v>
      </c>
      <c r="F148">
        <v>650</v>
      </c>
      <c r="G148"/>
      <c r="H148"/>
      <c r="I148"/>
    </row>
    <row r="149" spans="1:9" x14ac:dyDescent="0.25">
      <c r="A149" s="5">
        <v>5101</v>
      </c>
      <c r="B149" s="6" t="s">
        <v>171</v>
      </c>
      <c r="C149" s="6" t="s">
        <v>494</v>
      </c>
      <c r="D149" s="7">
        <v>315</v>
      </c>
      <c r="E149">
        <v>1010</v>
      </c>
      <c r="F149">
        <v>470</v>
      </c>
      <c r="G149"/>
      <c r="H149"/>
      <c r="I149"/>
    </row>
    <row r="150" spans="1:9" x14ac:dyDescent="0.25">
      <c r="A150" s="5">
        <v>5102</v>
      </c>
      <c r="B150" s="6" t="s">
        <v>171</v>
      </c>
      <c r="C150" s="6" t="s">
        <v>494</v>
      </c>
      <c r="D150" s="7">
        <v>315</v>
      </c>
      <c r="E150">
        <v>1010</v>
      </c>
      <c r="F150">
        <v>470</v>
      </c>
      <c r="G150"/>
      <c r="H150"/>
      <c r="I150"/>
    </row>
    <row r="151" spans="1:9" x14ac:dyDescent="0.25">
      <c r="A151" s="5">
        <v>5103</v>
      </c>
      <c r="B151" s="6" t="s">
        <v>171</v>
      </c>
      <c r="C151" s="6" t="s">
        <v>494</v>
      </c>
      <c r="D151" s="7">
        <v>310</v>
      </c>
      <c r="E151">
        <v>990</v>
      </c>
      <c r="F151">
        <v>470</v>
      </c>
      <c r="G151"/>
      <c r="H151"/>
      <c r="I151"/>
    </row>
    <row r="152" spans="1:9" x14ac:dyDescent="0.25">
      <c r="A152" s="5">
        <v>5201</v>
      </c>
      <c r="B152" s="6" t="s">
        <v>501</v>
      </c>
      <c r="C152" s="6" t="s">
        <v>494</v>
      </c>
      <c r="D152" s="7">
        <v>280</v>
      </c>
      <c r="E152">
        <v>920</v>
      </c>
      <c r="F152">
        <v>420</v>
      </c>
      <c r="G152"/>
      <c r="H152"/>
      <c r="I152"/>
    </row>
    <row r="153" spans="1:9" x14ac:dyDescent="0.25">
      <c r="A153" s="5">
        <v>5221</v>
      </c>
      <c r="B153" s="6" t="s">
        <v>171</v>
      </c>
      <c r="C153" s="6" t="s">
        <v>494</v>
      </c>
      <c r="D153" s="7">
        <v>500</v>
      </c>
      <c r="E153">
        <v>1540</v>
      </c>
      <c r="F153">
        <v>720</v>
      </c>
      <c r="G153"/>
      <c r="H153"/>
      <c r="I153"/>
    </row>
    <row r="154" spans="1:9" x14ac:dyDescent="0.25">
      <c r="A154" s="5">
        <v>5222</v>
      </c>
      <c r="B154" s="6" t="s">
        <v>171</v>
      </c>
      <c r="C154" s="6" t="s">
        <v>494</v>
      </c>
      <c r="D154" s="7">
        <v>330</v>
      </c>
      <c r="E154">
        <v>1070</v>
      </c>
      <c r="F154">
        <v>500</v>
      </c>
      <c r="G154"/>
      <c r="H154"/>
      <c r="I154"/>
    </row>
    <row r="155" spans="1:9" x14ac:dyDescent="0.25">
      <c r="A155" s="5">
        <v>5223</v>
      </c>
      <c r="B155" s="6" t="s">
        <v>171</v>
      </c>
      <c r="C155" s="6" t="s">
        <v>494</v>
      </c>
      <c r="D155" s="7">
        <v>400</v>
      </c>
      <c r="E155">
        <v>1280</v>
      </c>
      <c r="F155">
        <v>570</v>
      </c>
      <c r="G155"/>
      <c r="H155"/>
      <c r="I155"/>
    </row>
    <row r="156" spans="1:9" x14ac:dyDescent="0.25">
      <c r="A156" s="5">
        <v>5224</v>
      </c>
      <c r="B156" s="6" t="s">
        <v>171</v>
      </c>
      <c r="C156" s="6" t="s">
        <v>494</v>
      </c>
      <c r="D156" s="7">
        <v>290</v>
      </c>
      <c r="E156">
        <v>960</v>
      </c>
      <c r="F156">
        <v>450</v>
      </c>
      <c r="G156"/>
      <c r="H156"/>
      <c r="I156"/>
    </row>
    <row r="157" spans="1:9" x14ac:dyDescent="0.25">
      <c r="A157" s="5">
        <v>5225</v>
      </c>
      <c r="B157" s="6" t="s">
        <v>171</v>
      </c>
      <c r="C157" s="6" t="s">
        <v>494</v>
      </c>
      <c r="D157" s="7">
        <v>330</v>
      </c>
      <c r="E157">
        <v>1070</v>
      </c>
      <c r="F157">
        <v>500</v>
      </c>
      <c r="G157"/>
      <c r="H157"/>
      <c r="I157"/>
    </row>
    <row r="158" spans="1:9" x14ac:dyDescent="0.25">
      <c r="A158" s="5">
        <v>5226</v>
      </c>
      <c r="B158" s="6" t="s">
        <v>171</v>
      </c>
      <c r="C158" s="6" t="s">
        <v>494</v>
      </c>
      <c r="D158" s="7">
        <v>510</v>
      </c>
      <c r="E158">
        <v>1620</v>
      </c>
      <c r="F158">
        <v>720</v>
      </c>
      <c r="G158"/>
      <c r="H158"/>
      <c r="I158"/>
    </row>
    <row r="159" spans="1:9" x14ac:dyDescent="0.25">
      <c r="A159" s="5">
        <v>5227</v>
      </c>
      <c r="B159" s="6" t="s">
        <v>171</v>
      </c>
      <c r="C159" s="6" t="s">
        <v>494</v>
      </c>
      <c r="D159" s="7">
        <v>475</v>
      </c>
      <c r="E159">
        <v>1500</v>
      </c>
      <c r="F159">
        <v>670</v>
      </c>
      <c r="G159"/>
      <c r="H159"/>
      <c r="I159"/>
    </row>
    <row r="160" spans="1:9" x14ac:dyDescent="0.25">
      <c r="A160" s="5">
        <v>5228</v>
      </c>
      <c r="B160" s="6" t="s">
        <v>171</v>
      </c>
      <c r="C160" s="6" t="s">
        <v>494</v>
      </c>
      <c r="D160" s="7">
        <v>535</v>
      </c>
      <c r="E160">
        <v>1690</v>
      </c>
      <c r="F160">
        <v>750</v>
      </c>
      <c r="G160"/>
      <c r="H160"/>
      <c r="I160"/>
    </row>
    <row r="161" spans="1:9" x14ac:dyDescent="0.25">
      <c r="A161" s="5">
        <v>5229</v>
      </c>
      <c r="B161" s="6" t="s">
        <v>171</v>
      </c>
      <c r="C161" s="6" t="s">
        <v>494</v>
      </c>
      <c r="D161" s="7">
        <v>535</v>
      </c>
      <c r="E161">
        <v>1690</v>
      </c>
      <c r="F161">
        <v>750</v>
      </c>
      <c r="G161"/>
      <c r="H161"/>
      <c r="I161"/>
    </row>
    <row r="162" spans="1:9" x14ac:dyDescent="0.25">
      <c r="A162" s="5">
        <v>5230</v>
      </c>
      <c r="B162" s="6" t="s">
        <v>171</v>
      </c>
      <c r="C162" s="6" t="s">
        <v>494</v>
      </c>
      <c r="D162" s="7">
        <v>510</v>
      </c>
      <c r="E162">
        <v>1620</v>
      </c>
      <c r="F162">
        <v>720</v>
      </c>
      <c r="G162"/>
      <c r="H162"/>
      <c r="I162"/>
    </row>
    <row r="163" spans="1:9" x14ac:dyDescent="0.25">
      <c r="A163" s="5">
        <v>5231</v>
      </c>
      <c r="B163" s="6" t="s">
        <v>171</v>
      </c>
      <c r="C163" s="6" t="s">
        <v>494</v>
      </c>
      <c r="D163" s="7">
        <v>525</v>
      </c>
      <c r="E163">
        <v>1650</v>
      </c>
      <c r="F163">
        <v>750</v>
      </c>
      <c r="G163"/>
      <c r="H163"/>
      <c r="I163"/>
    </row>
    <row r="164" spans="1:9" x14ac:dyDescent="0.25">
      <c r="A164" s="5">
        <v>5232</v>
      </c>
      <c r="B164" s="6" t="s">
        <v>171</v>
      </c>
      <c r="C164" s="6" t="s">
        <v>494</v>
      </c>
      <c r="D164" s="7">
        <v>675</v>
      </c>
      <c r="E164">
        <v>2110</v>
      </c>
      <c r="F164">
        <v>920</v>
      </c>
      <c r="G164"/>
      <c r="H164"/>
      <c r="I164"/>
    </row>
    <row r="165" spans="1:9" x14ac:dyDescent="0.25">
      <c r="A165" s="5">
        <v>5233</v>
      </c>
      <c r="B165" s="6" t="s">
        <v>171</v>
      </c>
      <c r="C165" s="6" t="s">
        <v>494</v>
      </c>
      <c r="D165" s="7">
        <v>730</v>
      </c>
      <c r="E165">
        <v>2280</v>
      </c>
      <c r="F165">
        <v>1000</v>
      </c>
      <c r="G165"/>
      <c r="H165"/>
      <c r="I165"/>
    </row>
    <row r="166" spans="1:9" x14ac:dyDescent="0.25">
      <c r="A166" s="5">
        <v>5234</v>
      </c>
      <c r="B166" s="6" t="s">
        <v>171</v>
      </c>
      <c r="C166" s="6" t="s">
        <v>494</v>
      </c>
      <c r="D166" s="7">
        <v>715</v>
      </c>
      <c r="E166">
        <v>2140</v>
      </c>
      <c r="F166">
        <v>950</v>
      </c>
      <c r="G166"/>
      <c r="H166"/>
      <c r="I166"/>
    </row>
    <row r="167" spans="1:9" x14ac:dyDescent="0.25">
      <c r="A167" s="5">
        <v>5235</v>
      </c>
      <c r="B167" s="6" t="s">
        <v>171</v>
      </c>
      <c r="C167" s="6" t="s">
        <v>494</v>
      </c>
      <c r="D167" s="7">
        <v>160</v>
      </c>
      <c r="E167">
        <v>560</v>
      </c>
      <c r="F167">
        <v>300</v>
      </c>
      <c r="G167"/>
      <c r="H167"/>
      <c r="I167"/>
    </row>
    <row r="168" spans="1:9" x14ac:dyDescent="0.25">
      <c r="A168" s="5">
        <v>5236</v>
      </c>
      <c r="B168" s="6" t="s">
        <v>171</v>
      </c>
      <c r="C168" s="6" t="s">
        <v>494</v>
      </c>
      <c r="D168" s="7">
        <v>245</v>
      </c>
      <c r="E168">
        <v>800</v>
      </c>
      <c r="F168">
        <v>400</v>
      </c>
      <c r="G168"/>
      <c r="H168"/>
      <c r="I168"/>
    </row>
    <row r="169" spans="1:9" x14ac:dyDescent="0.25">
      <c r="A169" s="5">
        <v>5237</v>
      </c>
      <c r="B169" s="6" t="s">
        <v>171</v>
      </c>
      <c r="C169" s="6" t="s">
        <v>494</v>
      </c>
      <c r="D169" s="7">
        <v>265</v>
      </c>
      <c r="E169">
        <v>860</v>
      </c>
      <c r="F169">
        <v>420</v>
      </c>
      <c r="G169"/>
      <c r="H169"/>
      <c r="I169"/>
    </row>
    <row r="170" spans="1:9" x14ac:dyDescent="0.25">
      <c r="A170" s="5">
        <v>5238</v>
      </c>
      <c r="B170" s="6" t="s">
        <v>171</v>
      </c>
      <c r="C170" s="6" t="s">
        <v>494</v>
      </c>
      <c r="D170" s="7">
        <v>215</v>
      </c>
      <c r="E170">
        <v>710</v>
      </c>
      <c r="F170">
        <v>350</v>
      </c>
      <c r="G170"/>
      <c r="H170"/>
      <c r="I170"/>
    </row>
    <row r="171" spans="1:9" x14ac:dyDescent="0.25">
      <c r="A171" s="5">
        <v>5239</v>
      </c>
      <c r="B171" s="6" t="s">
        <v>171</v>
      </c>
      <c r="C171" s="6" t="s">
        <v>494</v>
      </c>
      <c r="D171" s="7">
        <v>250</v>
      </c>
      <c r="E171">
        <v>820</v>
      </c>
      <c r="F171">
        <v>400</v>
      </c>
      <c r="G171"/>
      <c r="H171"/>
      <c r="I171"/>
    </row>
    <row r="172" spans="1:9" x14ac:dyDescent="0.25">
      <c r="A172" s="5">
        <v>5241</v>
      </c>
      <c r="B172" s="6" t="s">
        <v>171</v>
      </c>
      <c r="C172" s="6" t="s">
        <v>494</v>
      </c>
      <c r="D172" s="7">
        <v>450</v>
      </c>
      <c r="E172">
        <v>1430</v>
      </c>
      <c r="F172">
        <v>650</v>
      </c>
      <c r="G172"/>
      <c r="H172"/>
      <c r="I172"/>
    </row>
    <row r="173" spans="1:9" x14ac:dyDescent="0.25">
      <c r="A173" s="5">
        <v>5242</v>
      </c>
      <c r="B173" s="6" t="s">
        <v>171</v>
      </c>
      <c r="C173" s="6" t="s">
        <v>494</v>
      </c>
      <c r="D173" s="7">
        <v>450</v>
      </c>
      <c r="E173">
        <v>1430</v>
      </c>
      <c r="F173">
        <v>650</v>
      </c>
      <c r="G173"/>
      <c r="H173"/>
      <c r="I173"/>
    </row>
    <row r="174" spans="1:9" x14ac:dyDescent="0.25">
      <c r="A174" s="5">
        <v>5243</v>
      </c>
      <c r="B174" s="6" t="s">
        <v>171</v>
      </c>
      <c r="C174" s="6" t="s">
        <v>494</v>
      </c>
      <c r="D174" s="7">
        <v>450</v>
      </c>
      <c r="E174">
        <v>1430</v>
      </c>
      <c r="F174">
        <v>650</v>
      </c>
      <c r="G174"/>
      <c r="H174"/>
      <c r="I174"/>
    </row>
    <row r="175" spans="1:9" x14ac:dyDescent="0.25">
      <c r="A175" s="5">
        <v>5244</v>
      </c>
      <c r="B175" s="6" t="s">
        <v>171</v>
      </c>
      <c r="C175" s="6" t="s">
        <v>494</v>
      </c>
      <c r="D175" s="7">
        <v>575</v>
      </c>
      <c r="E175">
        <v>1800</v>
      </c>
      <c r="F175">
        <v>800</v>
      </c>
      <c r="G175"/>
      <c r="H175"/>
      <c r="I175"/>
    </row>
    <row r="176" spans="1:9" x14ac:dyDescent="0.25">
      <c r="A176" s="5">
        <v>5302</v>
      </c>
      <c r="B176" s="6" t="s">
        <v>171</v>
      </c>
      <c r="C176" s="6" t="s">
        <v>494</v>
      </c>
      <c r="D176" s="7">
        <v>240</v>
      </c>
      <c r="E176">
        <v>690</v>
      </c>
      <c r="F176">
        <v>400</v>
      </c>
      <c r="G176"/>
      <c r="H176"/>
      <c r="I176"/>
    </row>
    <row r="177" spans="1:9" x14ac:dyDescent="0.25">
      <c r="A177" s="5">
        <v>5303</v>
      </c>
      <c r="B177" s="6" t="s">
        <v>171</v>
      </c>
      <c r="C177" s="6" t="s">
        <v>494</v>
      </c>
      <c r="D177" s="7">
        <v>265</v>
      </c>
      <c r="E177">
        <v>690</v>
      </c>
      <c r="F177">
        <v>420</v>
      </c>
      <c r="G177"/>
      <c r="H177"/>
      <c r="I177"/>
    </row>
    <row r="178" spans="1:9" x14ac:dyDescent="0.25">
      <c r="A178" s="5">
        <v>5541</v>
      </c>
      <c r="B178" s="6" t="s">
        <v>171</v>
      </c>
      <c r="C178" s="6" t="s">
        <v>494</v>
      </c>
      <c r="D178" s="7">
        <v>260</v>
      </c>
      <c r="E178">
        <v>860</v>
      </c>
      <c r="F178">
        <v>420</v>
      </c>
      <c r="G178"/>
      <c r="H178"/>
      <c r="I178"/>
    </row>
    <row r="179" spans="1:9" x14ac:dyDescent="0.25">
      <c r="A179" s="5">
        <v>5581</v>
      </c>
      <c r="B179" s="6" t="s">
        <v>171</v>
      </c>
      <c r="C179" s="6" t="s">
        <v>494</v>
      </c>
      <c r="D179" s="7">
        <v>615</v>
      </c>
      <c r="E179">
        <v>750</v>
      </c>
      <c r="F179">
        <v>850</v>
      </c>
      <c r="G179"/>
      <c r="H179"/>
      <c r="I179"/>
    </row>
    <row r="180" spans="1:9" x14ac:dyDescent="0.25">
      <c r="A180" s="5">
        <v>5582</v>
      </c>
      <c r="B180" s="6" t="s">
        <v>171</v>
      </c>
      <c r="C180" s="6" t="s">
        <v>494</v>
      </c>
      <c r="D180" s="7">
        <v>660</v>
      </c>
      <c r="E180">
        <v>750</v>
      </c>
      <c r="F180">
        <v>920</v>
      </c>
      <c r="G180"/>
      <c r="H180"/>
      <c r="I180"/>
    </row>
    <row r="181" spans="1:9" x14ac:dyDescent="0.25">
      <c r="A181" s="5">
        <v>5583</v>
      </c>
      <c r="B181" s="6" t="s">
        <v>171</v>
      </c>
      <c r="C181" s="6" t="s">
        <v>494</v>
      </c>
      <c r="D181" s="7">
        <v>595</v>
      </c>
      <c r="E181">
        <v>750</v>
      </c>
      <c r="F181">
        <v>820</v>
      </c>
      <c r="G181"/>
      <c r="H181"/>
      <c r="I181"/>
    </row>
    <row r="182" spans="1:9" x14ac:dyDescent="0.25">
      <c r="A182" s="5">
        <v>5584</v>
      </c>
      <c r="B182" s="6" t="s">
        <v>171</v>
      </c>
      <c r="C182" s="6" t="s">
        <v>494</v>
      </c>
      <c r="D182" s="7">
        <v>470</v>
      </c>
      <c r="E182">
        <v>750</v>
      </c>
      <c r="F182">
        <v>670</v>
      </c>
      <c r="G182"/>
      <c r="H182"/>
      <c r="I182"/>
    </row>
    <row r="183" spans="1:9" x14ac:dyDescent="0.25">
      <c r="A183" s="5">
        <v>5585</v>
      </c>
      <c r="B183" s="6" t="s">
        <v>171</v>
      </c>
      <c r="C183" s="6" t="s">
        <v>494</v>
      </c>
      <c r="D183" s="7">
        <v>470</v>
      </c>
      <c r="E183">
        <v>750</v>
      </c>
      <c r="F183">
        <v>670</v>
      </c>
      <c r="G183"/>
      <c r="H183"/>
      <c r="I183"/>
    </row>
    <row r="184" spans="1:9" x14ac:dyDescent="0.25">
      <c r="A184" s="5">
        <v>5586</v>
      </c>
      <c r="B184" s="6" t="s">
        <v>171</v>
      </c>
      <c r="C184" s="6" t="s">
        <v>494</v>
      </c>
      <c r="D184" s="7">
        <v>500</v>
      </c>
      <c r="E184">
        <v>750</v>
      </c>
      <c r="F184">
        <v>720</v>
      </c>
      <c r="G184"/>
      <c r="H184"/>
      <c r="I184"/>
    </row>
    <row r="185" spans="1:9" x14ac:dyDescent="0.25">
      <c r="A185" s="5">
        <v>5587</v>
      </c>
      <c r="B185" s="6" t="s">
        <v>171</v>
      </c>
      <c r="C185" s="6" t="s">
        <v>494</v>
      </c>
      <c r="D185" s="7">
        <v>525</v>
      </c>
      <c r="E185">
        <v>750</v>
      </c>
      <c r="F185">
        <v>750</v>
      </c>
      <c r="G185"/>
      <c r="H185"/>
      <c r="I185"/>
    </row>
    <row r="186" spans="1:9" x14ac:dyDescent="0.25">
      <c r="A186" s="5">
        <v>5588</v>
      </c>
      <c r="B186" s="6" t="s">
        <v>171</v>
      </c>
      <c r="C186" s="6" t="s">
        <v>494</v>
      </c>
      <c r="D186" s="7">
        <v>490</v>
      </c>
      <c r="E186">
        <v>750</v>
      </c>
      <c r="F186">
        <v>700</v>
      </c>
      <c r="G186"/>
      <c r="H186"/>
      <c r="I186"/>
    </row>
    <row r="187" spans="1:9" x14ac:dyDescent="0.25">
      <c r="A187" s="5">
        <v>5589</v>
      </c>
      <c r="B187" s="6" t="s">
        <v>171</v>
      </c>
      <c r="C187" s="6" t="s">
        <v>494</v>
      </c>
      <c r="D187" s="7">
        <v>210</v>
      </c>
      <c r="E187">
        <v>750</v>
      </c>
      <c r="F187">
        <v>350</v>
      </c>
      <c r="G187"/>
      <c r="H187"/>
      <c r="I187"/>
    </row>
    <row r="188" spans="1:9" x14ac:dyDescent="0.25">
      <c r="A188" s="5">
        <v>5771</v>
      </c>
      <c r="B188" s="6" t="s">
        <v>171</v>
      </c>
      <c r="C188" s="6" t="s">
        <v>494</v>
      </c>
      <c r="D188" s="7">
        <v>670</v>
      </c>
      <c r="E188">
        <v>640</v>
      </c>
      <c r="F188">
        <v>920</v>
      </c>
      <c r="G188"/>
      <c r="H188"/>
      <c r="I188"/>
    </row>
    <row r="189" spans="1:9" x14ac:dyDescent="0.25">
      <c r="A189" s="5">
        <v>5772</v>
      </c>
      <c r="B189" s="6" t="s">
        <v>171</v>
      </c>
      <c r="C189" s="6" t="s">
        <v>494</v>
      </c>
      <c r="D189" s="7">
        <v>670</v>
      </c>
      <c r="E189">
        <v>640</v>
      </c>
      <c r="F189">
        <v>920</v>
      </c>
      <c r="G189"/>
      <c r="H189"/>
      <c r="I189"/>
    </row>
    <row r="190" spans="1:9" x14ac:dyDescent="0.25">
      <c r="A190" s="5">
        <v>5773</v>
      </c>
      <c r="B190" s="6" t="s">
        <v>171</v>
      </c>
      <c r="C190" s="6" t="s">
        <v>494</v>
      </c>
      <c r="D190" s="7">
        <v>700</v>
      </c>
      <c r="E190">
        <v>640</v>
      </c>
      <c r="F190">
        <v>970</v>
      </c>
      <c r="G190"/>
      <c r="H190"/>
      <c r="I190"/>
    </row>
    <row r="191" spans="1:9" x14ac:dyDescent="0.25">
      <c r="A191" s="5">
        <v>5774</v>
      </c>
      <c r="B191" s="6" t="s">
        <v>171</v>
      </c>
      <c r="C191" s="6" t="s">
        <v>494</v>
      </c>
      <c r="D191" s="7">
        <v>590</v>
      </c>
      <c r="E191">
        <v>750</v>
      </c>
      <c r="F191">
        <v>820</v>
      </c>
      <c r="G191"/>
      <c r="H191"/>
      <c r="I191"/>
    </row>
    <row r="192" spans="1:9" x14ac:dyDescent="0.25">
      <c r="A192" s="5">
        <v>5783</v>
      </c>
      <c r="B192" s="6" t="s">
        <v>171</v>
      </c>
      <c r="C192" s="6" t="s">
        <v>497</v>
      </c>
      <c r="D192" s="7">
        <v>640</v>
      </c>
      <c r="E192">
        <v>1920</v>
      </c>
      <c r="F192">
        <v>850</v>
      </c>
      <c r="G192"/>
      <c r="H192"/>
      <c r="I192"/>
    </row>
    <row r="193" spans="1:9" x14ac:dyDescent="0.25">
      <c r="A193" s="5">
        <v>5784</v>
      </c>
      <c r="B193" s="6" t="s">
        <v>171</v>
      </c>
      <c r="C193" s="6" t="s">
        <v>497</v>
      </c>
      <c r="D193" s="7">
        <v>685</v>
      </c>
      <c r="E193">
        <v>2050</v>
      </c>
      <c r="F193">
        <v>920</v>
      </c>
      <c r="G193"/>
      <c r="H193"/>
      <c r="I193"/>
    </row>
    <row r="194" spans="1:9" x14ac:dyDescent="0.25">
      <c r="A194" s="5">
        <v>5785</v>
      </c>
      <c r="B194" s="6" t="s">
        <v>171</v>
      </c>
      <c r="C194" s="6" t="s">
        <v>497</v>
      </c>
      <c r="D194" s="7">
        <v>770</v>
      </c>
      <c r="E194">
        <v>2290</v>
      </c>
      <c r="F194">
        <v>1020</v>
      </c>
      <c r="G194"/>
      <c r="H194"/>
      <c r="I194"/>
    </row>
    <row r="195" spans="1:9" x14ac:dyDescent="0.25">
      <c r="A195" s="5">
        <v>5786</v>
      </c>
      <c r="B195" s="6" t="s">
        <v>171</v>
      </c>
      <c r="C195" s="6" t="s">
        <v>497</v>
      </c>
      <c r="D195" s="7">
        <v>995</v>
      </c>
      <c r="E195">
        <v>2960</v>
      </c>
      <c r="F195">
        <v>1300</v>
      </c>
      <c r="G195"/>
      <c r="H195"/>
      <c r="I195"/>
    </row>
    <row r="196" spans="1:9" x14ac:dyDescent="0.25">
      <c r="A196" s="5">
        <v>5788</v>
      </c>
      <c r="B196" s="6" t="s">
        <v>171</v>
      </c>
      <c r="C196" s="6" t="s">
        <v>497</v>
      </c>
      <c r="D196" s="7">
        <v>685</v>
      </c>
      <c r="E196">
        <v>2050</v>
      </c>
      <c r="F196">
        <v>920</v>
      </c>
      <c r="G196"/>
      <c r="H196"/>
      <c r="I196"/>
    </row>
    <row r="197" spans="1:9" x14ac:dyDescent="0.25">
      <c r="A197" s="5">
        <v>5789</v>
      </c>
      <c r="B197" s="6" t="s">
        <v>171</v>
      </c>
      <c r="C197" s="6" t="s">
        <v>497</v>
      </c>
      <c r="D197" s="7">
        <v>1190</v>
      </c>
      <c r="E197">
        <v>3520</v>
      </c>
      <c r="F197">
        <v>1520</v>
      </c>
      <c r="G197"/>
      <c r="H197"/>
      <c r="I197"/>
    </row>
    <row r="198" spans="1:9" x14ac:dyDescent="0.25">
      <c r="A198" s="5">
        <v>5821</v>
      </c>
      <c r="B198" s="6" t="s">
        <v>171</v>
      </c>
      <c r="C198" s="6" t="s">
        <v>494</v>
      </c>
      <c r="D198" s="7">
        <v>295</v>
      </c>
      <c r="E198">
        <v>800</v>
      </c>
      <c r="F198">
        <v>450</v>
      </c>
      <c r="G198"/>
      <c r="H198"/>
      <c r="I198"/>
    </row>
    <row r="199" spans="1:9" x14ac:dyDescent="0.25">
      <c r="A199" s="5">
        <v>5822</v>
      </c>
      <c r="B199" s="6" t="s">
        <v>171</v>
      </c>
      <c r="C199" s="6" t="s">
        <v>494</v>
      </c>
      <c r="D199" s="7">
        <v>360</v>
      </c>
      <c r="E199">
        <v>800</v>
      </c>
      <c r="F199">
        <v>550</v>
      </c>
      <c r="G199"/>
      <c r="H199"/>
      <c r="I199"/>
    </row>
    <row r="200" spans="1:9" x14ac:dyDescent="0.25">
      <c r="A200" s="5">
        <v>5823</v>
      </c>
      <c r="B200" s="6" t="s">
        <v>171</v>
      </c>
      <c r="C200" s="6" t="s">
        <v>494</v>
      </c>
      <c r="D200" s="7">
        <v>340</v>
      </c>
      <c r="E200">
        <v>800</v>
      </c>
      <c r="F200">
        <v>520</v>
      </c>
      <c r="G200"/>
      <c r="H200"/>
      <c r="I200"/>
    </row>
    <row r="201" spans="1:9" x14ac:dyDescent="0.25">
      <c r="A201" s="5">
        <v>8451</v>
      </c>
      <c r="B201" s="6" t="s">
        <v>171</v>
      </c>
      <c r="C201" s="6" t="s">
        <v>497</v>
      </c>
      <c r="D201" s="7">
        <v>910</v>
      </c>
      <c r="E201">
        <v>2670</v>
      </c>
      <c r="F201">
        <v>1200</v>
      </c>
      <c r="G201"/>
      <c r="H201"/>
      <c r="I201"/>
    </row>
    <row r="202" spans="1:9" x14ac:dyDescent="0.25">
      <c r="A202" s="5">
        <v>8511</v>
      </c>
      <c r="B202" s="6" t="s">
        <v>171</v>
      </c>
      <c r="C202" s="6" t="s">
        <v>497</v>
      </c>
      <c r="D202" s="7">
        <v>860</v>
      </c>
      <c r="E202">
        <v>1390</v>
      </c>
      <c r="F202">
        <v>1120</v>
      </c>
      <c r="G202"/>
      <c r="H202"/>
      <c r="I202"/>
    </row>
    <row r="203" spans="1:9" x14ac:dyDescent="0.25">
      <c r="A203" s="5">
        <v>8512</v>
      </c>
      <c r="B203" s="6" t="s">
        <v>171</v>
      </c>
      <c r="C203" s="6" t="s">
        <v>497</v>
      </c>
      <c r="D203" s="7">
        <v>510</v>
      </c>
      <c r="E203">
        <v>820</v>
      </c>
      <c r="F203">
        <v>700</v>
      </c>
      <c r="G203"/>
      <c r="H203"/>
      <c r="I203"/>
    </row>
    <row r="204" spans="1:9" x14ac:dyDescent="0.25">
      <c r="A204" s="5">
        <v>8514</v>
      </c>
      <c r="B204" s="6" t="s">
        <v>171</v>
      </c>
      <c r="C204" s="6" t="s">
        <v>497</v>
      </c>
      <c r="D204" s="7">
        <v>1870</v>
      </c>
      <c r="E204">
        <v>1390</v>
      </c>
      <c r="F204">
        <v>2350</v>
      </c>
      <c r="G204"/>
      <c r="H204"/>
      <c r="I204"/>
    </row>
    <row r="205" spans="1:9" x14ac:dyDescent="0.25">
      <c r="A205" s="5">
        <v>8515</v>
      </c>
      <c r="B205" s="6" t="s">
        <v>171</v>
      </c>
      <c r="C205" s="6" t="s">
        <v>494</v>
      </c>
      <c r="D205" s="7">
        <v>490</v>
      </c>
      <c r="E205">
        <v>1450</v>
      </c>
      <c r="F205">
        <v>670</v>
      </c>
      <c r="G205"/>
      <c r="H205"/>
      <c r="I205"/>
    </row>
    <row r="206" spans="1:9" x14ac:dyDescent="0.25">
      <c r="A206" s="5">
        <v>8516</v>
      </c>
      <c r="B206" s="6" t="s">
        <v>171</v>
      </c>
      <c r="C206" s="6" t="s">
        <v>497</v>
      </c>
      <c r="D206" s="7">
        <v>1530</v>
      </c>
      <c r="E206">
        <v>4460</v>
      </c>
      <c r="F206">
        <v>1950</v>
      </c>
      <c r="G206"/>
      <c r="H206"/>
      <c r="I206"/>
    </row>
    <row r="207" spans="1:9" x14ac:dyDescent="0.25">
      <c r="A207" s="5">
        <v>8517</v>
      </c>
      <c r="B207" s="6" t="s">
        <v>171</v>
      </c>
      <c r="C207" s="6" t="s">
        <v>497</v>
      </c>
      <c r="D207" s="7">
        <v>340</v>
      </c>
      <c r="E207">
        <v>1010</v>
      </c>
      <c r="F207">
        <v>500</v>
      </c>
      <c r="G207"/>
      <c r="H207"/>
      <c r="I207"/>
    </row>
    <row r="208" spans="1:9" x14ac:dyDescent="0.25">
      <c r="A208" s="5">
        <v>8518</v>
      </c>
      <c r="B208" s="6" t="s">
        <v>171</v>
      </c>
      <c r="C208" s="6" t="s">
        <v>497</v>
      </c>
      <c r="D208" s="7">
        <v>1570</v>
      </c>
      <c r="E208">
        <v>820</v>
      </c>
      <c r="F208">
        <v>2000</v>
      </c>
      <c r="G208"/>
      <c r="H208"/>
      <c r="I208"/>
    </row>
    <row r="209" spans="1:9" x14ac:dyDescent="0.25">
      <c r="A209" s="5">
        <v>8571</v>
      </c>
      <c r="B209" s="6" t="s">
        <v>171</v>
      </c>
      <c r="C209" s="6" t="s">
        <v>497</v>
      </c>
      <c r="D209" s="7">
        <v>1335</v>
      </c>
      <c r="E209">
        <v>3900</v>
      </c>
      <c r="F209">
        <v>1700</v>
      </c>
      <c r="G209"/>
      <c r="H209"/>
      <c r="I209"/>
    </row>
    <row r="210" spans="1:9" x14ac:dyDescent="0.25">
      <c r="A210" s="5">
        <v>8681</v>
      </c>
      <c r="B210" s="6" t="s">
        <v>171</v>
      </c>
      <c r="C210" s="6" t="s">
        <v>497</v>
      </c>
      <c r="D210" s="7">
        <v>575</v>
      </c>
      <c r="E210">
        <v>1690</v>
      </c>
      <c r="F210">
        <v>770</v>
      </c>
      <c r="G210"/>
      <c r="H210"/>
      <c r="I210"/>
    </row>
    <row r="211" spans="1:9" x14ac:dyDescent="0.25">
      <c r="A211" s="5">
        <v>8682</v>
      </c>
      <c r="B211" s="6" t="s">
        <v>171</v>
      </c>
      <c r="C211" s="6" t="s">
        <v>494</v>
      </c>
      <c r="D211" s="7">
        <v>815</v>
      </c>
      <c r="E211">
        <v>2390</v>
      </c>
      <c r="F211">
        <v>1070</v>
      </c>
      <c r="G211"/>
      <c r="H211"/>
      <c r="I211"/>
    </row>
    <row r="212" spans="1:9" x14ac:dyDescent="0.25">
      <c r="A212" s="5">
        <v>8683</v>
      </c>
      <c r="B212" s="6" t="s">
        <v>171</v>
      </c>
      <c r="C212" s="6" t="s">
        <v>494</v>
      </c>
      <c r="D212" s="7">
        <v>685</v>
      </c>
      <c r="E212">
        <v>2010</v>
      </c>
      <c r="F212">
        <v>920</v>
      </c>
      <c r="G212"/>
      <c r="H212"/>
      <c r="I212"/>
    </row>
    <row r="213" spans="1:9" x14ac:dyDescent="0.25">
      <c r="A213" s="5">
        <v>8684</v>
      </c>
      <c r="B213" s="6" t="s">
        <v>171</v>
      </c>
      <c r="C213" s="6" t="s">
        <v>494</v>
      </c>
      <c r="D213" s="7">
        <v>685</v>
      </c>
      <c r="E213">
        <v>2010</v>
      </c>
      <c r="F213">
        <v>920</v>
      </c>
      <c r="G213"/>
      <c r="H213"/>
      <c r="I213"/>
    </row>
    <row r="214" spans="1:9" x14ac:dyDescent="0.25">
      <c r="A214" s="5" t="s">
        <v>63</v>
      </c>
      <c r="B214" s="6" t="s">
        <v>31</v>
      </c>
      <c r="C214" s="6" t="s">
        <v>31</v>
      </c>
      <c r="D214" s="7">
        <v>125</v>
      </c>
      <c r="E214">
        <v>480</v>
      </c>
      <c r="F214">
        <v>250</v>
      </c>
      <c r="G214"/>
      <c r="H214"/>
      <c r="I214"/>
    </row>
    <row r="215" spans="1:9" x14ac:dyDescent="0.25">
      <c r="A215" s="5" t="s">
        <v>410</v>
      </c>
      <c r="B215" s="6" t="s">
        <v>171</v>
      </c>
      <c r="C215" s="6" t="s">
        <v>496</v>
      </c>
      <c r="D215" s="7">
        <v>240</v>
      </c>
      <c r="E215">
        <v>800</v>
      </c>
      <c r="F215">
        <v>370</v>
      </c>
      <c r="G215"/>
      <c r="H215"/>
      <c r="I215"/>
    </row>
    <row r="216" spans="1:9" x14ac:dyDescent="0.25">
      <c r="A216" s="5" t="s">
        <v>411</v>
      </c>
      <c r="B216" s="6" t="s">
        <v>171</v>
      </c>
      <c r="C216" s="6" t="s">
        <v>496</v>
      </c>
      <c r="D216" s="7">
        <v>265</v>
      </c>
      <c r="E216">
        <v>880</v>
      </c>
      <c r="F216">
        <v>420</v>
      </c>
      <c r="G216"/>
      <c r="H216"/>
      <c r="I216"/>
    </row>
    <row r="217" spans="1:9" x14ac:dyDescent="0.25">
      <c r="A217" s="5" t="s">
        <v>258</v>
      </c>
      <c r="B217" s="6" t="s">
        <v>171</v>
      </c>
      <c r="C217" s="6" t="s">
        <v>496</v>
      </c>
      <c r="D217" s="7">
        <v>215</v>
      </c>
      <c r="E217">
        <v>730</v>
      </c>
      <c r="F217">
        <v>350</v>
      </c>
      <c r="G217"/>
      <c r="H217"/>
      <c r="I217"/>
    </row>
    <row r="218" spans="1:9" x14ac:dyDescent="0.25">
      <c r="A218" s="5" t="s">
        <v>85</v>
      </c>
      <c r="B218" s="6" t="s">
        <v>171</v>
      </c>
      <c r="C218" s="6" t="s">
        <v>496</v>
      </c>
      <c r="D218" s="7">
        <v>365</v>
      </c>
      <c r="E218">
        <v>1180</v>
      </c>
      <c r="F218">
        <v>550</v>
      </c>
      <c r="G218"/>
      <c r="H218"/>
      <c r="I218"/>
    </row>
    <row r="219" spans="1:9" x14ac:dyDescent="0.25">
      <c r="A219" s="5" t="s">
        <v>86</v>
      </c>
      <c r="B219" s="6" t="s">
        <v>171</v>
      </c>
      <c r="C219" s="6" t="s">
        <v>496</v>
      </c>
      <c r="D219" s="7">
        <v>365</v>
      </c>
      <c r="E219">
        <v>1180</v>
      </c>
      <c r="F219">
        <v>550</v>
      </c>
      <c r="G219"/>
      <c r="H219"/>
      <c r="I219"/>
    </row>
    <row r="220" spans="1:9" x14ac:dyDescent="0.25">
      <c r="A220" s="5" t="s">
        <v>412</v>
      </c>
      <c r="B220" s="6" t="s">
        <v>171</v>
      </c>
      <c r="C220" s="6" t="s">
        <v>496</v>
      </c>
      <c r="D220" s="7">
        <v>365</v>
      </c>
      <c r="E220">
        <v>1180</v>
      </c>
      <c r="F220">
        <v>550</v>
      </c>
      <c r="G220"/>
      <c r="H220"/>
      <c r="I220"/>
    </row>
    <row r="221" spans="1:9" x14ac:dyDescent="0.25">
      <c r="A221" s="5" t="s">
        <v>141</v>
      </c>
      <c r="B221" s="6" t="s">
        <v>171</v>
      </c>
      <c r="C221" s="6" t="s">
        <v>496</v>
      </c>
      <c r="D221" s="7">
        <v>385</v>
      </c>
      <c r="E221">
        <v>1240</v>
      </c>
      <c r="F221">
        <v>570</v>
      </c>
      <c r="G221"/>
      <c r="H221"/>
      <c r="I221"/>
    </row>
    <row r="222" spans="1:9" x14ac:dyDescent="0.25">
      <c r="A222" s="5" t="s">
        <v>354</v>
      </c>
      <c r="B222" s="6" t="s">
        <v>171</v>
      </c>
      <c r="C222" s="6" t="s">
        <v>496</v>
      </c>
      <c r="D222" s="7">
        <v>315</v>
      </c>
      <c r="E222">
        <v>1030</v>
      </c>
      <c r="F222">
        <v>470</v>
      </c>
      <c r="G222"/>
      <c r="H222"/>
      <c r="I222"/>
    </row>
    <row r="223" spans="1:9" x14ac:dyDescent="0.25">
      <c r="A223" s="5" t="s">
        <v>608</v>
      </c>
      <c r="B223" s="6" t="s">
        <v>171</v>
      </c>
      <c r="C223" s="6" t="s">
        <v>496</v>
      </c>
      <c r="D223" s="7">
        <v>290</v>
      </c>
      <c r="E223">
        <v>960</v>
      </c>
      <c r="F223">
        <v>450</v>
      </c>
      <c r="G223"/>
      <c r="H223"/>
      <c r="I223"/>
    </row>
    <row r="224" spans="1:9" x14ac:dyDescent="0.25">
      <c r="A224" s="5" t="s">
        <v>607</v>
      </c>
      <c r="B224" s="6" t="s">
        <v>171</v>
      </c>
      <c r="C224" s="6" t="s">
        <v>496</v>
      </c>
      <c r="D224" s="7">
        <v>290</v>
      </c>
      <c r="E224">
        <v>960</v>
      </c>
      <c r="F224">
        <v>450</v>
      </c>
      <c r="G224"/>
      <c r="H224"/>
      <c r="I224"/>
    </row>
    <row r="225" spans="1:9" x14ac:dyDescent="0.25">
      <c r="A225" s="5" t="s">
        <v>356</v>
      </c>
      <c r="B225" s="6" t="s">
        <v>171</v>
      </c>
      <c r="C225" s="6" t="s">
        <v>496</v>
      </c>
      <c r="D225" s="7">
        <v>240</v>
      </c>
      <c r="E225">
        <v>800</v>
      </c>
      <c r="F225">
        <v>370</v>
      </c>
      <c r="G225"/>
      <c r="H225"/>
      <c r="I225"/>
    </row>
    <row r="226" spans="1:9" x14ac:dyDescent="0.25">
      <c r="A226" s="5" t="s">
        <v>371</v>
      </c>
      <c r="B226" s="6" t="s">
        <v>171</v>
      </c>
      <c r="C226" s="6" t="s">
        <v>496</v>
      </c>
      <c r="D226" s="7">
        <v>265</v>
      </c>
      <c r="E226">
        <v>880</v>
      </c>
      <c r="F226">
        <v>420</v>
      </c>
      <c r="G226"/>
      <c r="H226"/>
      <c r="I226"/>
    </row>
    <row r="227" spans="1:9" x14ac:dyDescent="0.25">
      <c r="A227" s="5" t="s">
        <v>413</v>
      </c>
      <c r="B227" s="6" t="s">
        <v>171</v>
      </c>
      <c r="C227" s="6" t="s">
        <v>496</v>
      </c>
      <c r="D227" s="7">
        <v>240</v>
      </c>
      <c r="E227">
        <v>800</v>
      </c>
      <c r="F227">
        <v>370</v>
      </c>
      <c r="G227"/>
      <c r="H227"/>
      <c r="I227"/>
    </row>
    <row r="228" spans="1:9" x14ac:dyDescent="0.25">
      <c r="A228" s="5" t="s">
        <v>611</v>
      </c>
      <c r="B228" s="6" t="s">
        <v>171</v>
      </c>
      <c r="C228" s="6" t="s">
        <v>496</v>
      </c>
      <c r="D228" s="7">
        <v>325</v>
      </c>
      <c r="E228">
        <v>1070</v>
      </c>
      <c r="F228">
        <v>500</v>
      </c>
      <c r="G228"/>
      <c r="H228"/>
      <c r="I228"/>
    </row>
    <row r="229" spans="1:9" x14ac:dyDescent="0.25">
      <c r="A229" s="5" t="s">
        <v>414</v>
      </c>
      <c r="B229" s="6" t="s">
        <v>171</v>
      </c>
      <c r="C229" s="6" t="s">
        <v>496</v>
      </c>
      <c r="D229" s="7">
        <v>265</v>
      </c>
      <c r="E229">
        <v>880</v>
      </c>
      <c r="F229">
        <v>420</v>
      </c>
      <c r="G229"/>
      <c r="H229"/>
      <c r="I229"/>
    </row>
    <row r="230" spans="1:9" x14ac:dyDescent="0.25">
      <c r="A230" s="5" t="s">
        <v>142</v>
      </c>
      <c r="B230" s="6" t="s">
        <v>171</v>
      </c>
      <c r="C230" s="6" t="s">
        <v>496</v>
      </c>
      <c r="D230" s="7">
        <v>315</v>
      </c>
      <c r="E230">
        <v>1030</v>
      </c>
      <c r="F230">
        <v>470</v>
      </c>
      <c r="G230"/>
      <c r="H230"/>
      <c r="I230"/>
    </row>
    <row r="231" spans="1:9" x14ac:dyDescent="0.25">
      <c r="A231" s="5" t="s">
        <v>143</v>
      </c>
      <c r="B231" s="6" t="s">
        <v>171</v>
      </c>
      <c r="C231" s="6" t="s">
        <v>496</v>
      </c>
      <c r="D231" s="7">
        <v>315</v>
      </c>
      <c r="E231">
        <v>1030</v>
      </c>
      <c r="F231">
        <v>470</v>
      </c>
      <c r="G231"/>
      <c r="H231"/>
      <c r="I231"/>
    </row>
    <row r="232" spans="1:9" x14ac:dyDescent="0.25">
      <c r="A232" s="5" t="s">
        <v>144</v>
      </c>
      <c r="B232" s="6" t="s">
        <v>171</v>
      </c>
      <c r="C232" s="6" t="s">
        <v>496</v>
      </c>
      <c r="D232" s="7">
        <v>290</v>
      </c>
      <c r="E232">
        <v>960</v>
      </c>
      <c r="F232">
        <v>450</v>
      </c>
      <c r="G232"/>
      <c r="H232"/>
      <c r="I232"/>
    </row>
    <row r="233" spans="1:9" x14ac:dyDescent="0.25">
      <c r="A233" s="5" t="s">
        <v>423</v>
      </c>
      <c r="B233" s="6" t="s">
        <v>171</v>
      </c>
      <c r="C233" s="6" t="s">
        <v>496</v>
      </c>
      <c r="D233" s="7">
        <v>265</v>
      </c>
      <c r="E233">
        <v>880</v>
      </c>
      <c r="F233">
        <v>420</v>
      </c>
      <c r="G233"/>
      <c r="H233"/>
      <c r="I233"/>
    </row>
    <row r="234" spans="1:9" x14ac:dyDescent="0.25">
      <c r="A234" s="5" t="s">
        <v>363</v>
      </c>
      <c r="B234" s="6" t="s">
        <v>171</v>
      </c>
      <c r="C234" s="6" t="s">
        <v>496</v>
      </c>
      <c r="D234" s="7">
        <v>300</v>
      </c>
      <c r="E234">
        <v>990</v>
      </c>
      <c r="F234">
        <v>470</v>
      </c>
      <c r="G234"/>
      <c r="H234"/>
      <c r="I234"/>
    </row>
    <row r="235" spans="1:9" x14ac:dyDescent="0.25">
      <c r="A235" s="5" t="s">
        <v>415</v>
      </c>
      <c r="B235" s="6" t="s">
        <v>171</v>
      </c>
      <c r="C235" s="6" t="s">
        <v>496</v>
      </c>
      <c r="D235" s="7">
        <v>265</v>
      </c>
      <c r="E235">
        <v>880</v>
      </c>
      <c r="F235">
        <v>420</v>
      </c>
      <c r="G235"/>
      <c r="H235"/>
      <c r="I235"/>
    </row>
    <row r="236" spans="1:9" x14ac:dyDescent="0.25">
      <c r="A236" s="5" t="s">
        <v>610</v>
      </c>
      <c r="B236" s="6" t="s">
        <v>171</v>
      </c>
      <c r="C236" s="6" t="s">
        <v>496</v>
      </c>
      <c r="D236" s="7">
        <v>250</v>
      </c>
      <c r="E236">
        <v>840</v>
      </c>
      <c r="F236">
        <v>400</v>
      </c>
      <c r="G236"/>
      <c r="H236"/>
      <c r="I236"/>
    </row>
    <row r="237" spans="1:9" x14ac:dyDescent="0.25">
      <c r="A237" s="5" t="s">
        <v>145</v>
      </c>
      <c r="B237" s="6" t="s">
        <v>171</v>
      </c>
      <c r="C237" s="6" t="s">
        <v>496</v>
      </c>
      <c r="D237" s="7">
        <v>315</v>
      </c>
      <c r="E237">
        <v>1030</v>
      </c>
      <c r="F237">
        <v>470</v>
      </c>
      <c r="G237"/>
      <c r="H237"/>
      <c r="I237"/>
    </row>
    <row r="238" spans="1:9" x14ac:dyDescent="0.25">
      <c r="A238" s="5" t="s">
        <v>353</v>
      </c>
      <c r="B238" s="6" t="s">
        <v>171</v>
      </c>
      <c r="C238" s="6" t="s">
        <v>496</v>
      </c>
      <c r="D238" s="7">
        <v>300</v>
      </c>
      <c r="E238">
        <v>990</v>
      </c>
      <c r="F238">
        <v>470</v>
      </c>
      <c r="G238"/>
      <c r="H238"/>
      <c r="I238"/>
    </row>
    <row r="239" spans="1:9" x14ac:dyDescent="0.25">
      <c r="A239" s="5" t="s">
        <v>364</v>
      </c>
      <c r="B239" s="6" t="s">
        <v>171</v>
      </c>
      <c r="C239" s="6" t="s">
        <v>496</v>
      </c>
      <c r="D239" s="7">
        <v>250</v>
      </c>
      <c r="E239">
        <v>840</v>
      </c>
      <c r="F239">
        <v>400</v>
      </c>
      <c r="G239"/>
      <c r="H239"/>
      <c r="I239"/>
    </row>
    <row r="240" spans="1:9" x14ac:dyDescent="0.25">
      <c r="A240" s="5" t="s">
        <v>357</v>
      </c>
      <c r="B240" s="6" t="s">
        <v>171</v>
      </c>
      <c r="C240" s="6" t="s">
        <v>496</v>
      </c>
      <c r="D240" s="7">
        <v>310</v>
      </c>
      <c r="E240">
        <v>1010</v>
      </c>
      <c r="F240">
        <v>470</v>
      </c>
      <c r="G240"/>
      <c r="H240"/>
      <c r="I240"/>
    </row>
    <row r="241" spans="1:9" x14ac:dyDescent="0.25">
      <c r="A241" s="5" t="s">
        <v>405</v>
      </c>
      <c r="B241" s="6" t="s">
        <v>171</v>
      </c>
      <c r="C241" s="6" t="s">
        <v>496</v>
      </c>
      <c r="D241" s="7">
        <v>225</v>
      </c>
      <c r="E241">
        <v>770</v>
      </c>
      <c r="F241">
        <v>370</v>
      </c>
      <c r="G241"/>
      <c r="H241"/>
      <c r="I241"/>
    </row>
    <row r="242" spans="1:9" x14ac:dyDescent="0.25">
      <c r="A242" s="5" t="s">
        <v>359</v>
      </c>
      <c r="B242" s="6" t="s">
        <v>171</v>
      </c>
      <c r="C242" s="6" t="s">
        <v>496</v>
      </c>
      <c r="D242" s="7">
        <v>290</v>
      </c>
      <c r="E242">
        <v>960</v>
      </c>
      <c r="F242">
        <v>450</v>
      </c>
      <c r="G242"/>
      <c r="H242"/>
      <c r="I242"/>
    </row>
    <row r="243" spans="1:9" x14ac:dyDescent="0.25">
      <c r="A243" s="5" t="s">
        <v>409</v>
      </c>
      <c r="B243" s="6" t="s">
        <v>171</v>
      </c>
      <c r="C243" s="6" t="s">
        <v>496</v>
      </c>
      <c r="D243" s="7">
        <v>290</v>
      </c>
      <c r="E243">
        <v>960</v>
      </c>
      <c r="F243">
        <v>450</v>
      </c>
      <c r="G243"/>
      <c r="H243"/>
      <c r="I243"/>
    </row>
    <row r="244" spans="1:9" x14ac:dyDescent="0.25">
      <c r="A244" s="5" t="s">
        <v>271</v>
      </c>
      <c r="B244" s="6" t="s">
        <v>171</v>
      </c>
      <c r="C244" s="6" t="s">
        <v>496</v>
      </c>
      <c r="D244" s="7">
        <v>315</v>
      </c>
      <c r="E244">
        <v>1030</v>
      </c>
      <c r="F244">
        <v>470</v>
      </c>
      <c r="G244"/>
      <c r="H244"/>
      <c r="I244"/>
    </row>
    <row r="245" spans="1:9" x14ac:dyDescent="0.25">
      <c r="A245" s="5" t="s">
        <v>274</v>
      </c>
      <c r="B245" s="6" t="s">
        <v>171</v>
      </c>
      <c r="C245" s="6" t="s">
        <v>496</v>
      </c>
      <c r="D245" s="7">
        <v>315</v>
      </c>
      <c r="E245">
        <v>1030</v>
      </c>
      <c r="F245">
        <v>470</v>
      </c>
      <c r="G245"/>
      <c r="H245"/>
      <c r="I245"/>
    </row>
    <row r="246" spans="1:9" x14ac:dyDescent="0.25">
      <c r="A246" s="5" t="s">
        <v>140</v>
      </c>
      <c r="B246" s="6" t="s">
        <v>171</v>
      </c>
      <c r="C246" s="6" t="s">
        <v>496</v>
      </c>
      <c r="D246" s="7">
        <v>300</v>
      </c>
      <c r="E246">
        <v>990</v>
      </c>
      <c r="F246">
        <v>470</v>
      </c>
      <c r="G246"/>
      <c r="H246"/>
      <c r="I246"/>
    </row>
    <row r="247" spans="1:9" x14ac:dyDescent="0.25">
      <c r="A247" s="5" t="s">
        <v>365</v>
      </c>
      <c r="B247" s="6" t="s">
        <v>171</v>
      </c>
      <c r="C247" s="6" t="s">
        <v>496</v>
      </c>
      <c r="D247" s="7">
        <v>310</v>
      </c>
      <c r="E247">
        <v>1010</v>
      </c>
      <c r="F247">
        <v>470</v>
      </c>
      <c r="G247"/>
      <c r="H247"/>
      <c r="I247"/>
    </row>
    <row r="248" spans="1:9" x14ac:dyDescent="0.25">
      <c r="A248" s="5" t="s">
        <v>270</v>
      </c>
      <c r="B248" s="6" t="s">
        <v>171</v>
      </c>
      <c r="C248" s="6" t="s">
        <v>496</v>
      </c>
      <c r="D248" s="7">
        <v>290</v>
      </c>
      <c r="E248">
        <v>960</v>
      </c>
      <c r="F248">
        <v>450</v>
      </c>
      <c r="G248"/>
      <c r="H248"/>
      <c r="I248"/>
    </row>
    <row r="249" spans="1:9" x14ac:dyDescent="0.25">
      <c r="A249" s="5" t="s">
        <v>352</v>
      </c>
      <c r="B249" s="6" t="s">
        <v>171</v>
      </c>
      <c r="C249" s="6" t="s">
        <v>496</v>
      </c>
      <c r="D249" s="7">
        <v>275</v>
      </c>
      <c r="E249">
        <v>920</v>
      </c>
      <c r="F249">
        <v>420</v>
      </c>
      <c r="G249"/>
      <c r="H249"/>
      <c r="I249"/>
    </row>
    <row r="250" spans="1:9" x14ac:dyDescent="0.25">
      <c r="A250" s="5" t="s">
        <v>416</v>
      </c>
      <c r="B250" s="6" t="s">
        <v>171</v>
      </c>
      <c r="C250" s="6" t="s">
        <v>496</v>
      </c>
      <c r="D250" s="7">
        <v>240</v>
      </c>
      <c r="E250">
        <v>800</v>
      </c>
      <c r="F250">
        <v>370</v>
      </c>
      <c r="G250"/>
      <c r="H250"/>
      <c r="I250"/>
    </row>
    <row r="251" spans="1:9" x14ac:dyDescent="0.25">
      <c r="A251" s="5" t="s">
        <v>361</v>
      </c>
      <c r="B251" s="6" t="s">
        <v>171</v>
      </c>
      <c r="C251" s="6" t="s">
        <v>496</v>
      </c>
      <c r="D251" s="7">
        <v>275</v>
      </c>
      <c r="E251">
        <v>920</v>
      </c>
      <c r="F251">
        <v>420</v>
      </c>
      <c r="G251"/>
      <c r="H251"/>
      <c r="I251"/>
    </row>
    <row r="252" spans="1:9" x14ac:dyDescent="0.25">
      <c r="A252" s="5" t="s">
        <v>406</v>
      </c>
      <c r="B252" s="6" t="s">
        <v>171</v>
      </c>
      <c r="C252" s="6" t="s">
        <v>496</v>
      </c>
      <c r="D252" s="7">
        <v>265</v>
      </c>
      <c r="E252">
        <v>880</v>
      </c>
      <c r="F252">
        <v>420</v>
      </c>
      <c r="G252"/>
      <c r="H252"/>
      <c r="I252"/>
    </row>
    <row r="253" spans="1:9" x14ac:dyDescent="0.25">
      <c r="A253" s="5" t="s">
        <v>355</v>
      </c>
      <c r="B253" s="6" t="s">
        <v>171</v>
      </c>
      <c r="C253" s="6" t="s">
        <v>496</v>
      </c>
      <c r="D253" s="7">
        <v>290</v>
      </c>
      <c r="E253">
        <v>960</v>
      </c>
      <c r="F253">
        <v>450</v>
      </c>
      <c r="G253"/>
      <c r="H253"/>
      <c r="I253"/>
    </row>
    <row r="254" spans="1:9" x14ac:dyDescent="0.25">
      <c r="A254" s="5" t="s">
        <v>369</v>
      </c>
      <c r="B254" s="6" t="s">
        <v>171</v>
      </c>
      <c r="C254" s="6" t="s">
        <v>496</v>
      </c>
      <c r="D254" s="7">
        <v>200</v>
      </c>
      <c r="E254">
        <v>690</v>
      </c>
      <c r="F254">
        <v>350</v>
      </c>
      <c r="G254"/>
      <c r="H254"/>
      <c r="I254"/>
    </row>
    <row r="255" spans="1:9" x14ac:dyDescent="0.25">
      <c r="A255" s="5" t="s">
        <v>417</v>
      </c>
      <c r="B255" s="6" t="s">
        <v>171</v>
      </c>
      <c r="C255" s="6" t="s">
        <v>496</v>
      </c>
      <c r="D255" s="7">
        <v>290</v>
      </c>
      <c r="E255">
        <v>960</v>
      </c>
      <c r="F255">
        <v>450</v>
      </c>
      <c r="G255"/>
      <c r="H255"/>
      <c r="I255"/>
    </row>
    <row r="256" spans="1:9" x14ac:dyDescent="0.25">
      <c r="A256" s="5" t="s">
        <v>418</v>
      </c>
      <c r="B256" s="6" t="s">
        <v>171</v>
      </c>
      <c r="C256" s="6" t="s">
        <v>496</v>
      </c>
      <c r="D256" s="7">
        <v>290</v>
      </c>
      <c r="E256">
        <v>960</v>
      </c>
      <c r="F256">
        <v>450</v>
      </c>
      <c r="G256"/>
      <c r="H256"/>
      <c r="I256"/>
    </row>
    <row r="257" spans="1:9" x14ac:dyDescent="0.25">
      <c r="A257" s="5" t="s">
        <v>419</v>
      </c>
      <c r="B257" s="6" t="s">
        <v>171</v>
      </c>
      <c r="C257" s="6" t="s">
        <v>496</v>
      </c>
      <c r="D257" s="7">
        <v>240</v>
      </c>
      <c r="E257">
        <v>800</v>
      </c>
      <c r="F257">
        <v>370</v>
      </c>
      <c r="G257"/>
      <c r="H257"/>
      <c r="I257"/>
    </row>
    <row r="258" spans="1:9" x14ac:dyDescent="0.25">
      <c r="A258" s="5" t="s">
        <v>612</v>
      </c>
      <c r="B258" s="6" t="s">
        <v>171</v>
      </c>
      <c r="C258" s="6" t="s">
        <v>496</v>
      </c>
      <c r="D258" s="7">
        <v>315</v>
      </c>
      <c r="E258">
        <v>1030</v>
      </c>
      <c r="F258">
        <v>470</v>
      </c>
      <c r="G258"/>
      <c r="H258"/>
      <c r="I258"/>
    </row>
    <row r="259" spans="1:9" x14ac:dyDescent="0.25">
      <c r="A259" s="5" t="s">
        <v>349</v>
      </c>
      <c r="B259" s="6" t="s">
        <v>171</v>
      </c>
      <c r="C259" s="6" t="s">
        <v>496</v>
      </c>
      <c r="D259" s="7">
        <v>350</v>
      </c>
      <c r="E259">
        <v>1140</v>
      </c>
      <c r="F259">
        <v>520</v>
      </c>
      <c r="G259"/>
      <c r="H259"/>
      <c r="I259"/>
    </row>
    <row r="260" spans="1:9" x14ac:dyDescent="0.25">
      <c r="A260" s="5" t="s">
        <v>596</v>
      </c>
      <c r="B260" s="6" t="s">
        <v>171</v>
      </c>
      <c r="C260" s="6" t="s">
        <v>496</v>
      </c>
      <c r="D260" s="7">
        <v>300</v>
      </c>
      <c r="E260">
        <v>990</v>
      </c>
      <c r="F260">
        <v>470</v>
      </c>
      <c r="G260"/>
      <c r="H260"/>
      <c r="I260"/>
    </row>
    <row r="261" spans="1:9" x14ac:dyDescent="0.25">
      <c r="A261" s="5" t="s">
        <v>350</v>
      </c>
      <c r="B261" s="6" t="s">
        <v>171</v>
      </c>
      <c r="C261" s="6" t="s">
        <v>496</v>
      </c>
      <c r="D261" s="7">
        <v>375</v>
      </c>
      <c r="E261">
        <v>1220</v>
      </c>
      <c r="F261">
        <v>550</v>
      </c>
      <c r="G261"/>
      <c r="H261"/>
      <c r="I261"/>
    </row>
    <row r="262" spans="1:9" x14ac:dyDescent="0.25">
      <c r="A262" s="5" t="s">
        <v>264</v>
      </c>
      <c r="B262" s="6" t="s">
        <v>171</v>
      </c>
      <c r="C262" s="6" t="s">
        <v>496</v>
      </c>
      <c r="D262" s="7">
        <v>225</v>
      </c>
      <c r="E262">
        <v>770</v>
      </c>
      <c r="F262">
        <v>370</v>
      </c>
      <c r="G262"/>
      <c r="H262"/>
      <c r="I262"/>
    </row>
    <row r="263" spans="1:9" x14ac:dyDescent="0.25">
      <c r="A263" s="5" t="s">
        <v>272</v>
      </c>
      <c r="B263" s="6" t="s">
        <v>171</v>
      </c>
      <c r="C263" s="6" t="s">
        <v>496</v>
      </c>
      <c r="D263" s="7">
        <v>290</v>
      </c>
      <c r="E263">
        <v>960</v>
      </c>
      <c r="F263">
        <v>450</v>
      </c>
      <c r="G263"/>
      <c r="H263"/>
      <c r="I263"/>
    </row>
    <row r="264" spans="1:9" x14ac:dyDescent="0.25">
      <c r="A264" s="5" t="s">
        <v>273</v>
      </c>
      <c r="B264" s="6" t="s">
        <v>171</v>
      </c>
      <c r="C264" s="6" t="s">
        <v>496</v>
      </c>
      <c r="D264" s="7">
        <v>290</v>
      </c>
      <c r="E264">
        <v>960</v>
      </c>
      <c r="F264">
        <v>450</v>
      </c>
      <c r="G264"/>
      <c r="H264"/>
      <c r="I264"/>
    </row>
    <row r="265" spans="1:9" x14ac:dyDescent="0.25">
      <c r="A265" s="5" t="s">
        <v>367</v>
      </c>
      <c r="B265" s="6" t="s">
        <v>171</v>
      </c>
      <c r="C265" s="6" t="s">
        <v>496</v>
      </c>
      <c r="D265" s="7">
        <v>325</v>
      </c>
      <c r="E265">
        <v>1070</v>
      </c>
      <c r="F265">
        <v>500</v>
      </c>
      <c r="G265"/>
      <c r="H265"/>
      <c r="I265"/>
    </row>
    <row r="266" spans="1:9" x14ac:dyDescent="0.25">
      <c r="A266" s="5" t="s">
        <v>601</v>
      </c>
      <c r="B266" s="6" t="s">
        <v>171</v>
      </c>
      <c r="C266" s="6" t="s">
        <v>496</v>
      </c>
      <c r="D266" s="7">
        <v>300</v>
      </c>
      <c r="E266">
        <v>990</v>
      </c>
      <c r="F266">
        <v>470</v>
      </c>
      <c r="G266"/>
      <c r="H266"/>
      <c r="I266"/>
    </row>
    <row r="267" spans="1:9" x14ac:dyDescent="0.25">
      <c r="A267" s="5" t="s">
        <v>358</v>
      </c>
      <c r="B267" s="6" t="s">
        <v>171</v>
      </c>
      <c r="C267" s="6" t="s">
        <v>496</v>
      </c>
      <c r="D267" s="7">
        <v>325</v>
      </c>
      <c r="E267">
        <v>1070</v>
      </c>
      <c r="F267">
        <v>500</v>
      </c>
      <c r="G267"/>
      <c r="H267"/>
      <c r="I267"/>
    </row>
    <row r="268" spans="1:9" x14ac:dyDescent="0.25">
      <c r="A268" s="5" t="s">
        <v>420</v>
      </c>
      <c r="B268" s="6" t="s">
        <v>171</v>
      </c>
      <c r="C268" s="6" t="s">
        <v>496</v>
      </c>
      <c r="D268" s="7">
        <v>240</v>
      </c>
      <c r="E268">
        <v>800</v>
      </c>
      <c r="F268">
        <v>370</v>
      </c>
      <c r="G268"/>
      <c r="H268"/>
      <c r="I268"/>
    </row>
    <row r="269" spans="1:9" x14ac:dyDescent="0.25">
      <c r="A269" s="5" t="s">
        <v>366</v>
      </c>
      <c r="B269" s="6" t="s">
        <v>171</v>
      </c>
      <c r="C269" s="6" t="s">
        <v>496</v>
      </c>
      <c r="D269" s="7">
        <v>250</v>
      </c>
      <c r="E269">
        <v>840</v>
      </c>
      <c r="F269">
        <v>400</v>
      </c>
      <c r="G269"/>
      <c r="H269"/>
      <c r="I269"/>
    </row>
    <row r="270" spans="1:9" x14ac:dyDescent="0.25">
      <c r="A270" s="5" t="s">
        <v>599</v>
      </c>
      <c r="B270" s="6" t="s">
        <v>171</v>
      </c>
      <c r="C270" s="6" t="s">
        <v>496</v>
      </c>
      <c r="D270" s="7">
        <v>315</v>
      </c>
      <c r="E270">
        <v>1030</v>
      </c>
      <c r="F270">
        <v>470</v>
      </c>
      <c r="G270"/>
      <c r="H270"/>
      <c r="I270"/>
    </row>
    <row r="271" spans="1:9" x14ac:dyDescent="0.25">
      <c r="A271" s="5" t="s">
        <v>146</v>
      </c>
      <c r="B271" s="6" t="s">
        <v>171</v>
      </c>
      <c r="C271" s="6" t="s">
        <v>496</v>
      </c>
      <c r="D271" s="7">
        <v>315</v>
      </c>
      <c r="E271">
        <v>1030</v>
      </c>
      <c r="F271">
        <v>470</v>
      </c>
      <c r="G271"/>
      <c r="H271"/>
      <c r="I271"/>
    </row>
    <row r="272" spans="1:9" x14ac:dyDescent="0.25">
      <c r="A272" s="5" t="s">
        <v>147</v>
      </c>
      <c r="B272" s="6" t="s">
        <v>171</v>
      </c>
      <c r="C272" s="6" t="s">
        <v>496</v>
      </c>
      <c r="D272" s="7">
        <v>290</v>
      </c>
      <c r="E272">
        <v>960</v>
      </c>
      <c r="F272">
        <v>450</v>
      </c>
      <c r="G272"/>
      <c r="H272"/>
      <c r="I272"/>
    </row>
    <row r="273" spans="1:9" x14ac:dyDescent="0.25">
      <c r="A273" s="5" t="s">
        <v>148</v>
      </c>
      <c r="B273" s="6" t="s">
        <v>171</v>
      </c>
      <c r="C273" s="6" t="s">
        <v>496</v>
      </c>
      <c r="D273" s="7">
        <v>290</v>
      </c>
      <c r="E273">
        <v>960</v>
      </c>
      <c r="F273">
        <v>450</v>
      </c>
      <c r="G273"/>
      <c r="H273"/>
      <c r="I273"/>
    </row>
    <row r="274" spans="1:9" x14ac:dyDescent="0.25">
      <c r="A274" s="5" t="s">
        <v>149</v>
      </c>
      <c r="B274" s="6" t="s">
        <v>171</v>
      </c>
      <c r="C274" s="6" t="s">
        <v>496</v>
      </c>
      <c r="D274" s="7">
        <v>290</v>
      </c>
      <c r="E274">
        <v>960</v>
      </c>
      <c r="F274">
        <v>450</v>
      </c>
      <c r="G274"/>
      <c r="H274"/>
      <c r="I274"/>
    </row>
    <row r="275" spans="1:9" x14ac:dyDescent="0.25">
      <c r="A275" s="5" t="s">
        <v>260</v>
      </c>
      <c r="B275" s="6" t="s">
        <v>171</v>
      </c>
      <c r="C275" s="6" t="s">
        <v>496</v>
      </c>
      <c r="D275" s="7">
        <v>150</v>
      </c>
      <c r="E275">
        <v>540</v>
      </c>
      <c r="F275">
        <v>270</v>
      </c>
      <c r="G275"/>
      <c r="H275"/>
      <c r="I275"/>
    </row>
    <row r="276" spans="1:9" x14ac:dyDescent="0.25">
      <c r="A276" s="5" t="s">
        <v>348</v>
      </c>
      <c r="B276" s="6" t="s">
        <v>171</v>
      </c>
      <c r="C276" s="6" t="s">
        <v>496</v>
      </c>
      <c r="D276" s="7">
        <v>125</v>
      </c>
      <c r="E276">
        <v>470</v>
      </c>
      <c r="F276">
        <v>250</v>
      </c>
      <c r="G276"/>
      <c r="H276"/>
      <c r="I276"/>
    </row>
    <row r="277" spans="1:9" x14ac:dyDescent="0.25">
      <c r="A277" s="5" t="s">
        <v>351</v>
      </c>
      <c r="B277" s="6" t="s">
        <v>171</v>
      </c>
      <c r="C277" s="6" t="s">
        <v>496</v>
      </c>
      <c r="D277" s="7">
        <v>575</v>
      </c>
      <c r="E277">
        <v>1820</v>
      </c>
      <c r="F277">
        <v>800</v>
      </c>
      <c r="G277"/>
      <c r="H277"/>
      <c r="I277"/>
    </row>
    <row r="278" spans="1:9" x14ac:dyDescent="0.25">
      <c r="A278" s="5" t="s">
        <v>368</v>
      </c>
      <c r="B278" s="6" t="s">
        <v>171</v>
      </c>
      <c r="C278" s="6" t="s">
        <v>496</v>
      </c>
      <c r="D278" s="7">
        <v>590</v>
      </c>
      <c r="E278">
        <v>1860</v>
      </c>
      <c r="F278">
        <v>820</v>
      </c>
      <c r="G278"/>
      <c r="H278"/>
      <c r="I278"/>
    </row>
    <row r="279" spans="1:9" x14ac:dyDescent="0.25">
      <c r="A279" s="5" t="s">
        <v>266</v>
      </c>
      <c r="B279" s="6" t="s">
        <v>171</v>
      </c>
      <c r="C279" s="6" t="s">
        <v>496</v>
      </c>
      <c r="D279" s="7">
        <v>295</v>
      </c>
      <c r="E279">
        <v>970</v>
      </c>
      <c r="F279">
        <v>450</v>
      </c>
      <c r="G279"/>
      <c r="H279"/>
      <c r="I279"/>
    </row>
    <row r="280" spans="1:9" x14ac:dyDescent="0.25">
      <c r="A280" s="5" t="s">
        <v>268</v>
      </c>
      <c r="B280" s="6" t="s">
        <v>171</v>
      </c>
      <c r="C280" s="6" t="s">
        <v>496</v>
      </c>
      <c r="D280" s="7">
        <v>275</v>
      </c>
      <c r="E280">
        <v>920</v>
      </c>
      <c r="F280">
        <v>420</v>
      </c>
      <c r="G280"/>
      <c r="H280"/>
      <c r="I280"/>
    </row>
    <row r="281" spans="1:9" x14ac:dyDescent="0.25">
      <c r="A281" s="5" t="s">
        <v>360</v>
      </c>
      <c r="B281" s="6" t="s">
        <v>171</v>
      </c>
      <c r="C281" s="6" t="s">
        <v>496</v>
      </c>
      <c r="D281" s="7">
        <v>290</v>
      </c>
      <c r="E281">
        <v>960</v>
      </c>
      <c r="F281">
        <v>450</v>
      </c>
      <c r="G281"/>
      <c r="H281"/>
      <c r="I281"/>
    </row>
    <row r="282" spans="1:9" x14ac:dyDescent="0.25">
      <c r="A282" s="5" t="s">
        <v>275</v>
      </c>
      <c r="B282" s="6" t="s">
        <v>171</v>
      </c>
      <c r="C282" s="6" t="s">
        <v>496</v>
      </c>
      <c r="D282" s="7">
        <v>300</v>
      </c>
      <c r="E282">
        <v>990</v>
      </c>
      <c r="F282">
        <v>470</v>
      </c>
      <c r="G282"/>
      <c r="H282"/>
      <c r="I282"/>
    </row>
    <row r="283" spans="1:9" x14ac:dyDescent="0.25">
      <c r="A283" s="5" t="s">
        <v>605</v>
      </c>
      <c r="B283" s="6" t="s">
        <v>171</v>
      </c>
      <c r="C283" s="6" t="s">
        <v>496</v>
      </c>
      <c r="D283" s="7">
        <v>365</v>
      </c>
      <c r="E283">
        <v>1180</v>
      </c>
      <c r="F283">
        <v>550</v>
      </c>
      <c r="G283"/>
      <c r="H283"/>
      <c r="I283"/>
    </row>
    <row r="284" spans="1:9" x14ac:dyDescent="0.25">
      <c r="A284" s="5" t="s">
        <v>262</v>
      </c>
      <c r="B284" s="6" t="s">
        <v>171</v>
      </c>
      <c r="C284" s="6" t="s">
        <v>496</v>
      </c>
      <c r="D284" s="7">
        <v>170</v>
      </c>
      <c r="E284">
        <v>600</v>
      </c>
      <c r="F284">
        <v>300</v>
      </c>
      <c r="G284"/>
      <c r="H284"/>
      <c r="I284"/>
    </row>
    <row r="285" spans="1:9" x14ac:dyDescent="0.25">
      <c r="A285" s="5" t="s">
        <v>150</v>
      </c>
      <c r="B285" s="6" t="s">
        <v>171</v>
      </c>
      <c r="C285" s="6" t="s">
        <v>496</v>
      </c>
      <c r="D285" s="7">
        <v>300</v>
      </c>
      <c r="E285">
        <v>990</v>
      </c>
      <c r="F285">
        <v>470</v>
      </c>
      <c r="G285"/>
      <c r="H285"/>
      <c r="I285"/>
    </row>
    <row r="286" spans="1:9" x14ac:dyDescent="0.25">
      <c r="A286" s="5" t="s">
        <v>593</v>
      </c>
      <c r="B286" s="6" t="s">
        <v>171</v>
      </c>
      <c r="C286" s="6" t="s">
        <v>496</v>
      </c>
      <c r="D286" s="7">
        <v>240</v>
      </c>
      <c r="E286">
        <v>800</v>
      </c>
      <c r="F286">
        <v>370</v>
      </c>
      <c r="G286"/>
      <c r="H286"/>
      <c r="I286"/>
    </row>
    <row r="287" spans="1:9" x14ac:dyDescent="0.25">
      <c r="A287" s="5" t="s">
        <v>594</v>
      </c>
      <c r="B287" s="6" t="s">
        <v>171</v>
      </c>
      <c r="C287" s="6" t="s">
        <v>496</v>
      </c>
      <c r="D287" s="7">
        <v>240</v>
      </c>
      <c r="E287">
        <v>800</v>
      </c>
      <c r="F287">
        <v>370</v>
      </c>
      <c r="G287"/>
      <c r="H287"/>
      <c r="I287"/>
    </row>
    <row r="288" spans="1:9" x14ac:dyDescent="0.25">
      <c r="A288" s="5" t="s">
        <v>592</v>
      </c>
      <c r="B288" s="6" t="s">
        <v>171</v>
      </c>
      <c r="C288" s="6" t="s">
        <v>496</v>
      </c>
      <c r="D288" s="7">
        <v>325</v>
      </c>
      <c r="E288">
        <v>1070</v>
      </c>
      <c r="F288">
        <v>500</v>
      </c>
      <c r="G288"/>
      <c r="H288"/>
      <c r="I288"/>
    </row>
    <row r="289" spans="1:9" x14ac:dyDescent="0.25">
      <c r="A289" s="5" t="s">
        <v>590</v>
      </c>
      <c r="B289" s="6" t="s">
        <v>171</v>
      </c>
      <c r="C289" s="6" t="s">
        <v>496</v>
      </c>
      <c r="D289" s="7">
        <v>275</v>
      </c>
      <c r="E289">
        <v>920</v>
      </c>
      <c r="F289">
        <v>420</v>
      </c>
      <c r="G289"/>
      <c r="H289"/>
      <c r="I289"/>
    </row>
    <row r="290" spans="1:9" x14ac:dyDescent="0.25">
      <c r="A290" s="5" t="s">
        <v>591</v>
      </c>
      <c r="B290" s="6" t="s">
        <v>171</v>
      </c>
      <c r="C290" s="6" t="s">
        <v>496</v>
      </c>
      <c r="D290" s="7">
        <v>240</v>
      </c>
      <c r="E290">
        <v>800</v>
      </c>
      <c r="F290">
        <v>370</v>
      </c>
      <c r="G290"/>
      <c r="H290"/>
      <c r="I290"/>
    </row>
    <row r="291" spans="1:9" x14ac:dyDescent="0.25">
      <c r="A291" s="5" t="s">
        <v>586</v>
      </c>
      <c r="B291" s="6" t="s">
        <v>171</v>
      </c>
      <c r="C291" s="6" t="s">
        <v>496</v>
      </c>
      <c r="D291" s="7">
        <v>315</v>
      </c>
      <c r="E291">
        <v>1030</v>
      </c>
      <c r="F291">
        <v>470</v>
      </c>
      <c r="G291"/>
      <c r="H291"/>
      <c r="I291"/>
    </row>
    <row r="292" spans="1:9" x14ac:dyDescent="0.25">
      <c r="A292" s="5" t="s">
        <v>585</v>
      </c>
      <c r="B292" s="6" t="s">
        <v>171</v>
      </c>
      <c r="C292" s="6" t="s">
        <v>496</v>
      </c>
      <c r="D292" s="7">
        <v>285</v>
      </c>
      <c r="E292">
        <v>940</v>
      </c>
      <c r="F292">
        <v>450</v>
      </c>
      <c r="G292"/>
      <c r="H292"/>
      <c r="I292"/>
    </row>
    <row r="293" spans="1:9" x14ac:dyDescent="0.25">
      <c r="A293" s="5" t="s">
        <v>589</v>
      </c>
      <c r="B293" s="6" t="s">
        <v>171</v>
      </c>
      <c r="C293" s="6" t="s">
        <v>496</v>
      </c>
      <c r="D293" s="7">
        <v>235</v>
      </c>
      <c r="E293">
        <v>800</v>
      </c>
      <c r="F293">
        <v>370</v>
      </c>
    </row>
    <row r="294" spans="1:9" x14ac:dyDescent="0.25">
      <c r="A294" s="5" t="s">
        <v>588</v>
      </c>
      <c r="B294" s="6" t="s">
        <v>171</v>
      </c>
      <c r="C294" s="6" t="s">
        <v>496</v>
      </c>
      <c r="D294" s="7">
        <v>235</v>
      </c>
      <c r="E294">
        <v>800</v>
      </c>
      <c r="F294">
        <v>370</v>
      </c>
    </row>
    <row r="295" spans="1:9" x14ac:dyDescent="0.25">
      <c r="A295" s="5" t="s">
        <v>587</v>
      </c>
      <c r="B295" s="6" t="s">
        <v>171</v>
      </c>
      <c r="C295" s="6" t="s">
        <v>496</v>
      </c>
      <c r="D295" s="7">
        <v>265</v>
      </c>
      <c r="E295">
        <v>880</v>
      </c>
      <c r="F295">
        <v>420</v>
      </c>
    </row>
  </sheetData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horizontalDpi="0" verticalDpi="0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AF477-7908-4851-B931-557EAF11786C}">
  <dimension ref="A1:I79"/>
  <sheetViews>
    <sheetView workbookViewId="0">
      <selection activeCell="J28" sqref="J28"/>
    </sheetView>
  </sheetViews>
  <sheetFormatPr defaultRowHeight="15.75" x14ac:dyDescent="0.25"/>
  <cols>
    <col min="1" max="1" width="19.42578125" style="9" bestFit="1" customWidth="1"/>
    <col min="2" max="2" width="10" style="8" bestFit="1" customWidth="1"/>
    <col min="3" max="3" width="12.7109375" style="8" bestFit="1" customWidth="1"/>
    <col min="4" max="4" width="9.85546875" style="10" bestFit="1" customWidth="1"/>
    <col min="5" max="5" width="10.42578125" style="10" bestFit="1" customWidth="1"/>
    <col min="6" max="6" width="11.42578125" style="10" bestFit="1" customWidth="1"/>
    <col min="7" max="7" width="12.42578125" style="10" bestFit="1" customWidth="1"/>
    <col min="8" max="9" width="11.140625" style="10" bestFit="1" customWidth="1"/>
  </cols>
  <sheetData>
    <row r="1" spans="1:9" x14ac:dyDescent="0.25">
      <c r="A1" s="9" t="s">
        <v>696</v>
      </c>
      <c r="B1" s="8" t="s">
        <v>427</v>
      </c>
      <c r="C1" s="8" t="s">
        <v>503</v>
      </c>
      <c r="D1" s="10" t="s">
        <v>752</v>
      </c>
      <c r="E1" t="s">
        <v>918</v>
      </c>
      <c r="F1" t="s">
        <v>951</v>
      </c>
      <c r="G1"/>
      <c r="H1"/>
      <c r="I1"/>
    </row>
    <row r="2" spans="1:9" x14ac:dyDescent="0.25">
      <c r="A2" s="9">
        <v>120</v>
      </c>
      <c r="B2" s="8" t="s">
        <v>287</v>
      </c>
      <c r="C2" s="8" t="s">
        <v>167</v>
      </c>
      <c r="D2" s="10">
        <v>710</v>
      </c>
      <c r="E2">
        <v>2160</v>
      </c>
      <c r="F2">
        <v>970</v>
      </c>
      <c r="G2"/>
      <c r="H2"/>
      <c r="I2"/>
    </row>
    <row r="3" spans="1:9" x14ac:dyDescent="0.25">
      <c r="A3" s="9">
        <v>121</v>
      </c>
      <c r="B3" s="8" t="s">
        <v>287</v>
      </c>
      <c r="C3" s="8" t="s">
        <v>497</v>
      </c>
      <c r="D3" s="10">
        <v>4375</v>
      </c>
      <c r="E3">
        <v>14340</v>
      </c>
      <c r="F3">
        <v>6070</v>
      </c>
      <c r="G3"/>
      <c r="H3"/>
      <c r="I3"/>
    </row>
    <row r="4" spans="1:9" x14ac:dyDescent="0.25">
      <c r="A4" s="9">
        <v>122</v>
      </c>
      <c r="B4" s="8" t="s">
        <v>287</v>
      </c>
      <c r="C4" s="8" t="s">
        <v>497</v>
      </c>
      <c r="D4" s="10">
        <v>1515</v>
      </c>
      <c r="E4">
        <v>4460</v>
      </c>
      <c r="F4">
        <v>1920</v>
      </c>
      <c r="G4"/>
      <c r="H4"/>
      <c r="I4"/>
    </row>
    <row r="5" spans="1:9" x14ac:dyDescent="0.25">
      <c r="A5" s="9">
        <v>123</v>
      </c>
      <c r="B5" s="8" t="s">
        <v>287</v>
      </c>
      <c r="C5" s="8" t="s">
        <v>497</v>
      </c>
      <c r="D5" s="10">
        <v>2010</v>
      </c>
      <c r="E5">
        <v>6610</v>
      </c>
      <c r="F5">
        <v>2520</v>
      </c>
      <c r="G5"/>
      <c r="H5"/>
      <c r="I5"/>
    </row>
    <row r="6" spans="1:9" x14ac:dyDescent="0.25">
      <c r="A6" s="9">
        <v>127</v>
      </c>
      <c r="B6" s="8" t="s">
        <v>287</v>
      </c>
      <c r="C6" s="8" t="s">
        <v>497</v>
      </c>
      <c r="D6" s="10">
        <v>1450</v>
      </c>
      <c r="E6">
        <v>4280</v>
      </c>
      <c r="F6">
        <v>1850</v>
      </c>
      <c r="G6"/>
      <c r="H6"/>
      <c r="I6"/>
    </row>
    <row r="7" spans="1:9" x14ac:dyDescent="0.25">
      <c r="A7" s="9">
        <v>150</v>
      </c>
      <c r="B7" s="8" t="s">
        <v>287</v>
      </c>
      <c r="C7" s="8" t="s">
        <v>497</v>
      </c>
      <c r="D7" s="10">
        <v>1800</v>
      </c>
      <c r="E7">
        <v>3790</v>
      </c>
      <c r="F7">
        <v>2170</v>
      </c>
      <c r="G7"/>
      <c r="H7"/>
      <c r="I7"/>
    </row>
    <row r="8" spans="1:9" x14ac:dyDescent="0.25">
      <c r="A8" s="9">
        <v>170</v>
      </c>
      <c r="B8" s="8" t="s">
        <v>287</v>
      </c>
      <c r="C8" s="8" t="s">
        <v>497</v>
      </c>
      <c r="D8" s="10">
        <v>1635</v>
      </c>
      <c r="E8">
        <v>3820</v>
      </c>
      <c r="F8">
        <v>2000</v>
      </c>
      <c r="G8"/>
      <c r="H8"/>
      <c r="I8"/>
    </row>
    <row r="9" spans="1:9" x14ac:dyDescent="0.25">
      <c r="A9" s="9">
        <v>190</v>
      </c>
      <c r="B9" s="8" t="s">
        <v>287</v>
      </c>
      <c r="C9" s="8" t="s">
        <v>167</v>
      </c>
      <c r="D9" s="10">
        <v>650</v>
      </c>
      <c r="E9">
        <v>1820</v>
      </c>
      <c r="F9">
        <v>870</v>
      </c>
      <c r="G9"/>
      <c r="H9"/>
      <c r="I9"/>
    </row>
    <row r="10" spans="1:9" x14ac:dyDescent="0.25">
      <c r="A10" s="9">
        <v>191</v>
      </c>
      <c r="B10" s="8" t="s">
        <v>287</v>
      </c>
      <c r="C10" s="8" t="s">
        <v>700</v>
      </c>
      <c r="D10" s="10">
        <v>975</v>
      </c>
      <c r="E10">
        <v>2860</v>
      </c>
      <c r="F10">
        <v>1270</v>
      </c>
      <c r="G10"/>
      <c r="H10"/>
      <c r="I10"/>
    </row>
    <row r="11" spans="1:9" x14ac:dyDescent="0.25">
      <c r="A11" s="9">
        <v>192</v>
      </c>
      <c r="B11" s="8" t="s">
        <v>287</v>
      </c>
      <c r="C11" s="8" t="s">
        <v>167</v>
      </c>
      <c r="D11" s="10">
        <v>645</v>
      </c>
      <c r="E11">
        <v>2180</v>
      </c>
      <c r="F11">
        <v>900</v>
      </c>
      <c r="G11"/>
      <c r="H11"/>
      <c r="I11"/>
    </row>
    <row r="12" spans="1:9" x14ac:dyDescent="0.25">
      <c r="A12" s="9">
        <v>193</v>
      </c>
      <c r="B12" s="8" t="s">
        <v>287</v>
      </c>
      <c r="C12" s="8" t="s">
        <v>497</v>
      </c>
      <c r="D12" s="10">
        <v>3410</v>
      </c>
      <c r="E12">
        <v>10740</v>
      </c>
      <c r="F12">
        <v>4570</v>
      </c>
      <c r="G12"/>
      <c r="H12"/>
      <c r="I12"/>
    </row>
    <row r="13" spans="1:9" x14ac:dyDescent="0.25">
      <c r="A13" s="9">
        <v>194</v>
      </c>
      <c r="B13" s="8" t="s">
        <v>287</v>
      </c>
      <c r="C13" s="8" t="s">
        <v>497</v>
      </c>
      <c r="D13" s="10">
        <v>1595</v>
      </c>
      <c r="E13">
        <v>4840</v>
      </c>
      <c r="F13">
        <v>2100</v>
      </c>
      <c r="G13"/>
      <c r="H13"/>
      <c r="I13"/>
    </row>
    <row r="14" spans="1:9" x14ac:dyDescent="0.25">
      <c r="A14" s="9">
        <v>275</v>
      </c>
      <c r="B14" s="8" t="s">
        <v>287</v>
      </c>
      <c r="C14" s="8" t="s">
        <v>494</v>
      </c>
      <c r="D14" s="10">
        <v>270</v>
      </c>
      <c r="E14">
        <v>890</v>
      </c>
      <c r="F14">
        <v>420</v>
      </c>
      <c r="G14"/>
      <c r="H14"/>
      <c r="I14"/>
    </row>
    <row r="15" spans="1:9" x14ac:dyDescent="0.25">
      <c r="A15" s="9">
        <v>276</v>
      </c>
      <c r="B15" s="8" t="s">
        <v>287</v>
      </c>
      <c r="C15" s="8" t="s">
        <v>494</v>
      </c>
      <c r="D15" s="10">
        <v>175</v>
      </c>
      <c r="E15">
        <v>620</v>
      </c>
      <c r="F15">
        <v>300</v>
      </c>
      <c r="G15"/>
      <c r="H15"/>
      <c r="I15"/>
    </row>
    <row r="16" spans="1:9" x14ac:dyDescent="0.25">
      <c r="A16" s="9">
        <v>402</v>
      </c>
      <c r="B16" s="8" t="s">
        <v>287</v>
      </c>
      <c r="C16" s="8" t="s">
        <v>500</v>
      </c>
      <c r="D16" s="10">
        <v>275</v>
      </c>
      <c r="E16">
        <v>900</v>
      </c>
      <c r="F16">
        <v>420</v>
      </c>
      <c r="G16"/>
      <c r="H16"/>
      <c r="I16"/>
    </row>
    <row r="17" spans="1:9" x14ac:dyDescent="0.25">
      <c r="A17" s="9">
        <v>406</v>
      </c>
      <c r="B17" s="8" t="s">
        <v>287</v>
      </c>
      <c r="C17" s="8" t="s">
        <v>494</v>
      </c>
      <c r="D17" s="10">
        <v>170</v>
      </c>
      <c r="E17">
        <v>580</v>
      </c>
      <c r="F17">
        <v>300</v>
      </c>
      <c r="G17"/>
      <c r="H17"/>
      <c r="I17"/>
    </row>
    <row r="18" spans="1:9" x14ac:dyDescent="0.25">
      <c r="A18" s="9">
        <v>444</v>
      </c>
      <c r="B18" s="8" t="s">
        <v>287</v>
      </c>
      <c r="C18" s="8" t="s">
        <v>494</v>
      </c>
      <c r="D18" s="10">
        <v>160</v>
      </c>
      <c r="E18">
        <v>500</v>
      </c>
      <c r="F18">
        <v>270</v>
      </c>
      <c r="G18"/>
      <c r="H18"/>
      <c r="I18"/>
    </row>
    <row r="19" spans="1:9" x14ac:dyDescent="0.25">
      <c r="A19" s="9">
        <v>472</v>
      </c>
      <c r="B19" s="8" t="s">
        <v>287</v>
      </c>
      <c r="C19" s="8" t="s">
        <v>494</v>
      </c>
      <c r="D19" s="10">
        <v>245</v>
      </c>
      <c r="E19">
        <v>820</v>
      </c>
      <c r="F19">
        <v>400</v>
      </c>
      <c r="G19"/>
      <c r="H19"/>
      <c r="I19"/>
    </row>
    <row r="20" spans="1:9" x14ac:dyDescent="0.25">
      <c r="A20" s="9">
        <v>550</v>
      </c>
      <c r="B20" s="8" t="s">
        <v>287</v>
      </c>
      <c r="C20" s="8" t="s">
        <v>494</v>
      </c>
      <c r="D20" s="10">
        <v>375</v>
      </c>
      <c r="E20">
        <v>1180</v>
      </c>
      <c r="F20">
        <v>550</v>
      </c>
      <c r="G20"/>
      <c r="H20"/>
      <c r="I20"/>
    </row>
    <row r="21" spans="1:9" x14ac:dyDescent="0.25">
      <c r="A21" s="9">
        <v>555</v>
      </c>
      <c r="B21" s="8" t="s">
        <v>287</v>
      </c>
      <c r="C21" s="8" t="s">
        <v>494</v>
      </c>
      <c r="D21" s="10">
        <v>200</v>
      </c>
      <c r="E21">
        <v>600</v>
      </c>
      <c r="F21">
        <v>350</v>
      </c>
      <c r="G21"/>
      <c r="H21"/>
      <c r="I21"/>
    </row>
    <row r="22" spans="1:9" x14ac:dyDescent="0.25">
      <c r="A22" s="9">
        <v>666</v>
      </c>
      <c r="B22" s="8" t="s">
        <v>287</v>
      </c>
      <c r="C22" s="8" t="s">
        <v>494</v>
      </c>
      <c r="D22" s="10">
        <v>235</v>
      </c>
      <c r="E22">
        <v>690</v>
      </c>
      <c r="F22">
        <v>370</v>
      </c>
      <c r="G22"/>
      <c r="H22"/>
      <c r="I22"/>
    </row>
    <row r="23" spans="1:9" x14ac:dyDescent="0.25">
      <c r="A23" s="9">
        <v>710</v>
      </c>
      <c r="B23" s="8" t="s">
        <v>287</v>
      </c>
      <c r="C23" s="8" t="s">
        <v>699</v>
      </c>
      <c r="D23" s="10">
        <v>530</v>
      </c>
      <c r="E23">
        <v>1410</v>
      </c>
      <c r="F23">
        <v>700</v>
      </c>
      <c r="G23"/>
      <c r="H23"/>
      <c r="I23"/>
    </row>
    <row r="24" spans="1:9" x14ac:dyDescent="0.25">
      <c r="A24" s="9">
        <v>747</v>
      </c>
      <c r="B24" s="8" t="s">
        <v>287</v>
      </c>
      <c r="C24" s="8" t="s">
        <v>167</v>
      </c>
      <c r="D24" s="10">
        <v>520</v>
      </c>
      <c r="E24">
        <v>1630</v>
      </c>
      <c r="F24">
        <v>750</v>
      </c>
      <c r="G24"/>
      <c r="H24"/>
      <c r="I24"/>
    </row>
    <row r="25" spans="1:9" x14ac:dyDescent="0.25">
      <c r="A25" s="9">
        <v>749</v>
      </c>
      <c r="B25" s="8" t="s">
        <v>287</v>
      </c>
      <c r="C25" s="8" t="s">
        <v>494</v>
      </c>
      <c r="D25" s="10">
        <v>400</v>
      </c>
      <c r="E25">
        <v>1240</v>
      </c>
      <c r="F25">
        <v>600</v>
      </c>
      <c r="G25"/>
      <c r="H25"/>
      <c r="I25"/>
    </row>
    <row r="26" spans="1:9" x14ac:dyDescent="0.25">
      <c r="A26" s="9">
        <v>751</v>
      </c>
      <c r="B26" s="8" t="s">
        <v>287</v>
      </c>
      <c r="C26" s="8" t="s">
        <v>494</v>
      </c>
      <c r="D26" s="10">
        <v>325</v>
      </c>
      <c r="E26">
        <v>1010</v>
      </c>
      <c r="F26">
        <v>500</v>
      </c>
      <c r="G26"/>
      <c r="H26"/>
      <c r="I26"/>
    </row>
    <row r="27" spans="1:9" x14ac:dyDescent="0.25">
      <c r="A27" s="9">
        <v>761</v>
      </c>
      <c r="B27" s="8" t="s">
        <v>287</v>
      </c>
      <c r="C27" s="8" t="s">
        <v>499</v>
      </c>
      <c r="D27" s="10">
        <v>270</v>
      </c>
      <c r="E27">
        <v>850</v>
      </c>
      <c r="F27">
        <v>420</v>
      </c>
      <c r="G27"/>
      <c r="H27"/>
      <c r="I27"/>
    </row>
    <row r="28" spans="1:9" x14ac:dyDescent="0.25">
      <c r="A28" s="9">
        <v>762</v>
      </c>
      <c r="B28" s="8" t="s">
        <v>287</v>
      </c>
      <c r="C28" s="8" t="s">
        <v>499</v>
      </c>
      <c r="D28" s="10">
        <v>270</v>
      </c>
      <c r="E28">
        <v>840</v>
      </c>
      <c r="F28">
        <v>400</v>
      </c>
      <c r="G28"/>
      <c r="H28"/>
      <c r="I28"/>
    </row>
    <row r="29" spans="1:9" x14ac:dyDescent="0.25">
      <c r="A29" s="9">
        <v>888</v>
      </c>
      <c r="B29" s="8" t="s">
        <v>287</v>
      </c>
      <c r="C29" s="8" t="s">
        <v>494</v>
      </c>
      <c r="D29" s="10">
        <v>325</v>
      </c>
      <c r="E29">
        <v>920</v>
      </c>
      <c r="F29">
        <v>500</v>
      </c>
      <c r="G29"/>
      <c r="H29"/>
      <c r="I29"/>
    </row>
    <row r="30" spans="1:9" x14ac:dyDescent="0.25">
      <c r="A30" s="9">
        <v>910</v>
      </c>
      <c r="B30" s="8" t="s">
        <v>287</v>
      </c>
      <c r="C30" s="8" t="s">
        <v>699</v>
      </c>
      <c r="D30" s="10">
        <v>810</v>
      </c>
      <c r="E30">
        <v>2010</v>
      </c>
      <c r="F30">
        <v>1020</v>
      </c>
      <c r="G30"/>
      <c r="H30"/>
      <c r="I30"/>
    </row>
    <row r="31" spans="1:9" x14ac:dyDescent="0.25">
      <c r="A31" s="9">
        <v>1000</v>
      </c>
      <c r="B31" s="8" t="s">
        <v>287</v>
      </c>
      <c r="C31" s="8" t="s">
        <v>699</v>
      </c>
      <c r="D31" s="10">
        <v>960</v>
      </c>
      <c r="E31">
        <v>2740</v>
      </c>
      <c r="F31">
        <v>1200</v>
      </c>
      <c r="G31"/>
      <c r="H31"/>
      <c r="I31"/>
    </row>
    <row r="32" spans="1:9" x14ac:dyDescent="0.25">
      <c r="A32" s="9">
        <v>1010</v>
      </c>
      <c r="B32" s="8" t="s">
        <v>287</v>
      </c>
      <c r="C32" s="8" t="s">
        <v>699</v>
      </c>
      <c r="D32" s="10">
        <v>760</v>
      </c>
      <c r="E32">
        <v>1940</v>
      </c>
      <c r="F32">
        <v>970</v>
      </c>
      <c r="G32"/>
      <c r="H32"/>
      <c r="I32"/>
    </row>
    <row r="33" spans="1:9" x14ac:dyDescent="0.25">
      <c r="A33" s="9">
        <v>1111</v>
      </c>
      <c r="B33" s="8" t="s">
        <v>287</v>
      </c>
      <c r="C33" s="8" t="s">
        <v>494</v>
      </c>
      <c r="D33" s="10">
        <v>400</v>
      </c>
      <c r="E33">
        <v>1140</v>
      </c>
      <c r="F33">
        <v>600</v>
      </c>
      <c r="G33"/>
      <c r="H33"/>
      <c r="I33"/>
    </row>
    <row r="34" spans="1:9" x14ac:dyDescent="0.25">
      <c r="A34" s="9">
        <v>1200</v>
      </c>
      <c r="B34" s="8" t="s">
        <v>287</v>
      </c>
      <c r="C34" s="8" t="s">
        <v>167</v>
      </c>
      <c r="D34" s="10">
        <v>810</v>
      </c>
      <c r="E34">
        <v>2500</v>
      </c>
      <c r="F34">
        <v>1100</v>
      </c>
      <c r="G34"/>
      <c r="H34"/>
      <c r="I34"/>
    </row>
    <row r="35" spans="1:9" x14ac:dyDescent="0.25">
      <c r="A35" s="9">
        <v>1211</v>
      </c>
      <c r="B35" s="8" t="s">
        <v>287</v>
      </c>
      <c r="C35" s="8" t="s">
        <v>497</v>
      </c>
      <c r="D35" s="10">
        <v>2570</v>
      </c>
      <c r="E35">
        <v>8450</v>
      </c>
      <c r="F35">
        <v>3570</v>
      </c>
      <c r="G35"/>
      <c r="H35"/>
      <c r="I35"/>
    </row>
    <row r="36" spans="1:9" x14ac:dyDescent="0.25">
      <c r="A36" s="9">
        <v>1212</v>
      </c>
      <c r="B36" s="8" t="s">
        <v>287</v>
      </c>
      <c r="C36" s="8" t="s">
        <v>497</v>
      </c>
      <c r="D36" s="10">
        <v>1850</v>
      </c>
      <c r="E36">
        <v>6100</v>
      </c>
      <c r="F36">
        <v>2320</v>
      </c>
      <c r="G36"/>
      <c r="H36"/>
      <c r="I36"/>
    </row>
    <row r="37" spans="1:9" x14ac:dyDescent="0.25">
      <c r="A37" s="9">
        <v>1213</v>
      </c>
      <c r="B37" s="8" t="s">
        <v>287</v>
      </c>
      <c r="C37" s="8" t="s">
        <v>497</v>
      </c>
      <c r="D37" s="10">
        <v>2440</v>
      </c>
      <c r="E37">
        <v>8030</v>
      </c>
      <c r="F37">
        <v>3420</v>
      </c>
      <c r="G37"/>
      <c r="H37"/>
      <c r="I37"/>
    </row>
    <row r="38" spans="1:9" x14ac:dyDescent="0.25">
      <c r="A38" s="9">
        <v>1214</v>
      </c>
      <c r="B38" s="8" t="s">
        <v>680</v>
      </c>
      <c r="C38" s="8" t="s">
        <v>497</v>
      </c>
      <c r="D38" s="10">
        <v>3545</v>
      </c>
      <c r="E38">
        <v>11590</v>
      </c>
      <c r="F38">
        <v>4920</v>
      </c>
      <c r="G38"/>
      <c r="H38"/>
      <c r="I38"/>
    </row>
    <row r="39" spans="1:9" x14ac:dyDescent="0.25">
      <c r="A39" s="9">
        <v>1400</v>
      </c>
      <c r="B39" s="8" t="s">
        <v>287</v>
      </c>
      <c r="C39" s="8" t="s">
        <v>167</v>
      </c>
      <c r="D39" s="10">
        <v>265</v>
      </c>
      <c r="E39">
        <v>790</v>
      </c>
      <c r="F39">
        <v>420</v>
      </c>
      <c r="G39"/>
      <c r="H39"/>
      <c r="I39"/>
    </row>
    <row r="40" spans="1:9" x14ac:dyDescent="0.25">
      <c r="A40" s="9">
        <v>1600</v>
      </c>
      <c r="B40" s="8" t="s">
        <v>287</v>
      </c>
      <c r="C40" s="8" t="s">
        <v>167</v>
      </c>
      <c r="D40" s="10">
        <v>375</v>
      </c>
      <c r="E40">
        <v>1200</v>
      </c>
      <c r="F40">
        <v>550</v>
      </c>
      <c r="G40"/>
      <c r="H40"/>
      <c r="I40"/>
    </row>
    <row r="41" spans="1:9" x14ac:dyDescent="0.25">
      <c r="A41" s="9">
        <v>1651</v>
      </c>
      <c r="B41" s="8" t="s">
        <v>287</v>
      </c>
      <c r="C41" s="8" t="s">
        <v>699</v>
      </c>
      <c r="D41" s="10">
        <v>1225</v>
      </c>
      <c r="E41">
        <v>3450</v>
      </c>
      <c r="F41">
        <v>1520</v>
      </c>
      <c r="G41"/>
      <c r="H41"/>
      <c r="I41"/>
    </row>
    <row r="42" spans="1:9" x14ac:dyDescent="0.25">
      <c r="A42" s="9">
        <v>1800</v>
      </c>
      <c r="B42" s="8" t="s">
        <v>287</v>
      </c>
      <c r="C42" s="8" t="s">
        <v>167</v>
      </c>
      <c r="D42" s="10">
        <v>565</v>
      </c>
      <c r="E42">
        <v>1770</v>
      </c>
      <c r="F42">
        <v>800</v>
      </c>
      <c r="G42"/>
      <c r="H42"/>
      <c r="I42"/>
    </row>
    <row r="43" spans="1:9" x14ac:dyDescent="0.25">
      <c r="A43" s="9">
        <v>2010</v>
      </c>
      <c r="B43" s="8" t="s">
        <v>287</v>
      </c>
      <c r="C43" s="8" t="s">
        <v>167</v>
      </c>
      <c r="D43" s="10">
        <v>715</v>
      </c>
      <c r="E43">
        <v>2220</v>
      </c>
      <c r="F43">
        <v>970</v>
      </c>
      <c r="G43"/>
      <c r="H43"/>
      <c r="I43"/>
    </row>
    <row r="44" spans="1:9" x14ac:dyDescent="0.25">
      <c r="A44" s="9">
        <v>2011</v>
      </c>
      <c r="B44" s="8" t="s">
        <v>287</v>
      </c>
      <c r="C44" s="8" t="s">
        <v>167</v>
      </c>
      <c r="D44" s="10">
        <v>710</v>
      </c>
      <c r="E44">
        <v>2200</v>
      </c>
      <c r="F44">
        <v>970</v>
      </c>
      <c r="G44"/>
      <c r="H44"/>
      <c r="I44"/>
    </row>
    <row r="45" spans="1:9" x14ac:dyDescent="0.25">
      <c r="A45" s="9">
        <v>2400</v>
      </c>
      <c r="B45" s="8" t="s">
        <v>287</v>
      </c>
      <c r="C45" s="8" t="s">
        <v>699</v>
      </c>
      <c r="D45" s="10">
        <v>1285</v>
      </c>
      <c r="E45">
        <v>3660</v>
      </c>
      <c r="F45">
        <v>1570</v>
      </c>
      <c r="G45"/>
      <c r="H45"/>
      <c r="I45"/>
    </row>
    <row r="46" spans="1:9" x14ac:dyDescent="0.25">
      <c r="A46" s="9">
        <v>2451</v>
      </c>
      <c r="B46" s="8" t="s">
        <v>287</v>
      </c>
      <c r="C46" s="8" t="s">
        <v>699</v>
      </c>
      <c r="D46" s="10">
        <v>1795</v>
      </c>
      <c r="E46">
        <v>5040</v>
      </c>
      <c r="F46">
        <v>2170</v>
      </c>
      <c r="G46"/>
      <c r="H46"/>
      <c r="I46"/>
    </row>
    <row r="47" spans="1:9" x14ac:dyDescent="0.25">
      <c r="A47" s="9">
        <v>2751</v>
      </c>
      <c r="B47" s="8" t="s">
        <v>287</v>
      </c>
      <c r="C47" s="8" t="s">
        <v>494</v>
      </c>
      <c r="D47" s="10">
        <v>190</v>
      </c>
      <c r="E47">
        <v>660</v>
      </c>
      <c r="F47">
        <v>320</v>
      </c>
      <c r="G47"/>
      <c r="H47"/>
      <c r="I47"/>
    </row>
    <row r="48" spans="1:9" x14ac:dyDescent="0.25">
      <c r="A48" s="9">
        <v>2752</v>
      </c>
      <c r="B48" s="8" t="s">
        <v>287</v>
      </c>
      <c r="C48" s="8" t="s">
        <v>494</v>
      </c>
      <c r="D48" s="10">
        <v>225</v>
      </c>
      <c r="E48">
        <v>760</v>
      </c>
      <c r="F48">
        <v>370</v>
      </c>
      <c r="G48"/>
      <c r="H48"/>
      <c r="I48"/>
    </row>
    <row r="49" spans="1:9" x14ac:dyDescent="0.25">
      <c r="A49" s="9">
        <v>2753</v>
      </c>
      <c r="B49" s="8" t="s">
        <v>287</v>
      </c>
      <c r="C49" s="8" t="s">
        <v>494</v>
      </c>
      <c r="D49" s="10">
        <v>320</v>
      </c>
      <c r="E49">
        <v>1050</v>
      </c>
      <c r="F49">
        <v>500</v>
      </c>
      <c r="G49"/>
      <c r="H49"/>
      <c r="I49"/>
    </row>
    <row r="50" spans="1:9" x14ac:dyDescent="0.25">
      <c r="A50" s="9">
        <v>2754</v>
      </c>
      <c r="B50" s="8" t="s">
        <v>287</v>
      </c>
      <c r="C50" s="8" t="s">
        <v>494</v>
      </c>
      <c r="D50" s="10">
        <v>180</v>
      </c>
      <c r="E50">
        <v>630</v>
      </c>
      <c r="F50">
        <v>320</v>
      </c>
      <c r="G50"/>
      <c r="H50"/>
      <c r="I50"/>
    </row>
    <row r="51" spans="1:9" x14ac:dyDescent="0.25">
      <c r="A51" s="9">
        <v>2755</v>
      </c>
      <c r="B51" s="8" t="s">
        <v>287</v>
      </c>
      <c r="C51" s="8" t="s">
        <v>494</v>
      </c>
      <c r="D51" s="10">
        <v>195</v>
      </c>
      <c r="E51">
        <v>670</v>
      </c>
      <c r="F51">
        <v>320</v>
      </c>
      <c r="G51"/>
      <c r="H51"/>
      <c r="I51"/>
    </row>
    <row r="52" spans="1:9" x14ac:dyDescent="0.25">
      <c r="A52" s="9">
        <v>2756</v>
      </c>
      <c r="B52" s="8" t="s">
        <v>287</v>
      </c>
      <c r="C52" s="8" t="s">
        <v>494</v>
      </c>
      <c r="D52" s="10">
        <v>150</v>
      </c>
      <c r="E52">
        <v>530</v>
      </c>
      <c r="F52">
        <v>270</v>
      </c>
      <c r="G52"/>
      <c r="H52"/>
      <c r="I52"/>
    </row>
    <row r="53" spans="1:9" x14ac:dyDescent="0.25">
      <c r="A53" s="9">
        <v>2757</v>
      </c>
      <c r="B53" s="8" t="s">
        <v>287</v>
      </c>
      <c r="C53" s="8" t="s">
        <v>494</v>
      </c>
      <c r="D53" s="10">
        <v>160</v>
      </c>
      <c r="E53">
        <v>560</v>
      </c>
      <c r="F53">
        <v>270</v>
      </c>
      <c r="G53"/>
      <c r="H53"/>
      <c r="I53"/>
    </row>
    <row r="54" spans="1:9" x14ac:dyDescent="0.25">
      <c r="A54" s="9">
        <v>2758</v>
      </c>
      <c r="B54" s="8" t="s">
        <v>287</v>
      </c>
      <c r="C54" s="8" t="s">
        <v>494</v>
      </c>
      <c r="D54" s="10">
        <v>140</v>
      </c>
      <c r="E54">
        <v>500</v>
      </c>
      <c r="F54">
        <v>250</v>
      </c>
      <c r="G54"/>
      <c r="H54"/>
      <c r="I54"/>
    </row>
    <row r="55" spans="1:9" x14ac:dyDescent="0.25">
      <c r="A55" s="9">
        <v>2759</v>
      </c>
      <c r="B55" s="8" t="s">
        <v>287</v>
      </c>
      <c r="C55" s="8" t="s">
        <v>494</v>
      </c>
      <c r="D55" s="10">
        <v>195</v>
      </c>
      <c r="E55">
        <v>670</v>
      </c>
      <c r="F55">
        <v>320</v>
      </c>
      <c r="G55"/>
      <c r="H55"/>
      <c r="I55"/>
    </row>
    <row r="56" spans="1:9" x14ac:dyDescent="0.25">
      <c r="A56" s="9">
        <v>2760</v>
      </c>
      <c r="B56" s="8" t="s">
        <v>287</v>
      </c>
      <c r="C56" s="8" t="s">
        <v>494</v>
      </c>
      <c r="D56" s="10">
        <v>195</v>
      </c>
      <c r="E56">
        <v>670</v>
      </c>
      <c r="F56">
        <v>320</v>
      </c>
      <c r="G56"/>
      <c r="H56"/>
      <c r="I56"/>
    </row>
    <row r="57" spans="1:9" x14ac:dyDescent="0.25">
      <c r="A57" s="9">
        <v>2766</v>
      </c>
      <c r="B57" s="8" t="s">
        <v>287</v>
      </c>
      <c r="C57" s="8" t="s">
        <v>494</v>
      </c>
      <c r="D57" s="10">
        <v>190</v>
      </c>
      <c r="E57">
        <v>660</v>
      </c>
      <c r="F57">
        <v>320</v>
      </c>
      <c r="G57"/>
      <c r="H57"/>
      <c r="I57"/>
    </row>
    <row r="58" spans="1:9" x14ac:dyDescent="0.25">
      <c r="A58" s="9">
        <v>4502</v>
      </c>
      <c r="B58" s="8" t="s">
        <v>287</v>
      </c>
      <c r="C58" s="8" t="s">
        <v>494</v>
      </c>
      <c r="D58" s="10">
        <v>225</v>
      </c>
      <c r="E58">
        <v>770</v>
      </c>
      <c r="F58">
        <v>370</v>
      </c>
      <c r="G58"/>
      <c r="H58"/>
      <c r="I58"/>
    </row>
    <row r="59" spans="1:9" x14ac:dyDescent="0.25">
      <c r="A59" s="9">
        <v>4503</v>
      </c>
      <c r="B59" s="8" t="s">
        <v>287</v>
      </c>
      <c r="C59" s="8" t="s">
        <v>494</v>
      </c>
      <c r="D59" s="10">
        <v>160</v>
      </c>
      <c r="E59">
        <v>560</v>
      </c>
      <c r="F59">
        <v>270</v>
      </c>
      <c r="G59"/>
      <c r="H59"/>
      <c r="I59"/>
    </row>
    <row r="60" spans="1:9" x14ac:dyDescent="0.25">
      <c r="A60" s="9">
        <v>4509</v>
      </c>
      <c r="B60" s="8" t="s">
        <v>287</v>
      </c>
      <c r="C60" s="8" t="s">
        <v>494</v>
      </c>
      <c r="D60" s="10">
        <v>85</v>
      </c>
      <c r="E60">
        <v>330</v>
      </c>
      <c r="F60">
        <v>200</v>
      </c>
      <c r="G60"/>
      <c r="H60"/>
      <c r="I60"/>
    </row>
    <row r="61" spans="1:9" x14ac:dyDescent="0.25">
      <c r="A61" s="9" t="s">
        <v>1018</v>
      </c>
      <c r="B61" s="8" t="s">
        <v>287</v>
      </c>
      <c r="C61" s="8" t="s">
        <v>494</v>
      </c>
      <c r="D61" s="10">
        <v>290</v>
      </c>
      <c r="E61">
        <v>870</v>
      </c>
      <c r="F61">
        <v>450</v>
      </c>
      <c r="G61"/>
      <c r="H61"/>
      <c r="I61"/>
    </row>
    <row r="62" spans="1:9" x14ac:dyDescent="0.25">
      <c r="A62" s="9" t="s">
        <v>763</v>
      </c>
      <c r="B62" s="8" t="s">
        <v>680</v>
      </c>
      <c r="C62" s="8" t="s">
        <v>705</v>
      </c>
      <c r="D62" s="10">
        <v>6940</v>
      </c>
      <c r="E62">
        <v>23460</v>
      </c>
      <c r="F62">
        <v>11870</v>
      </c>
      <c r="G62"/>
      <c r="H62"/>
      <c r="I62"/>
    </row>
    <row r="63" spans="1:9" x14ac:dyDescent="0.25">
      <c r="A63" s="9" t="s">
        <v>764</v>
      </c>
      <c r="B63" s="8" t="s">
        <v>680</v>
      </c>
      <c r="C63" s="8" t="s">
        <v>705</v>
      </c>
      <c r="D63" s="10">
        <v>7565</v>
      </c>
      <c r="E63">
        <v>25580</v>
      </c>
      <c r="F63">
        <v>12970</v>
      </c>
      <c r="G63"/>
      <c r="H63"/>
      <c r="I63"/>
    </row>
    <row r="64" spans="1:9" x14ac:dyDescent="0.25">
      <c r="A64" s="9" t="s">
        <v>1017</v>
      </c>
      <c r="B64" s="8" t="s">
        <v>287</v>
      </c>
      <c r="C64" s="8" t="s">
        <v>494</v>
      </c>
      <c r="D64" s="10">
        <v>220</v>
      </c>
      <c r="E64">
        <v>650</v>
      </c>
      <c r="F64">
        <v>370</v>
      </c>
      <c r="G64"/>
      <c r="H64"/>
      <c r="I64"/>
    </row>
    <row r="65" spans="1:9" x14ac:dyDescent="0.25">
      <c r="A65" s="9" t="s">
        <v>1016</v>
      </c>
      <c r="B65" s="8" t="s">
        <v>287</v>
      </c>
      <c r="C65" s="8" t="s">
        <v>494</v>
      </c>
      <c r="D65" s="10">
        <v>255</v>
      </c>
      <c r="E65">
        <v>760</v>
      </c>
      <c r="F65">
        <v>400</v>
      </c>
      <c r="G65"/>
      <c r="H65"/>
      <c r="I65"/>
    </row>
    <row r="66" spans="1:9" x14ac:dyDescent="0.25">
      <c r="A66" s="9" t="s">
        <v>1019</v>
      </c>
      <c r="B66" s="8" t="s">
        <v>287</v>
      </c>
      <c r="C66" s="8" t="s">
        <v>494</v>
      </c>
      <c r="D66" s="10">
        <v>400</v>
      </c>
      <c r="E66">
        <v>1280</v>
      </c>
      <c r="F66">
        <v>600</v>
      </c>
      <c r="G66"/>
      <c r="H66"/>
      <c r="I66"/>
    </row>
    <row r="67" spans="1:9" x14ac:dyDescent="0.25">
      <c r="A67" s="9" t="s">
        <v>1023</v>
      </c>
      <c r="B67" s="8" t="s">
        <v>287</v>
      </c>
      <c r="C67" s="8" t="s">
        <v>494</v>
      </c>
      <c r="D67" s="10">
        <v>245</v>
      </c>
      <c r="E67">
        <v>820</v>
      </c>
      <c r="F67">
        <v>400</v>
      </c>
      <c r="G67"/>
      <c r="H67"/>
      <c r="I67"/>
    </row>
    <row r="68" spans="1:9" x14ac:dyDescent="0.25">
      <c r="A68" s="9" t="s">
        <v>553</v>
      </c>
      <c r="B68" s="8" t="s">
        <v>287</v>
      </c>
      <c r="C68" s="8" t="s">
        <v>494</v>
      </c>
      <c r="D68" s="10">
        <v>130</v>
      </c>
      <c r="E68">
        <v>480</v>
      </c>
      <c r="F68">
        <v>250</v>
      </c>
      <c r="G68"/>
      <c r="H68"/>
      <c r="I68"/>
    </row>
    <row r="69" spans="1:9" x14ac:dyDescent="0.25">
      <c r="A69" s="9" t="s">
        <v>554</v>
      </c>
      <c r="B69" s="8" t="s">
        <v>287</v>
      </c>
      <c r="C69" s="8" t="s">
        <v>494</v>
      </c>
      <c r="D69" s="10">
        <v>200</v>
      </c>
      <c r="E69">
        <v>710</v>
      </c>
      <c r="F69">
        <v>350</v>
      </c>
      <c r="G69"/>
      <c r="H69"/>
      <c r="I69"/>
    </row>
    <row r="70" spans="1:9" x14ac:dyDescent="0.25">
      <c r="A70" s="9" t="s">
        <v>555</v>
      </c>
      <c r="B70" s="8" t="s">
        <v>287</v>
      </c>
      <c r="C70" s="8" t="s">
        <v>494</v>
      </c>
      <c r="D70" s="10">
        <v>190</v>
      </c>
      <c r="E70">
        <v>660</v>
      </c>
      <c r="F70">
        <v>320</v>
      </c>
      <c r="G70"/>
      <c r="H70"/>
      <c r="I70"/>
    </row>
    <row r="71" spans="1:9" x14ac:dyDescent="0.25">
      <c r="A71" s="9" t="s">
        <v>557</v>
      </c>
      <c r="B71" s="8" t="s">
        <v>287</v>
      </c>
      <c r="C71" s="8" t="s">
        <v>494</v>
      </c>
      <c r="D71" s="10">
        <v>220</v>
      </c>
      <c r="E71">
        <v>750</v>
      </c>
      <c r="F71">
        <v>350</v>
      </c>
      <c r="G71"/>
      <c r="H71"/>
      <c r="I71"/>
    </row>
    <row r="72" spans="1:9" x14ac:dyDescent="0.25">
      <c r="A72" s="9" t="s">
        <v>556</v>
      </c>
      <c r="B72" s="8" t="s">
        <v>287</v>
      </c>
      <c r="C72" s="8" t="s">
        <v>494</v>
      </c>
      <c r="D72" s="10">
        <v>365</v>
      </c>
      <c r="E72">
        <v>1200</v>
      </c>
      <c r="F72">
        <v>550</v>
      </c>
      <c r="G72"/>
      <c r="H72"/>
      <c r="I72"/>
    </row>
    <row r="73" spans="1:9" x14ac:dyDescent="0.25">
      <c r="A73" s="9" t="s">
        <v>558</v>
      </c>
      <c r="B73" s="8" t="s">
        <v>287</v>
      </c>
      <c r="C73" s="8" t="s">
        <v>494</v>
      </c>
      <c r="D73" s="10">
        <v>280</v>
      </c>
      <c r="E73">
        <v>920</v>
      </c>
      <c r="F73">
        <v>450</v>
      </c>
      <c r="G73"/>
      <c r="H73"/>
      <c r="I73"/>
    </row>
    <row r="74" spans="1:9" x14ac:dyDescent="0.25">
      <c r="A74" s="9" t="s">
        <v>559</v>
      </c>
      <c r="B74" s="8" t="s">
        <v>287</v>
      </c>
      <c r="C74" s="8" t="s">
        <v>494</v>
      </c>
      <c r="D74" s="10">
        <v>310</v>
      </c>
      <c r="E74">
        <v>1010</v>
      </c>
      <c r="F74">
        <v>470</v>
      </c>
      <c r="G74"/>
      <c r="H74"/>
      <c r="I74"/>
    </row>
    <row r="75" spans="1:9" x14ac:dyDescent="0.25">
      <c r="A75" s="9" t="s">
        <v>1024</v>
      </c>
      <c r="B75" s="8" t="s">
        <v>287</v>
      </c>
      <c r="C75" s="8" t="s">
        <v>494</v>
      </c>
      <c r="D75" s="10">
        <v>245</v>
      </c>
      <c r="E75">
        <v>820</v>
      </c>
      <c r="F75">
        <v>400</v>
      </c>
      <c r="G75"/>
      <c r="H75"/>
      <c r="I75"/>
    </row>
    <row r="76" spans="1:9" x14ac:dyDescent="0.25">
      <c r="A76" s="9" t="s">
        <v>114</v>
      </c>
      <c r="B76" s="8" t="s">
        <v>287</v>
      </c>
      <c r="C76" s="8" t="s">
        <v>494</v>
      </c>
      <c r="D76" s="10">
        <v>400</v>
      </c>
      <c r="E76">
        <v>1300</v>
      </c>
      <c r="F76">
        <v>600</v>
      </c>
      <c r="G76"/>
      <c r="H76"/>
      <c r="I76"/>
    </row>
    <row r="77" spans="1:9" x14ac:dyDescent="0.25">
      <c r="G77"/>
      <c r="H77"/>
      <c r="I77"/>
    </row>
    <row r="78" spans="1:9" x14ac:dyDescent="0.25">
      <c r="G78"/>
      <c r="H78"/>
      <c r="I78"/>
    </row>
    <row r="79" spans="1:9" x14ac:dyDescent="0.25">
      <c r="G79"/>
      <c r="H79"/>
      <c r="I79"/>
    </row>
  </sheetData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horizontalDpi="0" verticalDpi="0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76715-7D0F-411B-8A36-ED5245A07066}">
  <dimension ref="A1:G48"/>
  <sheetViews>
    <sheetView workbookViewId="0"/>
  </sheetViews>
  <sheetFormatPr defaultRowHeight="15.75" x14ac:dyDescent="0.25"/>
  <cols>
    <col min="1" max="1" width="44" style="11" bestFit="1" customWidth="1"/>
    <col min="2" max="2" width="7.7109375" style="11" bestFit="1" customWidth="1"/>
    <col min="3" max="3" width="7.85546875" style="12" bestFit="1" customWidth="1"/>
    <col min="4" max="4" width="10.42578125" style="12" bestFit="1" customWidth="1"/>
    <col min="5" max="5" width="11.42578125" style="12" bestFit="1" customWidth="1"/>
    <col min="6" max="7" width="11.140625" style="12" bestFit="1" customWidth="1"/>
  </cols>
  <sheetData>
    <row r="1" spans="1:7" x14ac:dyDescent="0.25">
      <c r="A1" s="11" t="s">
        <v>696</v>
      </c>
      <c r="B1" s="11" t="s">
        <v>427</v>
      </c>
      <c r="C1" s="12" t="s">
        <v>752</v>
      </c>
      <c r="D1" t="s">
        <v>918</v>
      </c>
      <c r="E1" t="s">
        <v>951</v>
      </c>
      <c r="F1"/>
      <c r="G1"/>
    </row>
    <row r="2" spans="1:7" x14ac:dyDescent="0.25">
      <c r="A2" s="11" t="s">
        <v>298</v>
      </c>
      <c r="B2" s="11" t="s">
        <v>162</v>
      </c>
      <c r="C2" s="12">
        <v>690</v>
      </c>
      <c r="D2">
        <v>2160</v>
      </c>
      <c r="E2">
        <v>880</v>
      </c>
      <c r="F2"/>
      <c r="G2"/>
    </row>
    <row r="3" spans="1:7" x14ac:dyDescent="0.25">
      <c r="A3" s="11" t="s">
        <v>299</v>
      </c>
      <c r="B3" s="11" t="s">
        <v>162</v>
      </c>
      <c r="C3" s="12">
        <v>690</v>
      </c>
      <c r="D3">
        <v>2160</v>
      </c>
      <c r="E3">
        <v>880</v>
      </c>
      <c r="F3"/>
      <c r="G3"/>
    </row>
    <row r="4" spans="1:7" x14ac:dyDescent="0.25">
      <c r="A4" s="11" t="s">
        <v>300</v>
      </c>
      <c r="B4" s="11" t="s">
        <v>162</v>
      </c>
      <c r="C4" s="12">
        <v>690</v>
      </c>
      <c r="D4">
        <v>2160</v>
      </c>
      <c r="E4">
        <v>880</v>
      </c>
      <c r="F4"/>
      <c r="G4"/>
    </row>
    <row r="5" spans="1:7" x14ac:dyDescent="0.25">
      <c r="A5" s="11" t="s">
        <v>301</v>
      </c>
      <c r="B5" s="11" t="s">
        <v>162</v>
      </c>
      <c r="C5" s="12">
        <v>690</v>
      </c>
      <c r="D5">
        <v>2160</v>
      </c>
      <c r="E5">
        <v>880</v>
      </c>
      <c r="F5"/>
      <c r="G5"/>
    </row>
    <row r="6" spans="1:7" x14ac:dyDescent="0.25">
      <c r="A6" s="11" t="s">
        <v>302</v>
      </c>
      <c r="B6" s="11" t="s">
        <v>162</v>
      </c>
      <c r="C6" s="12">
        <v>690</v>
      </c>
      <c r="D6">
        <v>2160</v>
      </c>
      <c r="E6">
        <v>880</v>
      </c>
      <c r="F6"/>
      <c r="G6"/>
    </row>
    <row r="7" spans="1:7" x14ac:dyDescent="0.25">
      <c r="A7" s="11" t="s">
        <v>303</v>
      </c>
      <c r="B7" s="11" t="s">
        <v>162</v>
      </c>
      <c r="C7" s="12">
        <v>1015</v>
      </c>
      <c r="D7">
        <v>3140</v>
      </c>
      <c r="E7">
        <v>1270</v>
      </c>
      <c r="F7"/>
      <c r="G7"/>
    </row>
    <row r="8" spans="1:7" x14ac:dyDescent="0.25">
      <c r="A8" s="11" t="s">
        <v>304</v>
      </c>
      <c r="B8" s="11" t="s">
        <v>162</v>
      </c>
      <c r="C8" s="12">
        <v>1015</v>
      </c>
      <c r="D8">
        <v>3140</v>
      </c>
      <c r="E8">
        <v>1270</v>
      </c>
      <c r="F8"/>
      <c r="G8"/>
    </row>
    <row r="9" spans="1:7" x14ac:dyDescent="0.25">
      <c r="A9" s="11" t="s">
        <v>305</v>
      </c>
      <c r="B9" s="11" t="s">
        <v>162</v>
      </c>
      <c r="C9" s="12">
        <v>1015</v>
      </c>
      <c r="D9">
        <v>3140</v>
      </c>
      <c r="E9">
        <v>1270</v>
      </c>
      <c r="F9"/>
      <c r="G9"/>
    </row>
    <row r="10" spans="1:7" x14ac:dyDescent="0.25">
      <c r="A10" s="11" t="s">
        <v>306</v>
      </c>
      <c r="B10" s="11" t="s">
        <v>162</v>
      </c>
      <c r="C10" s="12">
        <v>1015</v>
      </c>
      <c r="D10">
        <v>3140</v>
      </c>
      <c r="E10">
        <v>1270</v>
      </c>
      <c r="F10"/>
      <c r="G10"/>
    </row>
    <row r="11" spans="1:7" x14ac:dyDescent="0.25">
      <c r="A11" s="11" t="s">
        <v>307</v>
      </c>
      <c r="B11" s="11" t="s">
        <v>162</v>
      </c>
      <c r="C11" s="12">
        <v>1015</v>
      </c>
      <c r="D11">
        <v>3140</v>
      </c>
      <c r="E11">
        <v>1270</v>
      </c>
      <c r="F11"/>
      <c r="G11"/>
    </row>
    <row r="12" spans="1:7" x14ac:dyDescent="0.25">
      <c r="A12" s="11" t="s">
        <v>308</v>
      </c>
      <c r="B12" s="11" t="s">
        <v>162</v>
      </c>
      <c r="C12" s="12">
        <v>1015</v>
      </c>
      <c r="D12">
        <v>3140</v>
      </c>
      <c r="E12">
        <v>1270</v>
      </c>
      <c r="F12"/>
      <c r="G12"/>
    </row>
    <row r="13" spans="1:7" x14ac:dyDescent="0.25">
      <c r="A13" s="11" t="s">
        <v>309</v>
      </c>
      <c r="B13" s="11" t="s">
        <v>162</v>
      </c>
      <c r="C13" s="12">
        <v>1015</v>
      </c>
      <c r="D13">
        <v>3140</v>
      </c>
      <c r="E13">
        <v>1270</v>
      </c>
      <c r="F13"/>
      <c r="G13"/>
    </row>
    <row r="14" spans="1:7" x14ac:dyDescent="0.25">
      <c r="A14" s="11" t="s">
        <v>310</v>
      </c>
      <c r="B14" s="11" t="s">
        <v>162</v>
      </c>
      <c r="C14" s="12">
        <v>1015</v>
      </c>
      <c r="D14">
        <v>3140</v>
      </c>
      <c r="E14">
        <v>1270</v>
      </c>
      <c r="F14"/>
      <c r="G14"/>
    </row>
    <row r="15" spans="1:7" x14ac:dyDescent="0.25">
      <c r="A15" s="11" t="s">
        <v>311</v>
      </c>
      <c r="B15" s="11" t="s">
        <v>162</v>
      </c>
      <c r="C15" s="12">
        <v>1015</v>
      </c>
      <c r="D15">
        <v>3140</v>
      </c>
      <c r="E15">
        <v>1270</v>
      </c>
      <c r="F15"/>
      <c r="G15"/>
    </row>
    <row r="16" spans="1:7" x14ac:dyDescent="0.25">
      <c r="A16" s="11" t="s">
        <v>334</v>
      </c>
      <c r="B16" s="11" t="s">
        <v>162</v>
      </c>
      <c r="C16" s="12">
        <v>565</v>
      </c>
      <c r="D16">
        <v>1790</v>
      </c>
      <c r="E16">
        <v>740</v>
      </c>
      <c r="F16"/>
      <c r="G16"/>
    </row>
    <row r="17" spans="1:7" x14ac:dyDescent="0.25">
      <c r="A17" s="11" t="s">
        <v>336</v>
      </c>
      <c r="B17" s="11" t="s">
        <v>162</v>
      </c>
      <c r="C17" s="12">
        <v>765</v>
      </c>
      <c r="D17">
        <v>2390</v>
      </c>
      <c r="E17">
        <v>970</v>
      </c>
      <c r="F17"/>
      <c r="G17"/>
    </row>
    <row r="18" spans="1:7" x14ac:dyDescent="0.25">
      <c r="A18" s="11" t="s">
        <v>338</v>
      </c>
      <c r="B18" s="11" t="s">
        <v>162</v>
      </c>
      <c r="C18" s="12">
        <v>825</v>
      </c>
      <c r="D18">
        <v>2580</v>
      </c>
      <c r="E18">
        <v>1050</v>
      </c>
      <c r="F18"/>
      <c r="G18"/>
    </row>
    <row r="19" spans="1:7" x14ac:dyDescent="0.25">
      <c r="A19" s="11" t="s">
        <v>339</v>
      </c>
      <c r="B19" s="11" t="s">
        <v>162</v>
      </c>
      <c r="C19" s="12">
        <v>685</v>
      </c>
      <c r="D19">
        <v>2140</v>
      </c>
      <c r="E19">
        <v>880</v>
      </c>
      <c r="F19"/>
      <c r="G19"/>
    </row>
    <row r="20" spans="1:7" x14ac:dyDescent="0.25">
      <c r="A20" s="11" t="s">
        <v>340</v>
      </c>
      <c r="B20" s="11" t="s">
        <v>162</v>
      </c>
      <c r="C20" s="12">
        <v>1040</v>
      </c>
      <c r="D20">
        <v>3220</v>
      </c>
      <c r="E20">
        <v>1300</v>
      </c>
      <c r="F20"/>
      <c r="G20"/>
    </row>
    <row r="21" spans="1:7" x14ac:dyDescent="0.25">
      <c r="A21" s="11" t="s">
        <v>646</v>
      </c>
      <c r="B21" s="11" t="s">
        <v>162</v>
      </c>
      <c r="C21" s="12">
        <v>1040</v>
      </c>
      <c r="D21">
        <v>3220</v>
      </c>
      <c r="E21">
        <v>1300</v>
      </c>
      <c r="F21"/>
      <c r="G21"/>
    </row>
    <row r="22" spans="1:7" x14ac:dyDescent="0.25">
      <c r="A22" s="11" t="s">
        <v>649</v>
      </c>
      <c r="B22" s="11" t="s">
        <v>162</v>
      </c>
      <c r="C22" s="12">
        <v>1065</v>
      </c>
      <c r="D22">
        <v>3290</v>
      </c>
      <c r="E22">
        <v>1320</v>
      </c>
      <c r="F22"/>
      <c r="G22"/>
    </row>
    <row r="23" spans="1:7" x14ac:dyDescent="0.25">
      <c r="A23" s="11" t="s">
        <v>652</v>
      </c>
      <c r="B23" s="11" t="s">
        <v>162</v>
      </c>
      <c r="C23" s="12">
        <v>1025</v>
      </c>
      <c r="D23">
        <v>3180</v>
      </c>
      <c r="E23">
        <v>1280</v>
      </c>
      <c r="F23"/>
      <c r="G23"/>
    </row>
    <row r="24" spans="1:7" x14ac:dyDescent="0.25">
      <c r="A24" s="11" t="s">
        <v>653</v>
      </c>
      <c r="B24" s="11" t="s">
        <v>162</v>
      </c>
      <c r="C24" s="12">
        <v>1065</v>
      </c>
      <c r="D24">
        <v>3290</v>
      </c>
      <c r="E24">
        <v>1320</v>
      </c>
      <c r="F24"/>
      <c r="G24"/>
    </row>
    <row r="25" spans="1:7" x14ac:dyDescent="0.25">
      <c r="A25" s="11" t="s">
        <v>654</v>
      </c>
      <c r="B25" s="11" t="s">
        <v>162</v>
      </c>
      <c r="C25" s="12">
        <v>965</v>
      </c>
      <c r="D25">
        <v>2990</v>
      </c>
      <c r="E25">
        <v>1210</v>
      </c>
      <c r="F25"/>
      <c r="G25"/>
    </row>
    <row r="26" spans="1:7" x14ac:dyDescent="0.25">
      <c r="A26" s="11" t="s">
        <v>665</v>
      </c>
      <c r="B26" s="11" t="s">
        <v>162</v>
      </c>
      <c r="C26" s="12">
        <v>950</v>
      </c>
      <c r="D26">
        <v>2960</v>
      </c>
      <c r="E26">
        <v>1190</v>
      </c>
      <c r="F26"/>
      <c r="G26"/>
    </row>
    <row r="27" spans="1:7" x14ac:dyDescent="0.25">
      <c r="A27" s="11" t="s">
        <v>666</v>
      </c>
      <c r="B27" s="11" t="s">
        <v>162</v>
      </c>
      <c r="C27" s="12">
        <v>950</v>
      </c>
      <c r="D27">
        <v>2960</v>
      </c>
      <c r="E27">
        <v>1190</v>
      </c>
      <c r="F27"/>
      <c r="G27"/>
    </row>
    <row r="28" spans="1:7" x14ac:dyDescent="0.25">
      <c r="A28" s="11" t="s">
        <v>667</v>
      </c>
      <c r="B28" s="11" t="s">
        <v>162</v>
      </c>
      <c r="C28" s="12">
        <v>950</v>
      </c>
      <c r="D28">
        <v>2960</v>
      </c>
      <c r="E28">
        <v>1190</v>
      </c>
      <c r="F28"/>
      <c r="G28"/>
    </row>
    <row r="29" spans="1:7" x14ac:dyDescent="0.25">
      <c r="A29" s="11" t="s">
        <v>669</v>
      </c>
      <c r="B29" s="11" t="s">
        <v>162</v>
      </c>
      <c r="C29" s="12">
        <v>1075</v>
      </c>
      <c r="D29">
        <v>3330</v>
      </c>
      <c r="E29">
        <v>1340</v>
      </c>
      <c r="F29"/>
      <c r="G29"/>
    </row>
    <row r="30" spans="1:7" x14ac:dyDescent="0.25">
      <c r="A30" s="11" t="s">
        <v>671</v>
      </c>
      <c r="B30" s="11" t="s">
        <v>162</v>
      </c>
      <c r="C30" s="12">
        <v>860</v>
      </c>
      <c r="D30">
        <v>2670</v>
      </c>
      <c r="E30">
        <v>1080</v>
      </c>
      <c r="F30"/>
      <c r="G30"/>
    </row>
    <row r="31" spans="1:7" x14ac:dyDescent="0.25">
      <c r="A31" s="11" t="s">
        <v>322</v>
      </c>
      <c r="B31" s="11" t="s">
        <v>162</v>
      </c>
      <c r="C31" s="12">
        <v>1040</v>
      </c>
      <c r="D31">
        <v>3220</v>
      </c>
      <c r="E31">
        <v>1400</v>
      </c>
      <c r="F31"/>
      <c r="G31"/>
    </row>
    <row r="32" spans="1:7" x14ac:dyDescent="0.25">
      <c r="A32" s="11" t="s">
        <v>165</v>
      </c>
      <c r="B32" s="11" t="s">
        <v>162</v>
      </c>
      <c r="C32" s="12">
        <v>970</v>
      </c>
      <c r="D32">
        <v>2960</v>
      </c>
      <c r="E32">
        <v>1300</v>
      </c>
      <c r="F32"/>
      <c r="G32"/>
    </row>
    <row r="33" spans="1:7" x14ac:dyDescent="0.25">
      <c r="A33" s="11" t="s">
        <v>341</v>
      </c>
      <c r="B33" s="11" t="s">
        <v>162</v>
      </c>
      <c r="C33" s="12">
        <v>950</v>
      </c>
      <c r="D33">
        <v>2960</v>
      </c>
      <c r="E33">
        <v>1270</v>
      </c>
      <c r="F33"/>
      <c r="G33"/>
    </row>
    <row r="34" spans="1:7" x14ac:dyDescent="0.25">
      <c r="A34" s="11" t="s">
        <v>164</v>
      </c>
      <c r="B34" s="11" t="s">
        <v>162</v>
      </c>
      <c r="C34" s="12">
        <v>1015</v>
      </c>
      <c r="D34">
        <v>3140</v>
      </c>
      <c r="E34">
        <v>1370</v>
      </c>
      <c r="F34"/>
      <c r="G34"/>
    </row>
    <row r="35" spans="1:7" x14ac:dyDescent="0.25">
      <c r="A35" s="11" t="s">
        <v>166</v>
      </c>
      <c r="B35" s="11" t="s">
        <v>162</v>
      </c>
      <c r="C35" s="12">
        <v>890</v>
      </c>
      <c r="D35">
        <v>2770</v>
      </c>
      <c r="E35">
        <v>1200</v>
      </c>
      <c r="F35"/>
      <c r="G35"/>
    </row>
    <row r="36" spans="1:7" x14ac:dyDescent="0.25">
      <c r="A36" s="11" t="s">
        <v>320</v>
      </c>
      <c r="B36" s="11" t="s">
        <v>162</v>
      </c>
      <c r="C36" s="12">
        <v>1200</v>
      </c>
      <c r="D36">
        <v>3710</v>
      </c>
      <c r="E36">
        <v>1600</v>
      </c>
      <c r="F36"/>
      <c r="G36"/>
    </row>
    <row r="37" spans="1:7" x14ac:dyDescent="0.25">
      <c r="A37" s="11" t="s">
        <v>324</v>
      </c>
      <c r="B37" s="11" t="s">
        <v>162</v>
      </c>
      <c r="C37" s="12">
        <v>5875</v>
      </c>
      <c r="D37">
        <v>19860</v>
      </c>
      <c r="E37">
        <v>7520</v>
      </c>
      <c r="F37"/>
      <c r="G37"/>
    </row>
    <row r="38" spans="1:7" x14ac:dyDescent="0.25">
      <c r="A38" s="11" t="s">
        <v>333</v>
      </c>
      <c r="B38" s="11" t="s">
        <v>162</v>
      </c>
      <c r="C38" s="12">
        <v>4125</v>
      </c>
      <c r="D38">
        <v>13920</v>
      </c>
      <c r="E38">
        <v>5270</v>
      </c>
      <c r="F38"/>
      <c r="G38"/>
    </row>
    <row r="39" spans="1:7" x14ac:dyDescent="0.25">
      <c r="A39" s="11" t="s">
        <v>617</v>
      </c>
      <c r="B39" s="11" t="s">
        <v>162</v>
      </c>
      <c r="C39" s="12">
        <v>6075</v>
      </c>
      <c r="D39">
        <v>20700</v>
      </c>
      <c r="E39">
        <v>7770</v>
      </c>
      <c r="F39"/>
      <c r="G39"/>
    </row>
    <row r="40" spans="1:7" x14ac:dyDescent="0.25">
      <c r="A40" s="11" t="s">
        <v>619</v>
      </c>
      <c r="B40" s="11" t="s">
        <v>162</v>
      </c>
      <c r="C40" s="12">
        <v>5265</v>
      </c>
      <c r="D40">
        <v>17950</v>
      </c>
      <c r="E40">
        <v>6720</v>
      </c>
      <c r="F40"/>
      <c r="G40"/>
    </row>
    <row r="41" spans="1:7" x14ac:dyDescent="0.25">
      <c r="A41" s="11" t="s">
        <v>621</v>
      </c>
      <c r="B41" s="11" t="s">
        <v>162</v>
      </c>
      <c r="C41" s="12">
        <v>4575</v>
      </c>
      <c r="D41">
        <v>15620</v>
      </c>
      <c r="E41">
        <v>5870</v>
      </c>
      <c r="F41"/>
      <c r="G41"/>
    </row>
    <row r="42" spans="1:7" x14ac:dyDescent="0.25">
      <c r="A42" s="11" t="s">
        <v>630</v>
      </c>
      <c r="B42" s="11" t="s">
        <v>162</v>
      </c>
      <c r="C42" s="12">
        <v>3010</v>
      </c>
      <c r="D42">
        <v>10290</v>
      </c>
      <c r="E42">
        <v>3870</v>
      </c>
      <c r="F42"/>
      <c r="G42"/>
    </row>
    <row r="43" spans="1:7" x14ac:dyDescent="0.25">
      <c r="A43" s="11" t="s">
        <v>674</v>
      </c>
      <c r="B43" s="11" t="s">
        <v>162</v>
      </c>
      <c r="C43" s="12">
        <v>820</v>
      </c>
      <c r="D43">
        <v>2560</v>
      </c>
      <c r="E43">
        <v>1120</v>
      </c>
      <c r="F43"/>
      <c r="G43"/>
    </row>
    <row r="44" spans="1:7" x14ac:dyDescent="0.25">
      <c r="A44" s="11" t="s">
        <v>676</v>
      </c>
      <c r="B44" s="11" t="s">
        <v>162</v>
      </c>
      <c r="C44" s="12">
        <v>970</v>
      </c>
      <c r="D44">
        <v>3010</v>
      </c>
      <c r="E44">
        <v>1300</v>
      </c>
      <c r="F44"/>
      <c r="G44"/>
    </row>
    <row r="45" spans="1:7" x14ac:dyDescent="0.25">
      <c r="A45" s="11" t="s">
        <v>678</v>
      </c>
      <c r="B45" s="11" t="s">
        <v>162</v>
      </c>
      <c r="C45" s="12">
        <v>1135</v>
      </c>
      <c r="D45">
        <v>3500</v>
      </c>
      <c r="E45">
        <v>1520</v>
      </c>
      <c r="F45"/>
      <c r="G45"/>
    </row>
    <row r="46" spans="1:7" x14ac:dyDescent="0.25">
      <c r="A46" s="11" t="s">
        <v>688</v>
      </c>
      <c r="B46" s="11" t="s">
        <v>162</v>
      </c>
      <c r="C46" s="12">
        <v>1200</v>
      </c>
      <c r="D46">
        <v>3370</v>
      </c>
      <c r="E46">
        <v>1600</v>
      </c>
      <c r="F46"/>
      <c r="G46"/>
    </row>
    <row r="47" spans="1:7" x14ac:dyDescent="0.25">
      <c r="A47" s="11" t="s">
        <v>943</v>
      </c>
      <c r="B47" s="11" t="s">
        <v>162</v>
      </c>
      <c r="C47" s="12">
        <v>1970</v>
      </c>
      <c r="D47">
        <v>6710</v>
      </c>
      <c r="E47">
        <v>2570</v>
      </c>
      <c r="F47"/>
      <c r="G47"/>
    </row>
    <row r="48" spans="1:7" x14ac:dyDescent="0.25">
      <c r="A48" s="11" t="s">
        <v>942</v>
      </c>
      <c r="B48" s="11" t="s">
        <v>162</v>
      </c>
      <c r="C48" s="12">
        <v>1595</v>
      </c>
      <c r="D48">
        <v>4840</v>
      </c>
      <c r="E48">
        <v>2100</v>
      </c>
      <c r="F48"/>
      <c r="G48"/>
    </row>
  </sheetData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horizontalDpi="0" verticalDpi="0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31E6E-7644-472E-802B-634F53FB33E7}">
  <dimension ref="A1:G739"/>
  <sheetViews>
    <sheetView zoomScaleNormal="100" workbookViewId="0">
      <selection activeCell="G15" sqref="G15"/>
    </sheetView>
  </sheetViews>
  <sheetFormatPr defaultRowHeight="15.75" x14ac:dyDescent="0.25"/>
  <cols>
    <col min="1" max="1" width="19.42578125" style="13" bestFit="1" customWidth="1"/>
    <col min="2" max="2" width="8.42578125" style="11" bestFit="1" customWidth="1"/>
    <col min="3" max="3" width="11.7109375" style="11" bestFit="1" customWidth="1"/>
    <col min="4" max="4" width="7.85546875" style="12" bestFit="1" customWidth="1"/>
    <col min="5" max="5" width="10.42578125" style="12" bestFit="1" customWidth="1"/>
    <col min="6" max="6" width="11.42578125" style="12" bestFit="1" customWidth="1"/>
    <col min="7" max="7" width="12.42578125" style="12" bestFit="1" customWidth="1"/>
  </cols>
  <sheetData>
    <row r="1" spans="1:7" x14ac:dyDescent="0.25">
      <c r="A1" s="13" t="s">
        <v>696</v>
      </c>
      <c r="B1" s="11" t="s">
        <v>427</v>
      </c>
      <c r="C1" s="11" t="s">
        <v>503</v>
      </c>
      <c r="D1" s="12" t="s">
        <v>752</v>
      </c>
      <c r="E1"/>
      <c r="F1"/>
      <c r="G1"/>
    </row>
    <row r="2" spans="1:7" x14ac:dyDescent="0.25">
      <c r="A2" s="13">
        <v>120</v>
      </c>
      <c r="B2" s="11" t="s">
        <v>287</v>
      </c>
      <c r="C2" s="11" t="s">
        <v>167</v>
      </c>
      <c r="D2" s="12">
        <v>710</v>
      </c>
      <c r="E2"/>
      <c r="F2"/>
      <c r="G2"/>
    </row>
    <row r="3" spans="1:7" x14ac:dyDescent="0.25">
      <c r="A3" s="13">
        <v>122</v>
      </c>
      <c r="B3" s="11" t="s">
        <v>287</v>
      </c>
      <c r="C3" s="11" t="s">
        <v>497</v>
      </c>
      <c r="D3" s="12">
        <v>1515</v>
      </c>
      <c r="E3"/>
      <c r="F3"/>
      <c r="G3"/>
    </row>
    <row r="4" spans="1:7" x14ac:dyDescent="0.25">
      <c r="A4" s="13">
        <v>123</v>
      </c>
      <c r="B4" s="11" t="s">
        <v>287</v>
      </c>
      <c r="C4" s="11" t="s">
        <v>497</v>
      </c>
      <c r="D4" s="12">
        <v>2010</v>
      </c>
      <c r="E4"/>
      <c r="F4"/>
      <c r="G4"/>
    </row>
    <row r="5" spans="1:7" x14ac:dyDescent="0.25">
      <c r="A5" s="13">
        <v>127</v>
      </c>
      <c r="B5" s="11" t="s">
        <v>287</v>
      </c>
      <c r="C5" s="11" t="s">
        <v>497</v>
      </c>
      <c r="D5" s="12">
        <v>1450</v>
      </c>
      <c r="E5"/>
      <c r="F5"/>
      <c r="G5"/>
    </row>
    <row r="6" spans="1:7" x14ac:dyDescent="0.25">
      <c r="A6" s="13">
        <v>150</v>
      </c>
      <c r="B6" s="11" t="s">
        <v>287</v>
      </c>
      <c r="C6" s="11" t="s">
        <v>497</v>
      </c>
      <c r="D6" s="12">
        <v>1800</v>
      </c>
      <c r="E6"/>
      <c r="F6"/>
      <c r="G6"/>
    </row>
    <row r="7" spans="1:7" x14ac:dyDescent="0.25">
      <c r="A7" s="13">
        <v>170</v>
      </c>
      <c r="B7" s="11" t="s">
        <v>287</v>
      </c>
      <c r="C7" s="11" t="s">
        <v>497</v>
      </c>
      <c r="D7" s="12">
        <v>1635</v>
      </c>
      <c r="E7"/>
      <c r="F7"/>
      <c r="G7"/>
    </row>
    <row r="8" spans="1:7" x14ac:dyDescent="0.25">
      <c r="A8" s="13">
        <v>190</v>
      </c>
      <c r="B8" s="11" t="s">
        <v>287</v>
      </c>
      <c r="C8" s="11" t="s">
        <v>167</v>
      </c>
      <c r="D8" s="12">
        <v>650</v>
      </c>
      <c r="E8"/>
      <c r="F8"/>
      <c r="G8"/>
    </row>
    <row r="9" spans="1:7" x14ac:dyDescent="0.25">
      <c r="A9" s="13">
        <v>191</v>
      </c>
      <c r="B9" s="11" t="s">
        <v>287</v>
      </c>
      <c r="C9" s="11" t="s">
        <v>700</v>
      </c>
      <c r="D9" s="12">
        <v>975</v>
      </c>
      <c r="E9"/>
      <c r="F9"/>
      <c r="G9"/>
    </row>
    <row r="10" spans="1:7" x14ac:dyDescent="0.25">
      <c r="A10" s="13">
        <v>192</v>
      </c>
      <c r="B10" s="11" t="s">
        <v>287</v>
      </c>
      <c r="C10" s="11" t="s">
        <v>167</v>
      </c>
      <c r="D10" s="12">
        <v>645</v>
      </c>
      <c r="E10"/>
      <c r="F10"/>
      <c r="G10"/>
    </row>
    <row r="11" spans="1:7" x14ac:dyDescent="0.25">
      <c r="A11" s="13">
        <v>194</v>
      </c>
      <c r="B11" s="11" t="s">
        <v>287</v>
      </c>
      <c r="C11" s="11" t="s">
        <v>497</v>
      </c>
      <c r="D11" s="12">
        <v>1595</v>
      </c>
      <c r="E11"/>
      <c r="F11"/>
      <c r="G11"/>
    </row>
    <row r="12" spans="1:7" x14ac:dyDescent="0.25">
      <c r="A12" s="13">
        <v>275</v>
      </c>
      <c r="B12" s="11" t="s">
        <v>287</v>
      </c>
      <c r="C12" s="11" t="s">
        <v>494</v>
      </c>
      <c r="D12" s="12">
        <v>270</v>
      </c>
      <c r="E12"/>
      <c r="F12"/>
      <c r="G12"/>
    </row>
    <row r="13" spans="1:7" x14ac:dyDescent="0.25">
      <c r="A13" s="13">
        <v>276</v>
      </c>
      <c r="B13" s="11" t="s">
        <v>287</v>
      </c>
      <c r="C13" s="11" t="s">
        <v>494</v>
      </c>
      <c r="D13" s="12">
        <v>175</v>
      </c>
      <c r="E13"/>
      <c r="F13"/>
      <c r="G13"/>
    </row>
    <row r="14" spans="1:7" x14ac:dyDescent="0.25">
      <c r="A14" s="13">
        <v>402</v>
      </c>
      <c r="B14" s="11" t="s">
        <v>287</v>
      </c>
      <c r="C14" s="11" t="s">
        <v>500</v>
      </c>
      <c r="D14" s="12">
        <v>275</v>
      </c>
      <c r="E14"/>
      <c r="F14"/>
      <c r="G14"/>
    </row>
    <row r="15" spans="1:7" x14ac:dyDescent="0.25">
      <c r="A15" s="13">
        <v>406</v>
      </c>
      <c r="B15" s="11" t="s">
        <v>287</v>
      </c>
      <c r="C15" s="11" t="s">
        <v>494</v>
      </c>
      <c r="D15" s="12">
        <v>170</v>
      </c>
      <c r="E15"/>
      <c r="F15"/>
      <c r="G15"/>
    </row>
    <row r="16" spans="1:7" x14ac:dyDescent="0.25">
      <c r="A16" s="13">
        <v>444</v>
      </c>
      <c r="B16" s="11" t="s">
        <v>287</v>
      </c>
      <c r="C16" s="11" t="s">
        <v>494</v>
      </c>
      <c r="D16" s="12">
        <v>160</v>
      </c>
      <c r="E16"/>
      <c r="F16"/>
      <c r="G16"/>
    </row>
    <row r="17" spans="1:7" x14ac:dyDescent="0.25">
      <c r="A17" s="13">
        <v>472</v>
      </c>
      <c r="B17" s="11" t="s">
        <v>287</v>
      </c>
      <c r="C17" s="11" t="s">
        <v>494</v>
      </c>
      <c r="D17" s="12">
        <v>245</v>
      </c>
      <c r="E17"/>
      <c r="F17"/>
      <c r="G17"/>
    </row>
    <row r="18" spans="1:7" x14ac:dyDescent="0.25">
      <c r="A18" s="13">
        <v>550</v>
      </c>
      <c r="B18" s="11" t="s">
        <v>287</v>
      </c>
      <c r="C18" s="11" t="s">
        <v>494</v>
      </c>
      <c r="D18" s="12">
        <v>375</v>
      </c>
      <c r="E18"/>
      <c r="F18"/>
      <c r="G18"/>
    </row>
    <row r="19" spans="1:7" x14ac:dyDescent="0.25">
      <c r="A19" s="13">
        <v>555</v>
      </c>
      <c r="B19" s="11" t="s">
        <v>287</v>
      </c>
      <c r="C19" s="11" t="s">
        <v>494</v>
      </c>
      <c r="D19" s="12">
        <v>200</v>
      </c>
      <c r="E19"/>
      <c r="F19"/>
      <c r="G19"/>
    </row>
    <row r="20" spans="1:7" x14ac:dyDescent="0.25">
      <c r="A20" s="13">
        <v>666</v>
      </c>
      <c r="B20" s="11" t="s">
        <v>287</v>
      </c>
      <c r="C20" s="11" t="s">
        <v>494</v>
      </c>
      <c r="D20" s="12">
        <v>235</v>
      </c>
      <c r="E20"/>
      <c r="F20"/>
      <c r="G20"/>
    </row>
    <row r="21" spans="1:7" x14ac:dyDescent="0.25">
      <c r="A21" s="13">
        <v>710</v>
      </c>
      <c r="B21" s="11" t="s">
        <v>287</v>
      </c>
      <c r="C21" s="11" t="s">
        <v>699</v>
      </c>
      <c r="D21" s="12">
        <v>530</v>
      </c>
      <c r="E21"/>
      <c r="F21"/>
      <c r="G21"/>
    </row>
    <row r="22" spans="1:7" x14ac:dyDescent="0.25">
      <c r="A22" s="13">
        <v>747</v>
      </c>
      <c r="B22" s="11" t="s">
        <v>287</v>
      </c>
      <c r="C22" s="11" t="s">
        <v>167</v>
      </c>
      <c r="D22" s="12">
        <v>520</v>
      </c>
      <c r="E22"/>
      <c r="F22"/>
      <c r="G22"/>
    </row>
    <row r="23" spans="1:7" x14ac:dyDescent="0.25">
      <c r="A23" s="13">
        <v>749</v>
      </c>
      <c r="B23" s="11" t="s">
        <v>287</v>
      </c>
      <c r="C23" s="11" t="s">
        <v>494</v>
      </c>
      <c r="D23" s="12">
        <v>400</v>
      </c>
      <c r="E23"/>
      <c r="F23"/>
      <c r="G23"/>
    </row>
    <row r="24" spans="1:7" x14ac:dyDescent="0.25">
      <c r="A24" s="13">
        <v>751</v>
      </c>
      <c r="B24" s="11" t="s">
        <v>287</v>
      </c>
      <c r="C24" s="11" t="s">
        <v>494</v>
      </c>
      <c r="D24" s="12">
        <v>325</v>
      </c>
      <c r="E24"/>
      <c r="F24"/>
      <c r="G24"/>
    </row>
    <row r="25" spans="1:7" x14ac:dyDescent="0.25">
      <c r="A25" s="13">
        <v>761</v>
      </c>
      <c r="B25" s="11" t="s">
        <v>287</v>
      </c>
      <c r="C25" s="11" t="s">
        <v>499</v>
      </c>
      <c r="D25" s="12">
        <v>270</v>
      </c>
      <c r="E25"/>
      <c r="F25"/>
      <c r="G25"/>
    </row>
    <row r="26" spans="1:7" x14ac:dyDescent="0.25">
      <c r="A26" s="13">
        <v>762</v>
      </c>
      <c r="B26" s="11" t="s">
        <v>287</v>
      </c>
      <c r="C26" s="11" t="s">
        <v>499</v>
      </c>
      <c r="D26" s="12">
        <v>270</v>
      </c>
      <c r="E26"/>
      <c r="F26"/>
      <c r="G26"/>
    </row>
    <row r="27" spans="1:7" x14ac:dyDescent="0.25">
      <c r="A27" s="13">
        <v>888</v>
      </c>
      <c r="B27" s="11" t="s">
        <v>287</v>
      </c>
      <c r="C27" s="11" t="s">
        <v>494</v>
      </c>
      <c r="D27" s="12">
        <v>325</v>
      </c>
      <c r="E27"/>
      <c r="F27"/>
      <c r="G27"/>
    </row>
    <row r="28" spans="1:7" x14ac:dyDescent="0.25">
      <c r="A28" s="13">
        <v>910</v>
      </c>
      <c r="B28" s="11" t="s">
        <v>287</v>
      </c>
      <c r="C28" s="11" t="s">
        <v>699</v>
      </c>
      <c r="D28" s="12">
        <v>810</v>
      </c>
      <c r="E28"/>
      <c r="F28"/>
      <c r="G28"/>
    </row>
    <row r="29" spans="1:7" x14ac:dyDescent="0.25">
      <c r="A29" s="13">
        <v>1000</v>
      </c>
      <c r="B29" s="11" t="s">
        <v>287</v>
      </c>
      <c r="C29" s="11" t="s">
        <v>699</v>
      </c>
      <c r="D29" s="12">
        <v>960</v>
      </c>
      <c r="E29"/>
      <c r="F29"/>
      <c r="G29"/>
    </row>
    <row r="30" spans="1:7" x14ac:dyDescent="0.25">
      <c r="A30" s="13">
        <v>1010</v>
      </c>
      <c r="B30" s="11" t="s">
        <v>287</v>
      </c>
      <c r="C30" s="11" t="s">
        <v>699</v>
      </c>
      <c r="D30" s="12">
        <v>760</v>
      </c>
      <c r="E30"/>
      <c r="F30"/>
      <c r="G30"/>
    </row>
    <row r="31" spans="1:7" x14ac:dyDescent="0.25">
      <c r="A31" s="13">
        <v>1111</v>
      </c>
      <c r="B31" s="11" t="s">
        <v>287</v>
      </c>
      <c r="C31" s="11" t="s">
        <v>494</v>
      </c>
      <c r="D31" s="12">
        <v>400</v>
      </c>
      <c r="E31"/>
      <c r="F31"/>
      <c r="G31"/>
    </row>
    <row r="32" spans="1:7" x14ac:dyDescent="0.25">
      <c r="A32" s="13">
        <v>1200</v>
      </c>
      <c r="B32" s="11" t="s">
        <v>287</v>
      </c>
      <c r="C32" s="11" t="s">
        <v>167</v>
      </c>
      <c r="D32" s="12">
        <v>810</v>
      </c>
      <c r="E32"/>
      <c r="F32"/>
      <c r="G32"/>
    </row>
    <row r="33" spans="1:7" x14ac:dyDescent="0.25">
      <c r="A33" s="13">
        <v>1212</v>
      </c>
      <c r="B33" s="11" t="s">
        <v>287</v>
      </c>
      <c r="C33" s="11" t="s">
        <v>497</v>
      </c>
      <c r="D33" s="12">
        <v>1850</v>
      </c>
      <c r="E33"/>
      <c r="F33"/>
      <c r="G33"/>
    </row>
    <row r="34" spans="1:7" x14ac:dyDescent="0.25">
      <c r="A34" s="13">
        <v>1400</v>
      </c>
      <c r="B34" s="11" t="s">
        <v>287</v>
      </c>
      <c r="C34" s="11" t="s">
        <v>167</v>
      </c>
      <c r="D34" s="12">
        <v>265</v>
      </c>
      <c r="E34"/>
      <c r="F34"/>
      <c r="G34"/>
    </row>
    <row r="35" spans="1:7" x14ac:dyDescent="0.25">
      <c r="A35" s="13">
        <v>1600</v>
      </c>
      <c r="B35" s="11" t="s">
        <v>287</v>
      </c>
      <c r="C35" s="11" t="s">
        <v>167</v>
      </c>
      <c r="D35" s="12">
        <v>375</v>
      </c>
      <c r="E35"/>
      <c r="F35"/>
      <c r="G35"/>
    </row>
    <row r="36" spans="1:7" x14ac:dyDescent="0.25">
      <c r="A36" s="13">
        <v>1651</v>
      </c>
      <c r="B36" s="11" t="s">
        <v>287</v>
      </c>
      <c r="C36" s="11" t="s">
        <v>699</v>
      </c>
      <c r="D36" s="12">
        <v>1225</v>
      </c>
      <c r="E36"/>
      <c r="F36"/>
      <c r="G36"/>
    </row>
    <row r="37" spans="1:7" x14ac:dyDescent="0.25">
      <c r="A37" s="13">
        <v>1800</v>
      </c>
      <c r="B37" s="11" t="s">
        <v>287</v>
      </c>
      <c r="C37" s="11" t="s">
        <v>167</v>
      </c>
      <c r="D37" s="12">
        <v>565</v>
      </c>
      <c r="E37"/>
      <c r="F37"/>
      <c r="G37"/>
    </row>
    <row r="38" spans="1:7" x14ac:dyDescent="0.25">
      <c r="A38" s="13">
        <v>2010</v>
      </c>
      <c r="B38" s="11" t="s">
        <v>287</v>
      </c>
      <c r="C38" s="11" t="s">
        <v>167</v>
      </c>
      <c r="D38" s="12">
        <v>715</v>
      </c>
      <c r="E38"/>
      <c r="F38"/>
      <c r="G38"/>
    </row>
    <row r="39" spans="1:7" x14ac:dyDescent="0.25">
      <c r="A39" s="13">
        <v>2011</v>
      </c>
      <c r="B39" s="11" t="s">
        <v>287</v>
      </c>
      <c r="C39" s="11" t="s">
        <v>167</v>
      </c>
      <c r="D39" s="12">
        <v>710</v>
      </c>
      <c r="E39"/>
      <c r="F39"/>
      <c r="G39"/>
    </row>
    <row r="40" spans="1:7" x14ac:dyDescent="0.25">
      <c r="A40" s="13">
        <v>2400</v>
      </c>
      <c r="B40" s="11" t="s">
        <v>287</v>
      </c>
      <c r="C40" s="11" t="s">
        <v>699</v>
      </c>
      <c r="D40" s="12">
        <v>1285</v>
      </c>
      <c r="E40"/>
      <c r="F40"/>
      <c r="G40"/>
    </row>
    <row r="41" spans="1:7" x14ac:dyDescent="0.25">
      <c r="A41" s="13">
        <v>2451</v>
      </c>
      <c r="B41" s="11" t="s">
        <v>287</v>
      </c>
      <c r="C41" s="11" t="s">
        <v>699</v>
      </c>
      <c r="D41" s="12">
        <v>1795</v>
      </c>
      <c r="E41"/>
      <c r="F41"/>
      <c r="G41"/>
    </row>
    <row r="42" spans="1:7" x14ac:dyDescent="0.25">
      <c r="A42" s="13">
        <v>2751</v>
      </c>
      <c r="B42" s="11" t="s">
        <v>287</v>
      </c>
      <c r="C42" s="11" t="s">
        <v>494</v>
      </c>
      <c r="D42" s="12">
        <v>190</v>
      </c>
      <c r="E42"/>
      <c r="F42"/>
      <c r="G42"/>
    </row>
    <row r="43" spans="1:7" x14ac:dyDescent="0.25">
      <c r="A43" s="13">
        <v>2752</v>
      </c>
      <c r="B43" s="11" t="s">
        <v>287</v>
      </c>
      <c r="C43" s="11" t="s">
        <v>494</v>
      </c>
      <c r="D43" s="12">
        <v>225</v>
      </c>
      <c r="E43"/>
      <c r="F43"/>
      <c r="G43"/>
    </row>
    <row r="44" spans="1:7" x14ac:dyDescent="0.25">
      <c r="A44" s="13">
        <v>2753</v>
      </c>
      <c r="B44" s="11" t="s">
        <v>287</v>
      </c>
      <c r="C44" s="11" t="s">
        <v>494</v>
      </c>
      <c r="D44" s="12">
        <v>320</v>
      </c>
      <c r="E44"/>
      <c r="F44"/>
      <c r="G44"/>
    </row>
    <row r="45" spans="1:7" x14ac:dyDescent="0.25">
      <c r="A45" s="13">
        <v>2754</v>
      </c>
      <c r="B45" s="11" t="s">
        <v>287</v>
      </c>
      <c r="C45" s="11" t="s">
        <v>494</v>
      </c>
      <c r="D45" s="12">
        <v>180</v>
      </c>
      <c r="E45"/>
      <c r="F45"/>
      <c r="G45"/>
    </row>
    <row r="46" spans="1:7" x14ac:dyDescent="0.25">
      <c r="A46" s="13">
        <v>2755</v>
      </c>
      <c r="B46" s="11" t="s">
        <v>287</v>
      </c>
      <c r="C46" s="11" t="s">
        <v>494</v>
      </c>
      <c r="D46" s="12">
        <v>195</v>
      </c>
      <c r="E46"/>
      <c r="F46"/>
      <c r="G46"/>
    </row>
    <row r="47" spans="1:7" x14ac:dyDescent="0.25">
      <c r="A47" s="13">
        <v>2756</v>
      </c>
      <c r="B47" s="11" t="s">
        <v>287</v>
      </c>
      <c r="C47" s="11" t="s">
        <v>494</v>
      </c>
      <c r="D47" s="12">
        <v>150</v>
      </c>
      <c r="E47"/>
      <c r="F47"/>
      <c r="G47"/>
    </row>
    <row r="48" spans="1:7" x14ac:dyDescent="0.25">
      <c r="A48" s="13">
        <v>2757</v>
      </c>
      <c r="B48" s="11" t="s">
        <v>287</v>
      </c>
      <c r="C48" s="11" t="s">
        <v>494</v>
      </c>
      <c r="D48" s="12">
        <v>160</v>
      </c>
      <c r="E48"/>
      <c r="F48"/>
      <c r="G48"/>
    </row>
    <row r="49" spans="1:7" x14ac:dyDescent="0.25">
      <c r="A49" s="13">
        <v>2758</v>
      </c>
      <c r="B49" s="11" t="s">
        <v>287</v>
      </c>
      <c r="C49" s="11" t="s">
        <v>494</v>
      </c>
      <c r="D49" s="12">
        <v>140</v>
      </c>
      <c r="E49"/>
      <c r="F49"/>
      <c r="G49"/>
    </row>
    <row r="50" spans="1:7" x14ac:dyDescent="0.25">
      <c r="A50" s="13">
        <v>2759</v>
      </c>
      <c r="B50" s="11" t="s">
        <v>287</v>
      </c>
      <c r="C50" s="11" t="s">
        <v>494</v>
      </c>
      <c r="D50" s="12">
        <v>195</v>
      </c>
      <c r="E50"/>
      <c r="F50"/>
      <c r="G50"/>
    </row>
    <row r="51" spans="1:7" x14ac:dyDescent="0.25">
      <c r="A51" s="13">
        <v>2760</v>
      </c>
      <c r="B51" s="11" t="s">
        <v>287</v>
      </c>
      <c r="C51" s="11" t="s">
        <v>494</v>
      </c>
      <c r="D51" s="12">
        <v>195</v>
      </c>
      <c r="E51"/>
      <c r="F51"/>
      <c r="G51"/>
    </row>
    <row r="52" spans="1:7" x14ac:dyDescent="0.25">
      <c r="A52" s="13">
        <v>2766</v>
      </c>
      <c r="B52" s="11" t="s">
        <v>287</v>
      </c>
      <c r="C52" s="11" t="s">
        <v>494</v>
      </c>
      <c r="D52" s="12">
        <v>190</v>
      </c>
      <c r="E52"/>
      <c r="F52"/>
      <c r="G52"/>
    </row>
    <row r="53" spans="1:7" x14ac:dyDescent="0.25">
      <c r="A53" s="13">
        <v>4502</v>
      </c>
      <c r="B53" s="11" t="s">
        <v>287</v>
      </c>
      <c r="C53" s="11" t="s">
        <v>494</v>
      </c>
      <c r="D53" s="12">
        <v>225</v>
      </c>
      <c r="E53"/>
      <c r="F53"/>
      <c r="G53"/>
    </row>
    <row r="54" spans="1:7" x14ac:dyDescent="0.25">
      <c r="A54" s="13">
        <v>4503</v>
      </c>
      <c r="B54" s="11" t="s">
        <v>287</v>
      </c>
      <c r="C54" s="11" t="s">
        <v>494</v>
      </c>
      <c r="D54" s="12">
        <v>160</v>
      </c>
      <c r="E54"/>
      <c r="F54"/>
      <c r="G54"/>
    </row>
    <row r="55" spans="1:7" x14ac:dyDescent="0.25">
      <c r="A55" s="13">
        <v>4509</v>
      </c>
      <c r="B55" s="11" t="s">
        <v>287</v>
      </c>
      <c r="C55" s="11" t="s">
        <v>494</v>
      </c>
      <c r="D55" s="12">
        <v>85</v>
      </c>
      <c r="E55"/>
      <c r="F55"/>
      <c r="G55"/>
    </row>
    <row r="56" spans="1:7" x14ac:dyDescent="0.25">
      <c r="A56" s="13" t="s">
        <v>1018</v>
      </c>
      <c r="B56" s="11" t="s">
        <v>287</v>
      </c>
      <c r="C56" s="11" t="s">
        <v>494</v>
      </c>
      <c r="D56" s="12">
        <v>290</v>
      </c>
      <c r="E56"/>
      <c r="F56"/>
      <c r="G56"/>
    </row>
    <row r="57" spans="1:7" x14ac:dyDescent="0.25">
      <c r="A57" s="13" t="s">
        <v>1017</v>
      </c>
      <c r="B57" s="11" t="s">
        <v>287</v>
      </c>
      <c r="C57" s="11" t="s">
        <v>494</v>
      </c>
      <c r="D57" s="12">
        <v>220</v>
      </c>
      <c r="E57"/>
      <c r="F57"/>
      <c r="G57"/>
    </row>
    <row r="58" spans="1:7" x14ac:dyDescent="0.25">
      <c r="A58" s="13" t="s">
        <v>1016</v>
      </c>
      <c r="B58" s="11" t="s">
        <v>287</v>
      </c>
      <c r="C58" s="11" t="s">
        <v>494</v>
      </c>
      <c r="D58" s="12">
        <v>255</v>
      </c>
      <c r="E58"/>
      <c r="F58"/>
      <c r="G58"/>
    </row>
    <row r="59" spans="1:7" x14ac:dyDescent="0.25">
      <c r="A59" s="13" t="s">
        <v>1019</v>
      </c>
      <c r="B59" s="11" t="s">
        <v>287</v>
      </c>
      <c r="C59" s="11" t="s">
        <v>494</v>
      </c>
      <c r="D59" s="12">
        <v>400</v>
      </c>
      <c r="E59"/>
      <c r="F59"/>
      <c r="G59"/>
    </row>
    <row r="60" spans="1:7" x14ac:dyDescent="0.25">
      <c r="A60" s="13" t="s">
        <v>1023</v>
      </c>
      <c r="B60" s="11" t="s">
        <v>287</v>
      </c>
      <c r="C60" s="11" t="s">
        <v>494</v>
      </c>
      <c r="D60" s="12">
        <v>245</v>
      </c>
      <c r="E60"/>
      <c r="F60"/>
      <c r="G60"/>
    </row>
    <row r="61" spans="1:7" x14ac:dyDescent="0.25">
      <c r="A61" s="13" t="s">
        <v>553</v>
      </c>
      <c r="B61" s="11" t="s">
        <v>287</v>
      </c>
      <c r="C61" s="11" t="s">
        <v>494</v>
      </c>
      <c r="D61" s="12">
        <v>130</v>
      </c>
      <c r="E61"/>
      <c r="F61"/>
      <c r="G61"/>
    </row>
    <row r="62" spans="1:7" x14ac:dyDescent="0.25">
      <c r="A62" s="13" t="s">
        <v>554</v>
      </c>
      <c r="B62" s="11" t="s">
        <v>287</v>
      </c>
      <c r="C62" s="11" t="s">
        <v>494</v>
      </c>
      <c r="D62" s="12">
        <v>200</v>
      </c>
      <c r="E62"/>
      <c r="F62"/>
      <c r="G62"/>
    </row>
    <row r="63" spans="1:7" x14ac:dyDescent="0.25">
      <c r="A63" s="13" t="s">
        <v>555</v>
      </c>
      <c r="B63" s="11" t="s">
        <v>287</v>
      </c>
      <c r="C63" s="11" t="s">
        <v>494</v>
      </c>
      <c r="D63" s="12">
        <v>190</v>
      </c>
      <c r="E63"/>
      <c r="F63"/>
      <c r="G63"/>
    </row>
    <row r="64" spans="1:7" x14ac:dyDescent="0.25">
      <c r="A64" s="13" t="s">
        <v>557</v>
      </c>
      <c r="B64" s="11" t="s">
        <v>287</v>
      </c>
      <c r="C64" s="11" t="s">
        <v>494</v>
      </c>
      <c r="D64" s="12">
        <v>220</v>
      </c>
      <c r="E64"/>
      <c r="F64"/>
      <c r="G64"/>
    </row>
    <row r="65" spans="1:7" x14ac:dyDescent="0.25">
      <c r="A65" s="13" t="s">
        <v>556</v>
      </c>
      <c r="B65" s="11" t="s">
        <v>287</v>
      </c>
      <c r="C65" s="11" t="s">
        <v>494</v>
      </c>
      <c r="D65" s="12">
        <v>365</v>
      </c>
      <c r="E65"/>
      <c r="F65"/>
      <c r="G65"/>
    </row>
    <row r="66" spans="1:7" x14ac:dyDescent="0.25">
      <c r="A66" s="13" t="s">
        <v>558</v>
      </c>
      <c r="B66" s="11" t="s">
        <v>287</v>
      </c>
      <c r="C66" s="11" t="s">
        <v>494</v>
      </c>
      <c r="D66" s="12">
        <v>280</v>
      </c>
      <c r="E66"/>
      <c r="F66"/>
      <c r="G66"/>
    </row>
    <row r="67" spans="1:7" x14ac:dyDescent="0.25">
      <c r="A67" s="13" t="s">
        <v>559</v>
      </c>
      <c r="B67" s="11" t="s">
        <v>287</v>
      </c>
      <c r="C67" s="11" t="s">
        <v>494</v>
      </c>
      <c r="D67" s="12">
        <v>310</v>
      </c>
      <c r="E67"/>
      <c r="F67"/>
      <c r="G67"/>
    </row>
    <row r="68" spans="1:7" x14ac:dyDescent="0.25">
      <c r="A68" s="13" t="s">
        <v>1024</v>
      </c>
      <c r="B68" s="11" t="s">
        <v>287</v>
      </c>
      <c r="C68" s="11" t="s">
        <v>494</v>
      </c>
      <c r="D68" s="12">
        <v>245</v>
      </c>
      <c r="E68"/>
      <c r="F68"/>
      <c r="G68"/>
    </row>
    <row r="69" spans="1:7" x14ac:dyDescent="0.25">
      <c r="A69" s="13" t="s">
        <v>114</v>
      </c>
      <c r="B69" s="11" t="s">
        <v>287</v>
      </c>
      <c r="C69" s="11" t="s">
        <v>494</v>
      </c>
      <c r="D69" s="12">
        <v>400</v>
      </c>
      <c r="E69"/>
      <c r="F69"/>
      <c r="G69"/>
    </row>
    <row r="70" spans="1:7" x14ac:dyDescent="0.25">
      <c r="A70" s="13" t="s">
        <v>63</v>
      </c>
      <c r="B70" s="11" t="s">
        <v>31</v>
      </c>
      <c r="C70" s="11" t="s">
        <v>31</v>
      </c>
      <c r="D70" s="12">
        <v>125</v>
      </c>
      <c r="E70"/>
      <c r="F70"/>
      <c r="G70"/>
    </row>
    <row r="71" spans="1:7" x14ac:dyDescent="0.25">
      <c r="A71" s="13">
        <v>847</v>
      </c>
      <c r="B71" s="11" t="s">
        <v>938</v>
      </c>
      <c r="C71" s="11" t="s">
        <v>494</v>
      </c>
      <c r="D71" s="12">
        <v>1140</v>
      </c>
      <c r="E71"/>
      <c r="F71"/>
      <c r="G71"/>
    </row>
    <row r="72" spans="1:7" x14ac:dyDescent="0.25">
      <c r="A72" s="13" t="s">
        <v>362</v>
      </c>
      <c r="B72" s="11" t="s">
        <v>153</v>
      </c>
      <c r="C72" s="11" t="s">
        <v>31</v>
      </c>
      <c r="D72" s="12">
        <v>315</v>
      </c>
      <c r="E72"/>
      <c r="F72"/>
      <c r="G72"/>
    </row>
    <row r="73" spans="1:7" x14ac:dyDescent="0.25">
      <c r="A73" s="13" t="s">
        <v>408</v>
      </c>
      <c r="B73" s="11" t="s">
        <v>153</v>
      </c>
      <c r="C73" s="11" t="s">
        <v>496</v>
      </c>
      <c r="D73" s="12">
        <v>510</v>
      </c>
      <c r="E73"/>
      <c r="F73"/>
      <c r="G73"/>
    </row>
    <row r="74" spans="1:7" x14ac:dyDescent="0.25">
      <c r="A74" s="13" t="s">
        <v>152</v>
      </c>
      <c r="B74" s="11" t="s">
        <v>153</v>
      </c>
      <c r="C74" s="11" t="s">
        <v>496</v>
      </c>
      <c r="D74" s="12">
        <v>370</v>
      </c>
      <c r="E74"/>
      <c r="F74"/>
      <c r="G74"/>
    </row>
    <row r="75" spans="1:7" x14ac:dyDescent="0.25">
      <c r="A75" s="13" t="s">
        <v>370</v>
      </c>
      <c r="B75" s="11" t="s">
        <v>153</v>
      </c>
      <c r="C75" s="11" t="s">
        <v>496</v>
      </c>
      <c r="D75" s="12">
        <v>415</v>
      </c>
      <c r="E75"/>
      <c r="F75"/>
      <c r="G75"/>
    </row>
    <row r="76" spans="1:7" x14ac:dyDescent="0.25">
      <c r="A76" s="13" t="s">
        <v>151</v>
      </c>
      <c r="B76" s="11" t="s">
        <v>153</v>
      </c>
      <c r="C76" s="11" t="s">
        <v>496</v>
      </c>
      <c r="D76" s="12">
        <v>425</v>
      </c>
      <c r="E76"/>
      <c r="F76"/>
      <c r="G76"/>
    </row>
    <row r="77" spans="1:7" x14ac:dyDescent="0.25">
      <c r="A77" s="13">
        <v>5201</v>
      </c>
      <c r="B77" s="11" t="s">
        <v>501</v>
      </c>
      <c r="C77" s="11" t="s">
        <v>494</v>
      </c>
      <c r="D77" s="12">
        <v>280</v>
      </c>
      <c r="E77"/>
      <c r="F77"/>
      <c r="G77"/>
    </row>
    <row r="78" spans="1:7" x14ac:dyDescent="0.25">
      <c r="A78" s="13">
        <v>101</v>
      </c>
      <c r="B78" s="11" t="s">
        <v>284</v>
      </c>
      <c r="C78" s="11" t="s">
        <v>698</v>
      </c>
      <c r="D78" s="12">
        <v>540</v>
      </c>
      <c r="E78"/>
      <c r="F78"/>
      <c r="G78"/>
    </row>
    <row r="79" spans="1:7" x14ac:dyDescent="0.25">
      <c r="A79" s="13">
        <v>102</v>
      </c>
      <c r="B79" s="11" t="s">
        <v>284</v>
      </c>
      <c r="C79" s="11" t="s">
        <v>699</v>
      </c>
      <c r="D79" s="12">
        <v>535</v>
      </c>
      <c r="E79"/>
      <c r="F79"/>
      <c r="G79"/>
    </row>
    <row r="80" spans="1:7" x14ac:dyDescent="0.25">
      <c r="A80" s="13">
        <v>114</v>
      </c>
      <c r="B80" s="11" t="s">
        <v>277</v>
      </c>
      <c r="C80" s="11" t="s">
        <v>494</v>
      </c>
      <c r="D80" s="12">
        <v>425</v>
      </c>
      <c r="E80"/>
      <c r="F80"/>
      <c r="G80"/>
    </row>
    <row r="81" spans="1:7" x14ac:dyDescent="0.25">
      <c r="A81" s="13">
        <v>115</v>
      </c>
      <c r="B81" s="11" t="s">
        <v>284</v>
      </c>
      <c r="C81" s="11" t="s">
        <v>497</v>
      </c>
      <c r="D81" s="12">
        <v>1805</v>
      </c>
      <c r="E81"/>
      <c r="F81"/>
      <c r="G81"/>
    </row>
    <row r="82" spans="1:7" x14ac:dyDescent="0.25">
      <c r="A82" s="13">
        <v>119</v>
      </c>
      <c r="B82" s="11" t="s">
        <v>277</v>
      </c>
      <c r="C82" s="11" t="s">
        <v>497</v>
      </c>
      <c r="D82" s="12">
        <v>1680</v>
      </c>
      <c r="E82"/>
      <c r="F82"/>
      <c r="G82"/>
    </row>
    <row r="83" spans="1:7" x14ac:dyDescent="0.25">
      <c r="A83" s="13">
        <v>132</v>
      </c>
      <c r="B83" s="11" t="s">
        <v>284</v>
      </c>
      <c r="C83" s="11" t="s">
        <v>497</v>
      </c>
      <c r="D83" s="12">
        <v>2230</v>
      </c>
      <c r="E83"/>
      <c r="F83"/>
      <c r="G83"/>
    </row>
    <row r="84" spans="1:7" x14ac:dyDescent="0.25">
      <c r="A84" s="13">
        <v>134</v>
      </c>
      <c r="B84" s="11" t="s">
        <v>277</v>
      </c>
      <c r="C84" s="11" t="s">
        <v>497</v>
      </c>
      <c r="D84" s="12">
        <v>1190</v>
      </c>
      <c r="E84"/>
      <c r="F84"/>
      <c r="G84"/>
    </row>
    <row r="85" spans="1:7" x14ac:dyDescent="0.25">
      <c r="A85" s="13">
        <v>135</v>
      </c>
      <c r="B85" s="11" t="s">
        <v>277</v>
      </c>
      <c r="C85" s="11" t="s">
        <v>497</v>
      </c>
      <c r="D85" s="12">
        <v>1970</v>
      </c>
      <c r="E85"/>
      <c r="F85"/>
      <c r="G85"/>
    </row>
    <row r="86" spans="1:7" x14ac:dyDescent="0.25">
      <c r="A86" s="13">
        <v>136</v>
      </c>
      <c r="B86" s="11" t="s">
        <v>284</v>
      </c>
      <c r="C86" s="11" t="s">
        <v>497</v>
      </c>
      <c r="D86" s="12">
        <v>1810</v>
      </c>
      <c r="E86"/>
      <c r="F86"/>
      <c r="G86"/>
    </row>
    <row r="87" spans="1:7" x14ac:dyDescent="0.25">
      <c r="A87" s="13">
        <v>140</v>
      </c>
      <c r="B87" s="11" t="s">
        <v>277</v>
      </c>
      <c r="C87" s="11" t="s">
        <v>494</v>
      </c>
      <c r="D87" s="12">
        <v>485</v>
      </c>
      <c r="E87"/>
      <c r="F87"/>
      <c r="G87"/>
    </row>
    <row r="88" spans="1:7" x14ac:dyDescent="0.25">
      <c r="A88" s="13">
        <v>142</v>
      </c>
      <c r="B88" s="11" t="s">
        <v>284</v>
      </c>
      <c r="C88" s="11" t="s">
        <v>494</v>
      </c>
      <c r="D88" s="12">
        <v>860</v>
      </c>
      <c r="E88"/>
      <c r="F88"/>
      <c r="G88"/>
    </row>
    <row r="89" spans="1:7" x14ac:dyDescent="0.25">
      <c r="A89" s="13">
        <v>143</v>
      </c>
      <c r="B89" s="11" t="s">
        <v>284</v>
      </c>
      <c r="C89" s="11" t="s">
        <v>494</v>
      </c>
      <c r="D89" s="12">
        <v>1115</v>
      </c>
      <c r="E89"/>
      <c r="F89"/>
      <c r="G89"/>
    </row>
    <row r="90" spans="1:7" x14ac:dyDescent="0.25">
      <c r="A90" s="13">
        <v>144</v>
      </c>
      <c r="B90" s="11" t="s">
        <v>277</v>
      </c>
      <c r="C90" s="11" t="s">
        <v>497</v>
      </c>
      <c r="D90" s="12">
        <v>1920</v>
      </c>
      <c r="E90"/>
      <c r="F90"/>
      <c r="G90"/>
    </row>
    <row r="91" spans="1:7" x14ac:dyDescent="0.25">
      <c r="A91" s="13">
        <v>160</v>
      </c>
      <c r="B91" s="11" t="s">
        <v>284</v>
      </c>
      <c r="C91" s="11" t="s">
        <v>497</v>
      </c>
      <c r="D91" s="12">
        <v>935</v>
      </c>
      <c r="E91"/>
      <c r="F91"/>
      <c r="G91"/>
    </row>
    <row r="92" spans="1:7" x14ac:dyDescent="0.25">
      <c r="A92" s="13">
        <v>161</v>
      </c>
      <c r="B92" s="11" t="s">
        <v>284</v>
      </c>
      <c r="C92" s="11" t="s">
        <v>497</v>
      </c>
      <c r="D92" s="12">
        <v>960</v>
      </c>
      <c r="E92"/>
      <c r="F92"/>
      <c r="G92"/>
    </row>
    <row r="93" spans="1:7" x14ac:dyDescent="0.25">
      <c r="A93" s="13">
        <v>203</v>
      </c>
      <c r="B93" s="11" t="s">
        <v>284</v>
      </c>
      <c r="C93" s="11" t="s">
        <v>493</v>
      </c>
      <c r="D93" s="12">
        <v>395</v>
      </c>
      <c r="E93"/>
      <c r="F93"/>
      <c r="G93"/>
    </row>
    <row r="94" spans="1:7" x14ac:dyDescent="0.25">
      <c r="A94" s="13">
        <v>208</v>
      </c>
      <c r="B94" s="11" t="s">
        <v>284</v>
      </c>
      <c r="C94" s="11" t="s">
        <v>493</v>
      </c>
      <c r="D94" s="12">
        <v>495</v>
      </c>
      <c r="E94"/>
      <c r="F94"/>
      <c r="G94"/>
    </row>
    <row r="95" spans="1:7" x14ac:dyDescent="0.25">
      <c r="A95" s="13">
        <v>215</v>
      </c>
      <c r="B95" s="11" t="s">
        <v>284</v>
      </c>
      <c r="C95" s="11" t="s">
        <v>493</v>
      </c>
      <c r="D95" s="12">
        <v>635</v>
      </c>
      <c r="E95"/>
      <c r="F95"/>
      <c r="G95"/>
    </row>
    <row r="96" spans="1:7" x14ac:dyDescent="0.25">
      <c r="A96" s="13">
        <v>216</v>
      </c>
      <c r="B96" s="11" t="s">
        <v>284</v>
      </c>
      <c r="C96" s="11" t="s">
        <v>493</v>
      </c>
      <c r="D96" s="12">
        <v>580</v>
      </c>
      <c r="E96"/>
      <c r="F96"/>
      <c r="G96"/>
    </row>
    <row r="97" spans="1:7" x14ac:dyDescent="0.25">
      <c r="A97" s="13">
        <v>221</v>
      </c>
      <c r="B97" s="11" t="s">
        <v>277</v>
      </c>
      <c r="C97" s="11" t="s">
        <v>497</v>
      </c>
      <c r="D97" s="12">
        <v>405</v>
      </c>
      <c r="E97"/>
      <c r="F97"/>
      <c r="G97"/>
    </row>
    <row r="98" spans="1:7" x14ac:dyDescent="0.25">
      <c r="A98" s="13">
        <v>223</v>
      </c>
      <c r="B98" s="11" t="s">
        <v>277</v>
      </c>
      <c r="C98" s="11" t="s">
        <v>494</v>
      </c>
      <c r="D98" s="12">
        <v>290</v>
      </c>
      <c r="E98"/>
      <c r="F98"/>
      <c r="G98"/>
    </row>
    <row r="99" spans="1:7" x14ac:dyDescent="0.25">
      <c r="A99" s="13">
        <v>224</v>
      </c>
      <c r="B99" s="11" t="s">
        <v>277</v>
      </c>
      <c r="C99" s="11" t="s">
        <v>497</v>
      </c>
      <c r="D99" s="12">
        <v>1270</v>
      </c>
      <c r="E99"/>
      <c r="F99"/>
      <c r="G99"/>
    </row>
    <row r="100" spans="1:7" x14ac:dyDescent="0.25">
      <c r="A100" s="13">
        <v>225</v>
      </c>
      <c r="B100" s="11" t="s">
        <v>277</v>
      </c>
      <c r="C100" s="11" t="s">
        <v>497</v>
      </c>
      <c r="D100" s="12">
        <v>575</v>
      </c>
      <c r="E100"/>
      <c r="F100"/>
      <c r="G100"/>
    </row>
    <row r="101" spans="1:7" x14ac:dyDescent="0.25">
      <c r="A101" s="13">
        <v>226</v>
      </c>
      <c r="B101" s="11" t="s">
        <v>277</v>
      </c>
      <c r="C101" s="11" t="s">
        <v>167</v>
      </c>
      <c r="D101" s="12">
        <v>530</v>
      </c>
      <c r="E101"/>
      <c r="F101"/>
      <c r="G101"/>
    </row>
    <row r="102" spans="1:7" x14ac:dyDescent="0.25">
      <c r="A102" s="13">
        <v>227</v>
      </c>
      <c r="B102" s="11" t="s">
        <v>284</v>
      </c>
      <c r="C102" s="11" t="s">
        <v>497</v>
      </c>
      <c r="D102" s="12">
        <v>495</v>
      </c>
      <c r="E102"/>
      <c r="F102"/>
      <c r="G102"/>
    </row>
    <row r="103" spans="1:7" x14ac:dyDescent="0.25">
      <c r="A103" s="13">
        <v>228</v>
      </c>
      <c r="B103" s="11" t="s">
        <v>277</v>
      </c>
      <c r="C103" s="11" t="s">
        <v>494</v>
      </c>
      <c r="D103" s="12">
        <v>390</v>
      </c>
      <c r="E103"/>
      <c r="F103"/>
      <c r="G103"/>
    </row>
    <row r="104" spans="1:7" x14ac:dyDescent="0.25">
      <c r="A104" s="13">
        <v>229</v>
      </c>
      <c r="B104" s="11" t="s">
        <v>277</v>
      </c>
      <c r="C104" s="11" t="s">
        <v>494</v>
      </c>
      <c r="D104" s="12">
        <v>365</v>
      </c>
      <c r="E104"/>
      <c r="F104"/>
      <c r="G104"/>
    </row>
    <row r="105" spans="1:7" x14ac:dyDescent="0.25">
      <c r="A105" s="13">
        <v>231</v>
      </c>
      <c r="B105" s="11" t="s">
        <v>277</v>
      </c>
      <c r="C105" s="11" t="s">
        <v>494</v>
      </c>
      <c r="D105" s="12">
        <v>300</v>
      </c>
      <c r="E105"/>
      <c r="F105"/>
      <c r="G105"/>
    </row>
    <row r="106" spans="1:7" x14ac:dyDescent="0.25">
      <c r="A106" s="13">
        <v>232</v>
      </c>
      <c r="B106" s="11" t="s">
        <v>277</v>
      </c>
      <c r="C106" s="11" t="s">
        <v>494</v>
      </c>
      <c r="D106" s="12">
        <v>410</v>
      </c>
      <c r="E106"/>
      <c r="F106"/>
      <c r="G106"/>
    </row>
    <row r="107" spans="1:7" x14ac:dyDescent="0.25">
      <c r="A107" s="13">
        <v>233</v>
      </c>
      <c r="B107" s="11" t="s">
        <v>277</v>
      </c>
      <c r="C107" s="11" t="s">
        <v>494</v>
      </c>
      <c r="D107" s="12">
        <v>395</v>
      </c>
      <c r="E107"/>
      <c r="F107"/>
      <c r="G107"/>
    </row>
    <row r="108" spans="1:7" x14ac:dyDescent="0.25">
      <c r="A108" s="13">
        <v>234</v>
      </c>
      <c r="B108" s="11" t="s">
        <v>277</v>
      </c>
      <c r="C108" s="11" t="s">
        <v>494</v>
      </c>
      <c r="D108" s="12">
        <v>290</v>
      </c>
      <c r="E108"/>
      <c r="F108"/>
      <c r="G108"/>
    </row>
    <row r="109" spans="1:7" x14ac:dyDescent="0.25">
      <c r="A109" s="13">
        <v>235</v>
      </c>
      <c r="B109" s="11" t="s">
        <v>277</v>
      </c>
      <c r="C109" s="11" t="s">
        <v>494</v>
      </c>
      <c r="D109" s="12">
        <v>365</v>
      </c>
      <c r="E109"/>
      <c r="F109"/>
      <c r="G109"/>
    </row>
    <row r="110" spans="1:7" x14ac:dyDescent="0.25">
      <c r="A110" s="13">
        <v>236</v>
      </c>
      <c r="B110" s="11" t="s">
        <v>277</v>
      </c>
      <c r="C110" s="11" t="s">
        <v>497</v>
      </c>
      <c r="D110" s="12">
        <v>360</v>
      </c>
      <c r="E110"/>
      <c r="F110"/>
      <c r="G110"/>
    </row>
    <row r="111" spans="1:7" x14ac:dyDescent="0.25">
      <c r="A111" s="13">
        <v>238</v>
      </c>
      <c r="B111" s="11" t="s">
        <v>277</v>
      </c>
      <c r="C111" s="11" t="s">
        <v>494</v>
      </c>
      <c r="D111" s="12">
        <v>285</v>
      </c>
      <c r="E111"/>
      <c r="F111"/>
      <c r="G111"/>
    </row>
    <row r="112" spans="1:7" x14ac:dyDescent="0.25">
      <c r="A112" s="13">
        <v>239</v>
      </c>
      <c r="B112" s="11" t="s">
        <v>277</v>
      </c>
      <c r="C112" s="11" t="s">
        <v>497</v>
      </c>
      <c r="D112" s="12">
        <v>580</v>
      </c>
      <c r="E112"/>
      <c r="F112"/>
      <c r="G112"/>
    </row>
    <row r="113" spans="1:7" x14ac:dyDescent="0.25">
      <c r="A113" s="13">
        <v>240</v>
      </c>
      <c r="B113" s="11" t="s">
        <v>277</v>
      </c>
      <c r="C113" s="11" t="s">
        <v>498</v>
      </c>
      <c r="D113" s="12">
        <v>140</v>
      </c>
      <c r="E113"/>
      <c r="F113"/>
      <c r="G113"/>
    </row>
    <row r="114" spans="1:7" x14ac:dyDescent="0.25">
      <c r="A114" s="13">
        <v>242</v>
      </c>
      <c r="B114" s="11" t="s">
        <v>284</v>
      </c>
      <c r="C114" s="11" t="s">
        <v>498</v>
      </c>
      <c r="D114" s="12">
        <v>165</v>
      </c>
      <c r="E114"/>
      <c r="F114"/>
      <c r="G114"/>
    </row>
    <row r="115" spans="1:7" x14ac:dyDescent="0.25">
      <c r="A115" s="13">
        <v>244</v>
      </c>
      <c r="B115" s="11" t="s">
        <v>284</v>
      </c>
      <c r="C115" s="11" t="s">
        <v>538</v>
      </c>
      <c r="D115" s="12">
        <v>410</v>
      </c>
      <c r="E115"/>
      <c r="F115"/>
      <c r="G115"/>
    </row>
    <row r="116" spans="1:7" x14ac:dyDescent="0.25">
      <c r="A116" s="13">
        <v>245</v>
      </c>
      <c r="B116" s="11" t="s">
        <v>277</v>
      </c>
      <c r="C116" s="11" t="s">
        <v>494</v>
      </c>
      <c r="D116" s="12">
        <v>310</v>
      </c>
      <c r="E116"/>
      <c r="F116"/>
      <c r="G116"/>
    </row>
    <row r="117" spans="1:7" x14ac:dyDescent="0.25">
      <c r="A117" s="13">
        <v>246</v>
      </c>
      <c r="B117" s="11" t="s">
        <v>277</v>
      </c>
      <c r="C117" s="11" t="s">
        <v>167</v>
      </c>
      <c r="D117" s="12">
        <v>305</v>
      </c>
      <c r="E117"/>
      <c r="F117"/>
      <c r="G117"/>
    </row>
    <row r="118" spans="1:7" x14ac:dyDescent="0.25">
      <c r="A118" s="13">
        <v>249</v>
      </c>
      <c r="B118" s="11" t="s">
        <v>277</v>
      </c>
      <c r="C118" s="11" t="s">
        <v>494</v>
      </c>
      <c r="D118" s="12">
        <v>310</v>
      </c>
      <c r="E118"/>
      <c r="F118"/>
      <c r="G118"/>
    </row>
    <row r="119" spans="1:7" x14ac:dyDescent="0.25">
      <c r="A119" s="13">
        <v>250</v>
      </c>
      <c r="B119" s="11" t="s">
        <v>277</v>
      </c>
      <c r="C119" s="11" t="s">
        <v>497</v>
      </c>
      <c r="D119" s="12">
        <v>495</v>
      </c>
      <c r="E119"/>
      <c r="F119"/>
      <c r="G119"/>
    </row>
    <row r="120" spans="1:7" x14ac:dyDescent="0.25">
      <c r="A120" s="13">
        <v>252</v>
      </c>
      <c r="B120" s="11" t="s">
        <v>277</v>
      </c>
      <c r="C120" s="11" t="s">
        <v>497</v>
      </c>
      <c r="D120" s="12">
        <v>650</v>
      </c>
      <c r="E120"/>
      <c r="F120"/>
      <c r="G120"/>
    </row>
    <row r="121" spans="1:7" x14ac:dyDescent="0.25">
      <c r="A121" s="13">
        <v>253</v>
      </c>
      <c r="B121" s="11" t="s">
        <v>277</v>
      </c>
      <c r="C121" s="11" t="s">
        <v>497</v>
      </c>
      <c r="D121" s="12">
        <v>465</v>
      </c>
      <c r="E121"/>
      <c r="F121"/>
      <c r="G121"/>
    </row>
    <row r="122" spans="1:7" x14ac:dyDescent="0.25">
      <c r="A122" s="13">
        <v>254</v>
      </c>
      <c r="B122" s="11" t="s">
        <v>277</v>
      </c>
      <c r="C122" s="11" t="s">
        <v>497</v>
      </c>
      <c r="D122" s="12">
        <v>375</v>
      </c>
      <c r="E122"/>
      <c r="F122"/>
      <c r="G122"/>
    </row>
    <row r="123" spans="1:7" x14ac:dyDescent="0.25">
      <c r="A123" s="13">
        <v>255</v>
      </c>
      <c r="B123" s="11" t="s">
        <v>277</v>
      </c>
      <c r="C123" s="11" t="s">
        <v>497</v>
      </c>
      <c r="D123" s="12">
        <v>975</v>
      </c>
      <c r="E123"/>
      <c r="F123"/>
      <c r="G123"/>
    </row>
    <row r="124" spans="1:7" x14ac:dyDescent="0.25">
      <c r="A124" s="13">
        <v>256</v>
      </c>
      <c r="B124" s="11" t="s">
        <v>277</v>
      </c>
      <c r="C124" s="11" t="s">
        <v>497</v>
      </c>
      <c r="D124" s="12">
        <v>770</v>
      </c>
      <c r="E124"/>
      <c r="F124"/>
      <c r="G124"/>
    </row>
    <row r="125" spans="1:7" x14ac:dyDescent="0.25">
      <c r="A125" s="13">
        <v>257</v>
      </c>
      <c r="B125" s="11" t="s">
        <v>277</v>
      </c>
      <c r="C125" s="11" t="s">
        <v>497</v>
      </c>
      <c r="D125" s="12">
        <v>600</v>
      </c>
      <c r="E125"/>
      <c r="F125"/>
      <c r="G125"/>
    </row>
    <row r="126" spans="1:7" x14ac:dyDescent="0.25">
      <c r="A126" s="13">
        <v>258</v>
      </c>
      <c r="B126" s="11" t="s">
        <v>277</v>
      </c>
      <c r="C126" s="11" t="s">
        <v>497</v>
      </c>
      <c r="D126" s="12">
        <v>665</v>
      </c>
      <c r="E126"/>
      <c r="F126"/>
      <c r="G126"/>
    </row>
    <row r="127" spans="1:7" x14ac:dyDescent="0.25">
      <c r="A127" s="13">
        <v>259</v>
      </c>
      <c r="B127" s="11" t="s">
        <v>277</v>
      </c>
      <c r="C127" s="11" t="s">
        <v>497</v>
      </c>
      <c r="D127" s="12">
        <v>780</v>
      </c>
      <c r="E127"/>
      <c r="F127"/>
      <c r="G127"/>
    </row>
    <row r="128" spans="1:7" x14ac:dyDescent="0.25">
      <c r="A128" s="13">
        <v>260</v>
      </c>
      <c r="B128" s="11" t="s">
        <v>277</v>
      </c>
      <c r="C128" s="11" t="s">
        <v>497</v>
      </c>
      <c r="D128" s="12">
        <v>620</v>
      </c>
      <c r="E128"/>
      <c r="F128"/>
      <c r="G128"/>
    </row>
    <row r="129" spans="1:7" x14ac:dyDescent="0.25">
      <c r="A129" s="13">
        <v>261</v>
      </c>
      <c r="B129" s="11" t="s">
        <v>277</v>
      </c>
      <c r="C129" s="11" t="s">
        <v>497</v>
      </c>
      <c r="D129" s="12">
        <v>765</v>
      </c>
      <c r="E129"/>
      <c r="F129"/>
      <c r="G129"/>
    </row>
    <row r="130" spans="1:7" x14ac:dyDescent="0.25">
      <c r="A130" s="13">
        <v>262</v>
      </c>
      <c r="B130" s="11" t="s">
        <v>277</v>
      </c>
      <c r="C130" s="11" t="s">
        <v>497</v>
      </c>
      <c r="D130" s="12">
        <v>730</v>
      </c>
      <c r="E130"/>
      <c r="F130"/>
      <c r="G130"/>
    </row>
    <row r="131" spans="1:7" x14ac:dyDescent="0.25">
      <c r="A131" s="13">
        <v>263</v>
      </c>
      <c r="B131" s="11" t="s">
        <v>277</v>
      </c>
      <c r="C131" s="11" t="s">
        <v>497</v>
      </c>
      <c r="D131" s="12">
        <v>860</v>
      </c>
      <c r="E131"/>
      <c r="F131"/>
      <c r="G131"/>
    </row>
    <row r="132" spans="1:7" x14ac:dyDescent="0.25">
      <c r="A132" s="13">
        <v>264</v>
      </c>
      <c r="B132" s="11" t="s">
        <v>277</v>
      </c>
      <c r="C132" s="11" t="s">
        <v>497</v>
      </c>
      <c r="D132" s="12">
        <v>650</v>
      </c>
      <c r="E132"/>
      <c r="F132"/>
      <c r="G132"/>
    </row>
    <row r="133" spans="1:7" x14ac:dyDescent="0.25">
      <c r="A133" s="13">
        <v>266</v>
      </c>
      <c r="B133" s="11" t="s">
        <v>277</v>
      </c>
      <c r="C133" s="11" t="s">
        <v>497</v>
      </c>
      <c r="D133" s="12">
        <v>810</v>
      </c>
      <c r="E133"/>
      <c r="F133"/>
      <c r="G133"/>
    </row>
    <row r="134" spans="1:7" x14ac:dyDescent="0.25">
      <c r="A134" s="13">
        <v>267</v>
      </c>
      <c r="B134" s="11" t="s">
        <v>277</v>
      </c>
      <c r="C134" s="11" t="s">
        <v>497</v>
      </c>
      <c r="D134" s="12">
        <v>750</v>
      </c>
      <c r="E134"/>
      <c r="F134"/>
      <c r="G134"/>
    </row>
    <row r="135" spans="1:7" x14ac:dyDescent="0.25">
      <c r="A135" s="13">
        <v>269</v>
      </c>
      <c r="B135" s="11" t="s">
        <v>277</v>
      </c>
      <c r="C135" s="11" t="s">
        <v>494</v>
      </c>
      <c r="D135" s="12">
        <v>335</v>
      </c>
      <c r="E135"/>
      <c r="F135"/>
      <c r="G135"/>
    </row>
    <row r="136" spans="1:7" x14ac:dyDescent="0.25">
      <c r="A136" s="13">
        <v>271</v>
      </c>
      <c r="B136" s="11" t="s">
        <v>277</v>
      </c>
      <c r="C136" s="11" t="s">
        <v>494</v>
      </c>
      <c r="D136" s="12">
        <v>395</v>
      </c>
      <c r="E136"/>
      <c r="F136"/>
      <c r="G136"/>
    </row>
    <row r="137" spans="1:7" x14ac:dyDescent="0.25">
      <c r="A137" s="13">
        <v>272</v>
      </c>
      <c r="B137" s="11" t="s">
        <v>277</v>
      </c>
      <c r="C137" s="11" t="s">
        <v>494</v>
      </c>
      <c r="D137" s="12">
        <v>395</v>
      </c>
      <c r="E137"/>
      <c r="F137"/>
      <c r="G137"/>
    </row>
    <row r="138" spans="1:7" x14ac:dyDescent="0.25">
      <c r="A138" s="13">
        <v>273</v>
      </c>
      <c r="B138" s="11" t="s">
        <v>277</v>
      </c>
      <c r="C138" s="11" t="s">
        <v>494</v>
      </c>
      <c r="D138" s="12">
        <v>100</v>
      </c>
      <c r="E138"/>
      <c r="F138"/>
      <c r="G138"/>
    </row>
    <row r="139" spans="1:7" x14ac:dyDescent="0.25">
      <c r="A139" s="13">
        <v>274</v>
      </c>
      <c r="B139" s="11" t="s">
        <v>277</v>
      </c>
      <c r="C139" s="11" t="s">
        <v>494</v>
      </c>
      <c r="D139" s="12">
        <v>140</v>
      </c>
      <c r="E139"/>
      <c r="F139"/>
      <c r="G139"/>
    </row>
    <row r="140" spans="1:7" x14ac:dyDescent="0.25">
      <c r="A140" s="13">
        <v>280</v>
      </c>
      <c r="B140" s="11" t="s">
        <v>277</v>
      </c>
      <c r="C140" s="11" t="s">
        <v>494</v>
      </c>
      <c r="D140" s="12">
        <v>95</v>
      </c>
      <c r="E140"/>
      <c r="F140"/>
      <c r="G140"/>
    </row>
    <row r="141" spans="1:7" x14ac:dyDescent="0.25">
      <c r="A141" s="13">
        <v>281</v>
      </c>
      <c r="B141" s="11" t="s">
        <v>277</v>
      </c>
      <c r="C141" s="11" t="s">
        <v>494</v>
      </c>
      <c r="D141" s="12">
        <v>165</v>
      </c>
      <c r="E141"/>
      <c r="F141"/>
      <c r="G141"/>
    </row>
    <row r="142" spans="1:7" x14ac:dyDescent="0.25">
      <c r="A142" s="13">
        <v>284</v>
      </c>
      <c r="B142" s="11" t="s">
        <v>277</v>
      </c>
      <c r="C142" s="11" t="s">
        <v>494</v>
      </c>
      <c r="D142" s="12">
        <v>125</v>
      </c>
      <c r="E142"/>
      <c r="F142"/>
      <c r="G142"/>
    </row>
    <row r="143" spans="1:7" x14ac:dyDescent="0.25">
      <c r="A143" s="13">
        <v>286</v>
      </c>
      <c r="B143" s="11" t="s">
        <v>277</v>
      </c>
      <c r="C143" s="11" t="s">
        <v>494</v>
      </c>
      <c r="D143" s="12">
        <v>200</v>
      </c>
      <c r="E143"/>
      <c r="F143"/>
      <c r="G143"/>
    </row>
    <row r="144" spans="1:7" x14ac:dyDescent="0.25">
      <c r="A144" s="13">
        <v>288</v>
      </c>
      <c r="B144" s="11" t="s">
        <v>277</v>
      </c>
      <c r="C144" s="11" t="s">
        <v>494</v>
      </c>
      <c r="D144" s="12">
        <v>145</v>
      </c>
      <c r="E144"/>
      <c r="F144"/>
      <c r="G144"/>
    </row>
    <row r="145" spans="1:7" x14ac:dyDescent="0.25">
      <c r="A145" s="13">
        <v>289</v>
      </c>
      <c r="B145" s="11" t="s">
        <v>277</v>
      </c>
      <c r="C145" s="11" t="s">
        <v>494</v>
      </c>
      <c r="D145" s="12">
        <v>150</v>
      </c>
      <c r="E145"/>
      <c r="F145"/>
      <c r="G145"/>
    </row>
    <row r="146" spans="1:7" x14ac:dyDescent="0.25">
      <c r="A146" s="13">
        <v>291</v>
      </c>
      <c r="B146" s="11" t="s">
        <v>284</v>
      </c>
      <c r="C146" s="11" t="s">
        <v>493</v>
      </c>
      <c r="D146" s="12">
        <v>895</v>
      </c>
      <c r="E146"/>
      <c r="F146"/>
      <c r="G146"/>
    </row>
    <row r="147" spans="1:7" x14ac:dyDescent="0.25">
      <c r="A147" s="13">
        <v>292</v>
      </c>
      <c r="B147" s="11" t="s">
        <v>284</v>
      </c>
      <c r="C147" s="11" t="s">
        <v>493</v>
      </c>
      <c r="D147" s="12">
        <v>895</v>
      </c>
      <c r="E147"/>
      <c r="F147"/>
      <c r="G147"/>
    </row>
    <row r="148" spans="1:7" x14ac:dyDescent="0.25">
      <c r="A148" s="13">
        <v>333</v>
      </c>
      <c r="B148" s="11" t="s">
        <v>277</v>
      </c>
      <c r="C148" s="11" t="s">
        <v>494</v>
      </c>
      <c r="D148" s="12">
        <v>100</v>
      </c>
      <c r="E148"/>
      <c r="F148"/>
      <c r="G148"/>
    </row>
    <row r="149" spans="1:7" x14ac:dyDescent="0.25">
      <c r="A149" s="13">
        <v>401</v>
      </c>
      <c r="B149" s="11" t="s">
        <v>277</v>
      </c>
      <c r="C149" s="11" t="s">
        <v>494</v>
      </c>
      <c r="D149" s="12">
        <v>160</v>
      </c>
      <c r="E149"/>
      <c r="F149"/>
      <c r="G149"/>
    </row>
    <row r="150" spans="1:7" x14ac:dyDescent="0.25">
      <c r="A150" s="13">
        <v>403</v>
      </c>
      <c r="B150" s="11" t="s">
        <v>277</v>
      </c>
      <c r="C150" s="11" t="s">
        <v>494</v>
      </c>
      <c r="D150" s="12">
        <v>170</v>
      </c>
      <c r="E150"/>
      <c r="F150"/>
      <c r="G150"/>
    </row>
    <row r="151" spans="1:7" x14ac:dyDescent="0.25">
      <c r="A151" s="13">
        <v>404</v>
      </c>
      <c r="B151" s="11" t="s">
        <v>277</v>
      </c>
      <c r="C151" s="11" t="s">
        <v>494</v>
      </c>
      <c r="D151" s="12">
        <v>160</v>
      </c>
      <c r="E151"/>
      <c r="F151"/>
      <c r="G151"/>
    </row>
    <row r="152" spans="1:7" x14ac:dyDescent="0.25">
      <c r="A152" s="13">
        <v>405</v>
      </c>
      <c r="B152" s="11" t="s">
        <v>277</v>
      </c>
      <c r="C152" s="11" t="s">
        <v>494</v>
      </c>
      <c r="D152" s="12">
        <v>160</v>
      </c>
      <c r="E152"/>
      <c r="F152"/>
      <c r="G152"/>
    </row>
    <row r="153" spans="1:7" x14ac:dyDescent="0.25">
      <c r="A153" s="13">
        <v>407</v>
      </c>
      <c r="B153" s="11" t="s">
        <v>277</v>
      </c>
      <c r="C153" s="11" t="s">
        <v>494</v>
      </c>
      <c r="D153" s="12">
        <v>235</v>
      </c>
      <c r="E153"/>
      <c r="F153"/>
      <c r="G153"/>
    </row>
    <row r="154" spans="1:7" x14ac:dyDescent="0.25">
      <c r="A154" s="13">
        <v>408</v>
      </c>
      <c r="B154" s="11" t="s">
        <v>277</v>
      </c>
      <c r="C154" s="11" t="s">
        <v>494</v>
      </c>
      <c r="D154" s="12">
        <v>170</v>
      </c>
      <c r="E154"/>
      <c r="F154"/>
      <c r="G154"/>
    </row>
    <row r="155" spans="1:7" x14ac:dyDescent="0.25">
      <c r="A155" s="13">
        <v>409</v>
      </c>
      <c r="B155" s="11" t="s">
        <v>277</v>
      </c>
      <c r="C155" s="11" t="s">
        <v>494</v>
      </c>
      <c r="D155" s="12">
        <v>140</v>
      </c>
      <c r="E155"/>
      <c r="F155"/>
      <c r="G155"/>
    </row>
    <row r="156" spans="1:7" x14ac:dyDescent="0.25">
      <c r="A156" s="13">
        <v>410</v>
      </c>
      <c r="B156" s="11" t="s">
        <v>277</v>
      </c>
      <c r="C156" s="11" t="s">
        <v>494</v>
      </c>
      <c r="D156" s="12">
        <v>195</v>
      </c>
      <c r="E156"/>
      <c r="F156"/>
      <c r="G156"/>
    </row>
    <row r="157" spans="1:7" x14ac:dyDescent="0.25">
      <c r="A157" s="13">
        <v>411</v>
      </c>
      <c r="B157" s="11" t="s">
        <v>277</v>
      </c>
      <c r="C157" s="11" t="s">
        <v>494</v>
      </c>
      <c r="D157" s="12">
        <v>135</v>
      </c>
      <c r="E157"/>
      <c r="F157"/>
      <c r="G157"/>
    </row>
    <row r="158" spans="1:7" x14ac:dyDescent="0.25">
      <c r="A158" s="13">
        <v>412</v>
      </c>
      <c r="B158" s="11" t="s">
        <v>277</v>
      </c>
      <c r="C158" s="11" t="s">
        <v>494</v>
      </c>
      <c r="D158" s="12">
        <v>175</v>
      </c>
      <c r="E158"/>
      <c r="F158"/>
      <c r="G158"/>
    </row>
    <row r="159" spans="1:7" x14ac:dyDescent="0.25">
      <c r="A159" s="13">
        <v>413</v>
      </c>
      <c r="B159" s="11" t="s">
        <v>277</v>
      </c>
      <c r="C159" s="11" t="s">
        <v>494</v>
      </c>
      <c r="D159" s="12">
        <v>135</v>
      </c>
      <c r="E159"/>
      <c r="F159"/>
      <c r="G159"/>
    </row>
    <row r="160" spans="1:7" x14ac:dyDescent="0.25">
      <c r="A160" s="13">
        <v>414</v>
      </c>
      <c r="B160" s="11" t="s">
        <v>277</v>
      </c>
      <c r="C160" s="11" t="s">
        <v>494</v>
      </c>
      <c r="D160" s="12">
        <v>160</v>
      </c>
      <c r="E160"/>
      <c r="F160"/>
      <c r="G160"/>
    </row>
    <row r="161" spans="1:7" x14ac:dyDescent="0.25">
      <c r="A161" s="13">
        <v>415</v>
      </c>
      <c r="B161" s="11" t="s">
        <v>277</v>
      </c>
      <c r="C161" s="11" t="s">
        <v>494</v>
      </c>
      <c r="D161" s="12">
        <v>160</v>
      </c>
      <c r="E161"/>
      <c r="F161"/>
      <c r="G161"/>
    </row>
    <row r="162" spans="1:7" x14ac:dyDescent="0.25">
      <c r="A162" s="13">
        <v>416</v>
      </c>
      <c r="B162" s="11" t="s">
        <v>277</v>
      </c>
      <c r="C162" s="11" t="s">
        <v>494</v>
      </c>
      <c r="D162" s="12">
        <v>140</v>
      </c>
      <c r="E162"/>
      <c r="F162"/>
      <c r="G162"/>
    </row>
    <row r="163" spans="1:7" x14ac:dyDescent="0.25">
      <c r="A163" s="13">
        <v>417</v>
      </c>
      <c r="B163" s="11" t="s">
        <v>277</v>
      </c>
      <c r="C163" s="11" t="s">
        <v>494</v>
      </c>
      <c r="D163" s="12">
        <v>210</v>
      </c>
      <c r="E163"/>
      <c r="F163"/>
      <c r="G163"/>
    </row>
    <row r="164" spans="1:7" x14ac:dyDescent="0.25">
      <c r="A164" s="13">
        <v>418</v>
      </c>
      <c r="B164" s="11" t="s">
        <v>284</v>
      </c>
      <c r="C164" s="11" t="s">
        <v>494</v>
      </c>
      <c r="D164" s="12">
        <v>175</v>
      </c>
      <c r="E164"/>
      <c r="F164"/>
      <c r="G164"/>
    </row>
    <row r="165" spans="1:7" x14ac:dyDescent="0.25">
      <c r="A165" s="13">
        <v>424</v>
      </c>
      <c r="B165" s="11" t="s">
        <v>277</v>
      </c>
      <c r="C165" s="11" t="s">
        <v>494</v>
      </c>
      <c r="D165" s="12">
        <v>225</v>
      </c>
      <c r="E165"/>
      <c r="F165"/>
      <c r="G165"/>
    </row>
    <row r="166" spans="1:7" x14ac:dyDescent="0.25">
      <c r="A166" s="13">
        <v>426</v>
      </c>
      <c r="B166" s="11" t="s">
        <v>277</v>
      </c>
      <c r="C166" s="11" t="s">
        <v>494</v>
      </c>
      <c r="D166" s="12">
        <v>200</v>
      </c>
      <c r="E166"/>
      <c r="F166"/>
      <c r="G166"/>
    </row>
    <row r="167" spans="1:7" x14ac:dyDescent="0.25">
      <c r="A167" s="13">
        <v>427</v>
      </c>
      <c r="B167" s="11" t="s">
        <v>277</v>
      </c>
      <c r="C167" s="11" t="s">
        <v>494</v>
      </c>
      <c r="D167" s="12">
        <v>160</v>
      </c>
      <c r="E167"/>
      <c r="F167"/>
      <c r="G167"/>
    </row>
    <row r="168" spans="1:7" x14ac:dyDescent="0.25">
      <c r="A168" s="13">
        <v>429</v>
      </c>
      <c r="B168" s="11" t="s">
        <v>277</v>
      </c>
      <c r="C168" s="11" t="s">
        <v>494</v>
      </c>
      <c r="D168" s="12">
        <v>145</v>
      </c>
      <c r="E168"/>
      <c r="F168"/>
      <c r="G168"/>
    </row>
    <row r="169" spans="1:7" x14ac:dyDescent="0.25">
      <c r="A169" s="13">
        <v>430</v>
      </c>
      <c r="B169" s="11" t="s">
        <v>277</v>
      </c>
      <c r="C169" s="11" t="s">
        <v>494</v>
      </c>
      <c r="D169" s="12">
        <v>135</v>
      </c>
      <c r="E169"/>
      <c r="F169"/>
      <c r="G169"/>
    </row>
    <row r="170" spans="1:7" x14ac:dyDescent="0.25">
      <c r="A170" s="13">
        <v>432</v>
      </c>
      <c r="B170" s="11" t="s">
        <v>277</v>
      </c>
      <c r="C170" s="11" t="s">
        <v>494</v>
      </c>
      <c r="D170" s="12">
        <v>170</v>
      </c>
      <c r="E170"/>
      <c r="F170"/>
      <c r="G170"/>
    </row>
    <row r="171" spans="1:7" x14ac:dyDescent="0.25">
      <c r="A171" s="13">
        <v>438</v>
      </c>
      <c r="B171" s="11" t="s">
        <v>277</v>
      </c>
      <c r="C171" s="11" t="s">
        <v>494</v>
      </c>
      <c r="D171" s="12">
        <v>200</v>
      </c>
      <c r="E171"/>
      <c r="F171"/>
      <c r="G171"/>
    </row>
    <row r="172" spans="1:7" x14ac:dyDescent="0.25">
      <c r="A172" s="13">
        <v>442</v>
      </c>
      <c r="B172" s="11" t="s">
        <v>277</v>
      </c>
      <c r="C172" s="11" t="s">
        <v>494</v>
      </c>
      <c r="D172" s="12">
        <v>175</v>
      </c>
      <c r="E172"/>
      <c r="F172"/>
      <c r="G172"/>
    </row>
    <row r="173" spans="1:7" x14ac:dyDescent="0.25">
      <c r="A173" s="13">
        <v>446</v>
      </c>
      <c r="B173" s="11" t="s">
        <v>277</v>
      </c>
      <c r="C173" s="11" t="s">
        <v>494</v>
      </c>
      <c r="D173" s="12">
        <v>175</v>
      </c>
      <c r="E173"/>
      <c r="F173"/>
      <c r="G173"/>
    </row>
    <row r="174" spans="1:7" x14ac:dyDescent="0.25">
      <c r="A174" s="13">
        <v>448</v>
      </c>
      <c r="B174" s="11" t="s">
        <v>277</v>
      </c>
      <c r="C174" s="11" t="s">
        <v>494</v>
      </c>
      <c r="D174" s="12">
        <v>220</v>
      </c>
      <c r="E174"/>
      <c r="F174"/>
      <c r="G174"/>
    </row>
    <row r="175" spans="1:7" x14ac:dyDescent="0.25">
      <c r="A175" s="13">
        <v>449</v>
      </c>
      <c r="B175" s="11" t="s">
        <v>277</v>
      </c>
      <c r="C175" s="11" t="s">
        <v>494</v>
      </c>
      <c r="D175" s="12">
        <v>125</v>
      </c>
      <c r="E175"/>
      <c r="F175"/>
      <c r="G175"/>
    </row>
    <row r="176" spans="1:7" x14ac:dyDescent="0.25">
      <c r="A176" s="13">
        <v>474</v>
      </c>
      <c r="B176" s="11" t="s">
        <v>277</v>
      </c>
      <c r="C176" s="11" t="s">
        <v>494</v>
      </c>
      <c r="D176" s="12">
        <v>175</v>
      </c>
      <c r="E176"/>
      <c r="F176"/>
      <c r="G176"/>
    </row>
    <row r="177" spans="1:7" x14ac:dyDescent="0.25">
      <c r="A177" s="13">
        <v>477</v>
      </c>
      <c r="B177" s="11" t="s">
        <v>277</v>
      </c>
      <c r="C177" s="11" t="s">
        <v>494</v>
      </c>
      <c r="D177" s="12">
        <v>85</v>
      </c>
      <c r="E177"/>
      <c r="F177"/>
      <c r="G177"/>
    </row>
    <row r="178" spans="1:7" x14ac:dyDescent="0.25">
      <c r="A178" s="13">
        <v>480</v>
      </c>
      <c r="B178" s="11" t="s">
        <v>277</v>
      </c>
      <c r="C178" s="11" t="s">
        <v>494</v>
      </c>
      <c r="D178" s="12">
        <v>125</v>
      </c>
      <c r="E178"/>
      <c r="F178"/>
      <c r="G178"/>
    </row>
    <row r="179" spans="1:7" x14ac:dyDescent="0.25">
      <c r="A179" s="13">
        <v>481</v>
      </c>
      <c r="B179" s="11" t="s">
        <v>277</v>
      </c>
      <c r="C179" s="11" t="s">
        <v>494</v>
      </c>
      <c r="D179" s="12">
        <v>110</v>
      </c>
      <c r="E179"/>
      <c r="F179"/>
      <c r="G179"/>
    </row>
    <row r="180" spans="1:7" x14ac:dyDescent="0.25">
      <c r="A180" s="13">
        <v>484</v>
      </c>
      <c r="B180" s="11" t="s">
        <v>277</v>
      </c>
      <c r="C180" s="11" t="s">
        <v>494</v>
      </c>
      <c r="D180" s="12">
        <v>200</v>
      </c>
      <c r="E180"/>
      <c r="F180"/>
      <c r="G180"/>
    </row>
    <row r="181" spans="1:7" x14ac:dyDescent="0.25">
      <c r="A181" s="13">
        <v>491</v>
      </c>
      <c r="B181" s="11" t="s">
        <v>277</v>
      </c>
      <c r="C181" s="11" t="s">
        <v>494</v>
      </c>
      <c r="D181" s="12">
        <v>90</v>
      </c>
      <c r="E181"/>
      <c r="F181"/>
      <c r="G181"/>
    </row>
    <row r="182" spans="1:7" x14ac:dyDescent="0.25">
      <c r="A182" s="13">
        <v>493</v>
      </c>
      <c r="B182" s="11" t="s">
        <v>277</v>
      </c>
      <c r="C182" s="11" t="s">
        <v>494</v>
      </c>
      <c r="D182" s="12">
        <v>215</v>
      </c>
      <c r="E182"/>
      <c r="F182"/>
      <c r="G182"/>
    </row>
    <row r="183" spans="1:7" x14ac:dyDescent="0.25">
      <c r="A183" s="13">
        <v>601</v>
      </c>
      <c r="B183" s="11" t="s">
        <v>277</v>
      </c>
      <c r="C183" s="11" t="s">
        <v>494</v>
      </c>
      <c r="D183" s="12">
        <v>565</v>
      </c>
      <c r="E183"/>
      <c r="F183"/>
      <c r="G183"/>
    </row>
    <row r="184" spans="1:7" x14ac:dyDescent="0.25">
      <c r="A184" s="13">
        <v>602</v>
      </c>
      <c r="B184" s="11" t="s">
        <v>277</v>
      </c>
      <c r="C184" s="11" t="s">
        <v>494</v>
      </c>
      <c r="D184" s="12">
        <v>490</v>
      </c>
      <c r="E184"/>
      <c r="F184"/>
      <c r="G184"/>
    </row>
    <row r="185" spans="1:7" x14ac:dyDescent="0.25">
      <c r="A185" s="13">
        <v>603</v>
      </c>
      <c r="B185" s="11" t="s">
        <v>277</v>
      </c>
      <c r="C185" s="11" t="s">
        <v>494</v>
      </c>
      <c r="D185" s="12">
        <v>485</v>
      </c>
      <c r="E185"/>
      <c r="F185"/>
      <c r="G185"/>
    </row>
    <row r="186" spans="1:7" x14ac:dyDescent="0.25">
      <c r="A186" s="13">
        <v>604</v>
      </c>
      <c r="B186" s="11" t="s">
        <v>277</v>
      </c>
      <c r="C186" s="11" t="s">
        <v>494</v>
      </c>
      <c r="D186" s="12">
        <v>570</v>
      </c>
      <c r="E186"/>
      <c r="F186"/>
      <c r="G186"/>
    </row>
    <row r="187" spans="1:7" x14ac:dyDescent="0.25">
      <c r="A187" s="13">
        <v>605</v>
      </c>
      <c r="B187" s="11" t="s">
        <v>277</v>
      </c>
      <c r="C187" s="11" t="s">
        <v>494</v>
      </c>
      <c r="D187" s="12">
        <v>565</v>
      </c>
      <c r="E187"/>
      <c r="F187"/>
      <c r="G187"/>
    </row>
    <row r="188" spans="1:7" x14ac:dyDescent="0.25">
      <c r="A188" s="13">
        <v>607</v>
      </c>
      <c r="B188" s="11" t="s">
        <v>277</v>
      </c>
      <c r="C188" s="11" t="s">
        <v>494</v>
      </c>
      <c r="D188" s="12">
        <v>610</v>
      </c>
      <c r="E188"/>
      <c r="F188"/>
      <c r="G188"/>
    </row>
    <row r="189" spans="1:7" x14ac:dyDescent="0.25">
      <c r="A189" s="13">
        <v>608</v>
      </c>
      <c r="B189" s="11" t="s">
        <v>277</v>
      </c>
      <c r="C189" s="11" t="s">
        <v>494</v>
      </c>
      <c r="D189" s="12">
        <v>560</v>
      </c>
      <c r="E189"/>
      <c r="F189"/>
      <c r="G189"/>
    </row>
    <row r="190" spans="1:7" x14ac:dyDescent="0.25">
      <c r="A190" s="13">
        <v>609</v>
      </c>
      <c r="B190" s="11" t="s">
        <v>277</v>
      </c>
      <c r="C190" s="11" t="s">
        <v>494</v>
      </c>
      <c r="D190" s="12">
        <v>625</v>
      </c>
      <c r="E190"/>
      <c r="F190"/>
      <c r="G190"/>
    </row>
    <row r="191" spans="1:7" x14ac:dyDescent="0.25">
      <c r="A191" s="13">
        <v>610</v>
      </c>
      <c r="B191" s="11" t="s">
        <v>277</v>
      </c>
      <c r="C191" s="11" t="s">
        <v>494</v>
      </c>
      <c r="D191" s="12">
        <v>675</v>
      </c>
      <c r="E191"/>
      <c r="F191"/>
      <c r="G191"/>
    </row>
    <row r="192" spans="1:7" x14ac:dyDescent="0.25">
      <c r="A192" s="13">
        <v>626</v>
      </c>
      <c r="B192" s="11" t="s">
        <v>277</v>
      </c>
      <c r="C192" s="11" t="s">
        <v>494</v>
      </c>
      <c r="D192" s="12">
        <v>855</v>
      </c>
      <c r="E192"/>
      <c r="F192"/>
      <c r="G192"/>
    </row>
    <row r="193" spans="1:7" x14ac:dyDescent="0.25">
      <c r="A193" s="13">
        <v>627</v>
      </c>
      <c r="B193" s="11" t="s">
        <v>277</v>
      </c>
      <c r="C193" s="11" t="s">
        <v>494</v>
      </c>
      <c r="D193" s="12">
        <v>850</v>
      </c>
      <c r="E193"/>
      <c r="F193"/>
      <c r="G193"/>
    </row>
    <row r="194" spans="1:7" x14ac:dyDescent="0.25">
      <c r="A194" s="13">
        <v>628</v>
      </c>
      <c r="B194" s="11" t="s">
        <v>277</v>
      </c>
      <c r="C194" s="11" t="s">
        <v>494</v>
      </c>
      <c r="D194" s="12">
        <v>685</v>
      </c>
      <c r="E194"/>
      <c r="F194"/>
      <c r="G194"/>
    </row>
    <row r="195" spans="1:7" x14ac:dyDescent="0.25">
      <c r="A195" s="13">
        <v>629</v>
      </c>
      <c r="B195" s="11" t="s">
        <v>277</v>
      </c>
      <c r="C195" s="11" t="s">
        <v>494</v>
      </c>
      <c r="D195" s="12">
        <v>795</v>
      </c>
      <c r="E195"/>
      <c r="F195"/>
      <c r="G195"/>
    </row>
    <row r="196" spans="1:7" x14ac:dyDescent="0.25">
      <c r="A196" s="13">
        <v>630</v>
      </c>
      <c r="B196" s="11" t="s">
        <v>277</v>
      </c>
      <c r="C196" s="11" t="s">
        <v>494</v>
      </c>
      <c r="D196" s="12">
        <v>760</v>
      </c>
      <c r="E196"/>
      <c r="F196"/>
      <c r="G196"/>
    </row>
    <row r="197" spans="1:7" x14ac:dyDescent="0.25">
      <c r="A197" s="13">
        <v>631</v>
      </c>
      <c r="B197" s="11" t="s">
        <v>284</v>
      </c>
      <c r="C197" s="11" t="s">
        <v>494</v>
      </c>
      <c r="D197" s="12">
        <v>585</v>
      </c>
      <c r="E197"/>
      <c r="F197"/>
      <c r="G197"/>
    </row>
    <row r="198" spans="1:7" x14ac:dyDescent="0.25">
      <c r="A198" s="13">
        <v>632</v>
      </c>
      <c r="B198" s="11" t="s">
        <v>277</v>
      </c>
      <c r="C198" s="11" t="s">
        <v>494</v>
      </c>
      <c r="D198" s="12">
        <v>545</v>
      </c>
      <c r="E198"/>
      <c r="F198"/>
      <c r="G198"/>
    </row>
    <row r="199" spans="1:7" x14ac:dyDescent="0.25">
      <c r="A199" s="13">
        <v>745</v>
      </c>
      <c r="B199" s="11" t="s">
        <v>277</v>
      </c>
      <c r="C199" s="11" t="s">
        <v>494</v>
      </c>
      <c r="D199" s="12">
        <v>150</v>
      </c>
      <c r="E199"/>
      <c r="F199"/>
      <c r="G199"/>
    </row>
    <row r="200" spans="1:7" x14ac:dyDescent="0.25">
      <c r="A200" s="13">
        <v>750</v>
      </c>
      <c r="B200" s="11" t="s">
        <v>277</v>
      </c>
      <c r="C200" s="11" t="s">
        <v>494</v>
      </c>
      <c r="D200" s="12">
        <v>275</v>
      </c>
      <c r="E200"/>
      <c r="F200"/>
      <c r="G200"/>
    </row>
    <row r="201" spans="1:7" x14ac:dyDescent="0.25">
      <c r="A201" s="13">
        <v>764</v>
      </c>
      <c r="B201" s="11" t="s">
        <v>277</v>
      </c>
      <c r="C201" s="11" t="s">
        <v>494</v>
      </c>
      <c r="D201" s="12">
        <v>260</v>
      </c>
      <c r="E201"/>
      <c r="F201"/>
      <c r="G201"/>
    </row>
    <row r="202" spans="1:7" x14ac:dyDescent="0.25">
      <c r="A202" s="13">
        <v>765</v>
      </c>
      <c r="B202" s="11" t="s">
        <v>277</v>
      </c>
      <c r="C202" s="11" t="s">
        <v>494</v>
      </c>
      <c r="D202" s="12">
        <v>170</v>
      </c>
      <c r="E202"/>
      <c r="F202"/>
      <c r="G202"/>
    </row>
    <row r="203" spans="1:7" x14ac:dyDescent="0.25">
      <c r="A203" s="13">
        <v>766</v>
      </c>
      <c r="B203" s="11" t="s">
        <v>277</v>
      </c>
      <c r="C203" s="11" t="s">
        <v>494</v>
      </c>
      <c r="D203" s="12">
        <v>190</v>
      </c>
      <c r="E203"/>
      <c r="F203"/>
      <c r="G203"/>
    </row>
    <row r="204" spans="1:7" x14ac:dyDescent="0.25">
      <c r="A204" s="13">
        <v>767</v>
      </c>
      <c r="B204" s="11" t="s">
        <v>277</v>
      </c>
      <c r="C204" s="11" t="s">
        <v>494</v>
      </c>
      <c r="D204" s="12">
        <v>345</v>
      </c>
      <c r="E204"/>
      <c r="F204"/>
      <c r="G204"/>
    </row>
    <row r="205" spans="1:7" x14ac:dyDescent="0.25">
      <c r="A205" s="13">
        <v>772</v>
      </c>
      <c r="B205" s="11" t="s">
        <v>277</v>
      </c>
      <c r="C205" s="11" t="s">
        <v>494</v>
      </c>
      <c r="D205" s="12">
        <v>195</v>
      </c>
      <c r="E205"/>
      <c r="F205"/>
      <c r="G205"/>
    </row>
    <row r="206" spans="1:7" x14ac:dyDescent="0.25">
      <c r="A206" s="13">
        <v>801</v>
      </c>
      <c r="B206" s="11" t="s">
        <v>277</v>
      </c>
      <c r="C206" s="11" t="s">
        <v>497</v>
      </c>
      <c r="D206" s="12">
        <v>1790</v>
      </c>
      <c r="E206"/>
      <c r="F206"/>
      <c r="G206"/>
    </row>
    <row r="207" spans="1:7" x14ac:dyDescent="0.25">
      <c r="A207" s="13">
        <v>803</v>
      </c>
      <c r="B207" s="11" t="s">
        <v>277</v>
      </c>
      <c r="C207" s="11" t="s">
        <v>497</v>
      </c>
      <c r="D207" s="12">
        <v>2115</v>
      </c>
      <c r="E207"/>
      <c r="F207"/>
      <c r="G207"/>
    </row>
    <row r="208" spans="1:7" x14ac:dyDescent="0.25">
      <c r="A208" s="13">
        <v>805</v>
      </c>
      <c r="B208" s="11" t="s">
        <v>277</v>
      </c>
      <c r="C208" s="11" t="s">
        <v>497</v>
      </c>
      <c r="D208" s="12">
        <v>1820</v>
      </c>
      <c r="E208"/>
      <c r="F208"/>
      <c r="G208"/>
    </row>
    <row r="209" spans="1:7" x14ac:dyDescent="0.25">
      <c r="A209" s="13">
        <v>807</v>
      </c>
      <c r="B209" s="11" t="s">
        <v>277</v>
      </c>
      <c r="C209" s="11" t="s">
        <v>497</v>
      </c>
      <c r="D209" s="12">
        <v>1385</v>
      </c>
      <c r="E209"/>
      <c r="F209"/>
      <c r="G209"/>
    </row>
    <row r="210" spans="1:7" x14ac:dyDescent="0.25">
      <c r="A210" s="13">
        <v>808</v>
      </c>
      <c r="B210" s="11" t="s">
        <v>277</v>
      </c>
      <c r="C210" s="11" t="s">
        <v>497</v>
      </c>
      <c r="D210" s="12">
        <v>1660</v>
      </c>
      <c r="E210"/>
      <c r="F210"/>
      <c r="G210"/>
    </row>
    <row r="211" spans="1:7" x14ac:dyDescent="0.25">
      <c r="A211" s="13">
        <v>811</v>
      </c>
      <c r="B211" s="11" t="s">
        <v>277</v>
      </c>
      <c r="C211" s="11" t="s">
        <v>497</v>
      </c>
      <c r="D211" s="12">
        <v>1595</v>
      </c>
      <c r="E211"/>
      <c r="F211"/>
      <c r="G211"/>
    </row>
    <row r="212" spans="1:7" x14ac:dyDescent="0.25">
      <c r="A212" s="13">
        <v>812</v>
      </c>
      <c r="B212" s="11" t="s">
        <v>277</v>
      </c>
      <c r="C212" s="11" t="s">
        <v>497</v>
      </c>
      <c r="D212" s="12">
        <v>1090</v>
      </c>
      <c r="E212"/>
      <c r="F212"/>
      <c r="G212"/>
    </row>
    <row r="213" spans="1:7" x14ac:dyDescent="0.25">
      <c r="A213" s="13">
        <v>814</v>
      </c>
      <c r="B213" s="11" t="s">
        <v>277</v>
      </c>
      <c r="C213" s="11" t="s">
        <v>497</v>
      </c>
      <c r="D213" s="12">
        <v>1690</v>
      </c>
      <c r="E213"/>
      <c r="F213"/>
      <c r="G213"/>
    </row>
    <row r="214" spans="1:7" x14ac:dyDescent="0.25">
      <c r="A214" s="13">
        <v>815</v>
      </c>
      <c r="B214" s="11" t="s">
        <v>277</v>
      </c>
      <c r="C214" s="11" t="s">
        <v>497</v>
      </c>
      <c r="D214" s="12">
        <v>1530</v>
      </c>
      <c r="E214"/>
      <c r="F214"/>
      <c r="G214"/>
    </row>
    <row r="215" spans="1:7" x14ac:dyDescent="0.25">
      <c r="A215" s="13">
        <v>816</v>
      </c>
      <c r="B215" s="11" t="s">
        <v>284</v>
      </c>
      <c r="C215" s="11" t="s">
        <v>497</v>
      </c>
      <c r="D215" s="12">
        <v>1140</v>
      </c>
      <c r="E215"/>
      <c r="F215"/>
      <c r="G215"/>
    </row>
    <row r="216" spans="1:7" x14ac:dyDescent="0.25">
      <c r="A216" s="13">
        <v>817</v>
      </c>
      <c r="B216" s="11" t="s">
        <v>277</v>
      </c>
      <c r="C216" s="11" t="s">
        <v>497</v>
      </c>
      <c r="D216" s="12">
        <v>2180</v>
      </c>
      <c r="E216"/>
      <c r="F216"/>
      <c r="G216"/>
    </row>
    <row r="217" spans="1:7" x14ac:dyDescent="0.25">
      <c r="A217" s="13">
        <v>818</v>
      </c>
      <c r="B217" s="11" t="s">
        <v>277</v>
      </c>
      <c r="C217" s="11" t="s">
        <v>497</v>
      </c>
      <c r="D217" s="12">
        <v>1140</v>
      </c>
      <c r="E217"/>
      <c r="F217"/>
      <c r="G217"/>
    </row>
    <row r="218" spans="1:7" x14ac:dyDescent="0.25">
      <c r="A218" s="13">
        <v>819</v>
      </c>
      <c r="B218" s="11" t="s">
        <v>277</v>
      </c>
      <c r="C218" s="11" t="s">
        <v>497</v>
      </c>
      <c r="D218" s="12">
        <v>1060</v>
      </c>
      <c r="E218"/>
      <c r="F218"/>
      <c r="G218"/>
    </row>
    <row r="219" spans="1:7" x14ac:dyDescent="0.25">
      <c r="A219" s="13">
        <v>820</v>
      </c>
      <c r="B219" s="11" t="s">
        <v>277</v>
      </c>
      <c r="C219" s="11" t="s">
        <v>497</v>
      </c>
      <c r="D219" s="12">
        <v>1060</v>
      </c>
      <c r="E219"/>
      <c r="F219"/>
      <c r="G219"/>
    </row>
    <row r="220" spans="1:7" x14ac:dyDescent="0.25">
      <c r="A220" s="13">
        <v>821</v>
      </c>
      <c r="B220" s="11" t="s">
        <v>277</v>
      </c>
      <c r="C220" s="11" t="s">
        <v>497</v>
      </c>
      <c r="D220" s="12">
        <v>1010</v>
      </c>
      <c r="E220"/>
      <c r="F220"/>
      <c r="G220"/>
    </row>
    <row r="221" spans="1:7" x14ac:dyDescent="0.25">
      <c r="A221" s="13">
        <v>822</v>
      </c>
      <c r="B221" s="11" t="s">
        <v>277</v>
      </c>
      <c r="C221" s="11" t="s">
        <v>497</v>
      </c>
      <c r="D221" s="12">
        <v>1060</v>
      </c>
      <c r="E221"/>
      <c r="F221"/>
      <c r="G221"/>
    </row>
    <row r="222" spans="1:7" x14ac:dyDescent="0.25">
      <c r="A222" s="13">
        <v>823</v>
      </c>
      <c r="B222" s="11" t="s">
        <v>277</v>
      </c>
      <c r="C222" s="11" t="s">
        <v>497</v>
      </c>
      <c r="D222" s="12">
        <v>1205</v>
      </c>
      <c r="E222"/>
      <c r="F222"/>
      <c r="G222"/>
    </row>
    <row r="223" spans="1:7" x14ac:dyDescent="0.25">
      <c r="A223" s="13">
        <v>824</v>
      </c>
      <c r="B223" s="11" t="s">
        <v>277</v>
      </c>
      <c r="C223" s="11" t="s">
        <v>497</v>
      </c>
      <c r="D223" s="12">
        <v>1235</v>
      </c>
      <c r="E223"/>
      <c r="F223"/>
      <c r="G223"/>
    </row>
    <row r="224" spans="1:7" x14ac:dyDescent="0.25">
      <c r="A224" s="13">
        <v>825</v>
      </c>
      <c r="B224" s="11" t="s">
        <v>277</v>
      </c>
      <c r="C224" s="11" t="s">
        <v>497</v>
      </c>
      <c r="D224" s="12">
        <v>1335</v>
      </c>
      <c r="E224"/>
      <c r="F224"/>
      <c r="G224"/>
    </row>
    <row r="225" spans="1:7" x14ac:dyDescent="0.25">
      <c r="A225" s="13">
        <v>827</v>
      </c>
      <c r="B225" s="11" t="s">
        <v>277</v>
      </c>
      <c r="C225" s="11" t="s">
        <v>497</v>
      </c>
      <c r="D225" s="12">
        <v>2245</v>
      </c>
      <c r="E225"/>
      <c r="F225"/>
      <c r="G225"/>
    </row>
    <row r="226" spans="1:7" x14ac:dyDescent="0.25">
      <c r="A226" s="13">
        <v>828</v>
      </c>
      <c r="B226" s="11" t="s">
        <v>277</v>
      </c>
      <c r="C226" s="11" t="s">
        <v>497</v>
      </c>
      <c r="D226" s="12">
        <v>1300</v>
      </c>
      <c r="E226"/>
      <c r="F226"/>
      <c r="G226"/>
    </row>
    <row r="227" spans="1:7" x14ac:dyDescent="0.25">
      <c r="A227" s="13">
        <v>830</v>
      </c>
      <c r="B227" s="11" t="s">
        <v>277</v>
      </c>
      <c r="C227" s="11" t="s">
        <v>497</v>
      </c>
      <c r="D227" s="12">
        <v>1300</v>
      </c>
      <c r="E227"/>
      <c r="F227"/>
      <c r="G227"/>
    </row>
    <row r="228" spans="1:7" x14ac:dyDescent="0.25">
      <c r="A228" s="13">
        <v>831</v>
      </c>
      <c r="B228" s="11" t="s">
        <v>277</v>
      </c>
      <c r="C228" s="11" t="s">
        <v>497</v>
      </c>
      <c r="D228" s="12">
        <v>1660</v>
      </c>
      <c r="E228"/>
      <c r="F228"/>
      <c r="G228"/>
    </row>
    <row r="229" spans="1:7" x14ac:dyDescent="0.25">
      <c r="A229" s="13">
        <v>832</v>
      </c>
      <c r="B229" s="11" t="s">
        <v>277</v>
      </c>
      <c r="C229" s="11" t="s">
        <v>497</v>
      </c>
      <c r="D229" s="12">
        <v>1400</v>
      </c>
      <c r="E229"/>
      <c r="F229"/>
      <c r="G229"/>
    </row>
    <row r="230" spans="1:7" x14ac:dyDescent="0.25">
      <c r="A230" s="13">
        <v>833</v>
      </c>
      <c r="B230" s="11" t="s">
        <v>277</v>
      </c>
      <c r="C230" s="11" t="s">
        <v>497</v>
      </c>
      <c r="D230" s="12">
        <v>1035</v>
      </c>
      <c r="E230"/>
      <c r="F230"/>
      <c r="G230"/>
    </row>
    <row r="231" spans="1:7" x14ac:dyDescent="0.25">
      <c r="A231" s="13">
        <v>834</v>
      </c>
      <c r="B231" s="11" t="s">
        <v>277</v>
      </c>
      <c r="C231" s="11" t="s">
        <v>497</v>
      </c>
      <c r="D231" s="12">
        <v>1335</v>
      </c>
      <c r="E231"/>
      <c r="F231"/>
      <c r="G231"/>
    </row>
    <row r="232" spans="1:7" x14ac:dyDescent="0.25">
      <c r="A232" s="13">
        <v>835</v>
      </c>
      <c r="B232" s="11" t="s">
        <v>277</v>
      </c>
      <c r="C232" s="11" t="s">
        <v>497</v>
      </c>
      <c r="D232" s="12">
        <v>1465</v>
      </c>
      <c r="E232"/>
      <c r="F232"/>
      <c r="G232"/>
    </row>
    <row r="233" spans="1:7" x14ac:dyDescent="0.25">
      <c r="A233" s="13">
        <v>836</v>
      </c>
      <c r="B233" s="11" t="s">
        <v>277</v>
      </c>
      <c r="C233" s="11" t="s">
        <v>497</v>
      </c>
      <c r="D233" s="12">
        <v>1140</v>
      </c>
      <c r="E233"/>
      <c r="F233"/>
      <c r="G233"/>
    </row>
    <row r="234" spans="1:7" x14ac:dyDescent="0.25">
      <c r="A234" s="13">
        <v>837</v>
      </c>
      <c r="B234" s="11" t="s">
        <v>277</v>
      </c>
      <c r="C234" s="11" t="s">
        <v>497</v>
      </c>
      <c r="D234" s="12">
        <v>1270</v>
      </c>
      <c r="E234"/>
      <c r="F234"/>
      <c r="G234"/>
    </row>
    <row r="235" spans="1:7" x14ac:dyDescent="0.25">
      <c r="A235" s="13">
        <v>838</v>
      </c>
      <c r="B235" s="11" t="s">
        <v>277</v>
      </c>
      <c r="C235" s="11" t="s">
        <v>497</v>
      </c>
      <c r="D235" s="12">
        <v>810</v>
      </c>
      <c r="E235"/>
      <c r="F235"/>
      <c r="G235"/>
    </row>
    <row r="236" spans="1:7" x14ac:dyDescent="0.25">
      <c r="A236" s="13">
        <v>839</v>
      </c>
      <c r="B236" s="11" t="s">
        <v>277</v>
      </c>
      <c r="C236" s="11" t="s">
        <v>497</v>
      </c>
      <c r="D236" s="12">
        <v>1030</v>
      </c>
      <c r="E236"/>
      <c r="F236"/>
      <c r="G236"/>
    </row>
    <row r="237" spans="1:7" x14ac:dyDescent="0.25">
      <c r="A237" s="13">
        <v>840</v>
      </c>
      <c r="B237" s="11" t="s">
        <v>277</v>
      </c>
      <c r="C237" s="11" t="s">
        <v>497</v>
      </c>
      <c r="D237" s="12">
        <v>975</v>
      </c>
      <c r="E237"/>
      <c r="F237"/>
      <c r="G237"/>
    </row>
    <row r="238" spans="1:7" x14ac:dyDescent="0.25">
      <c r="A238" s="13">
        <v>948</v>
      </c>
      <c r="B238" s="11" t="s">
        <v>284</v>
      </c>
      <c r="C238" s="11" t="s">
        <v>493</v>
      </c>
      <c r="D238" s="12">
        <v>820</v>
      </c>
      <c r="E238"/>
      <c r="F238"/>
      <c r="G238"/>
    </row>
    <row r="239" spans="1:7" x14ac:dyDescent="0.25">
      <c r="A239" s="13">
        <v>949</v>
      </c>
      <c r="B239" s="11" t="s">
        <v>284</v>
      </c>
      <c r="C239" s="11" t="s">
        <v>493</v>
      </c>
      <c r="D239" s="12">
        <v>915</v>
      </c>
      <c r="E239"/>
      <c r="F239"/>
      <c r="G239"/>
    </row>
    <row r="240" spans="1:7" x14ac:dyDescent="0.25">
      <c r="A240" s="13">
        <v>951</v>
      </c>
      <c r="B240" s="11" t="s">
        <v>284</v>
      </c>
      <c r="C240" s="11" t="s">
        <v>493</v>
      </c>
      <c r="D240" s="12">
        <v>935</v>
      </c>
      <c r="E240"/>
      <c r="F240"/>
      <c r="G240"/>
    </row>
    <row r="241" spans="1:7" x14ac:dyDescent="0.25">
      <c r="A241" s="13">
        <v>959</v>
      </c>
      <c r="B241" s="11" t="s">
        <v>284</v>
      </c>
      <c r="C241" s="11" t="s">
        <v>493</v>
      </c>
      <c r="D241" s="12">
        <v>885</v>
      </c>
      <c r="E241"/>
      <c r="F241"/>
      <c r="G241"/>
    </row>
    <row r="242" spans="1:7" x14ac:dyDescent="0.25">
      <c r="A242" s="13">
        <v>960</v>
      </c>
      <c r="B242" s="11" t="s">
        <v>284</v>
      </c>
      <c r="C242" s="11" t="s">
        <v>493</v>
      </c>
      <c r="D242" s="12">
        <v>1060</v>
      </c>
      <c r="E242"/>
      <c r="F242"/>
      <c r="G242"/>
    </row>
    <row r="243" spans="1:7" x14ac:dyDescent="0.25">
      <c r="A243" s="13">
        <v>962</v>
      </c>
      <c r="B243" s="11" t="s">
        <v>284</v>
      </c>
      <c r="C243" s="11" t="s">
        <v>493</v>
      </c>
      <c r="D243" s="12">
        <v>1040</v>
      </c>
      <c r="E243"/>
      <c r="F243"/>
      <c r="G243"/>
    </row>
    <row r="244" spans="1:7" x14ac:dyDescent="0.25">
      <c r="A244" s="13">
        <v>965</v>
      </c>
      <c r="B244" s="11" t="s">
        <v>284</v>
      </c>
      <c r="C244" s="11" t="s">
        <v>493</v>
      </c>
      <c r="D244" s="12">
        <v>750</v>
      </c>
      <c r="E244"/>
      <c r="F244"/>
      <c r="G244"/>
    </row>
    <row r="245" spans="1:7" x14ac:dyDescent="0.25">
      <c r="A245" s="13">
        <v>968</v>
      </c>
      <c r="B245" s="11" t="s">
        <v>284</v>
      </c>
      <c r="C245" s="11" t="s">
        <v>493</v>
      </c>
      <c r="D245" s="12">
        <v>1040</v>
      </c>
      <c r="E245"/>
      <c r="F245"/>
      <c r="G245"/>
    </row>
    <row r="246" spans="1:7" x14ac:dyDescent="0.25">
      <c r="A246" s="13">
        <v>969</v>
      </c>
      <c r="B246" s="11" t="s">
        <v>284</v>
      </c>
      <c r="C246" s="11" t="s">
        <v>493</v>
      </c>
      <c r="D246" s="12">
        <v>810</v>
      </c>
      <c r="E246"/>
      <c r="F246"/>
      <c r="G246"/>
    </row>
    <row r="247" spans="1:7" x14ac:dyDescent="0.25">
      <c r="A247" s="13">
        <v>970</v>
      </c>
      <c r="B247" s="11" t="s">
        <v>284</v>
      </c>
      <c r="C247" s="11" t="s">
        <v>493</v>
      </c>
      <c r="D247" s="12">
        <v>1130</v>
      </c>
      <c r="E247"/>
      <c r="F247"/>
      <c r="G247"/>
    </row>
    <row r="248" spans="1:7" x14ac:dyDescent="0.25">
      <c r="A248" s="13">
        <v>971</v>
      </c>
      <c r="B248" s="11" t="s">
        <v>284</v>
      </c>
      <c r="C248" s="11" t="s">
        <v>493</v>
      </c>
      <c r="D248" s="12">
        <v>860</v>
      </c>
      <c r="E248"/>
      <c r="F248"/>
      <c r="G248"/>
    </row>
    <row r="249" spans="1:7" x14ac:dyDescent="0.25">
      <c r="A249" s="13">
        <v>973</v>
      </c>
      <c r="B249" s="11" t="s">
        <v>284</v>
      </c>
      <c r="C249" s="11" t="s">
        <v>493</v>
      </c>
      <c r="D249" s="12">
        <v>1080</v>
      </c>
      <c r="E249"/>
      <c r="F249"/>
      <c r="G249"/>
    </row>
    <row r="250" spans="1:7" x14ac:dyDescent="0.25">
      <c r="A250" s="13">
        <v>1004</v>
      </c>
      <c r="B250" s="11" t="s">
        <v>284</v>
      </c>
      <c r="C250" s="11" t="s">
        <v>493</v>
      </c>
      <c r="D250" s="12">
        <v>955</v>
      </c>
      <c r="E250"/>
      <c r="F250"/>
      <c r="G250"/>
    </row>
    <row r="251" spans="1:7" x14ac:dyDescent="0.25">
      <c r="A251" s="13">
        <v>1005</v>
      </c>
      <c r="B251" s="11" t="s">
        <v>284</v>
      </c>
      <c r="C251" s="11" t="s">
        <v>493</v>
      </c>
      <c r="D251" s="12">
        <v>1030</v>
      </c>
      <c r="E251"/>
      <c r="F251"/>
      <c r="G251"/>
    </row>
    <row r="252" spans="1:7" x14ac:dyDescent="0.25">
      <c r="A252" s="13">
        <v>1006</v>
      </c>
      <c r="B252" s="11" t="s">
        <v>284</v>
      </c>
      <c r="C252" s="11" t="s">
        <v>493</v>
      </c>
      <c r="D252" s="12">
        <v>1285</v>
      </c>
      <c r="E252"/>
      <c r="F252"/>
      <c r="G252"/>
    </row>
    <row r="253" spans="1:7" x14ac:dyDescent="0.25">
      <c r="A253" s="13">
        <v>1007</v>
      </c>
      <c r="B253" s="11" t="s">
        <v>284</v>
      </c>
      <c r="C253" s="11" t="s">
        <v>493</v>
      </c>
      <c r="D253" s="12">
        <v>1040</v>
      </c>
      <c r="E253"/>
      <c r="F253"/>
      <c r="G253"/>
    </row>
    <row r="254" spans="1:7" x14ac:dyDescent="0.25">
      <c r="A254" s="13">
        <v>1008</v>
      </c>
      <c r="B254" s="11" t="s">
        <v>284</v>
      </c>
      <c r="C254" s="11" t="s">
        <v>493</v>
      </c>
      <c r="D254" s="12">
        <v>1165</v>
      </c>
      <c r="E254"/>
      <c r="F254"/>
      <c r="G254"/>
    </row>
    <row r="255" spans="1:7" x14ac:dyDescent="0.25">
      <c r="A255" s="13">
        <v>1009</v>
      </c>
      <c r="B255" s="11" t="s">
        <v>284</v>
      </c>
      <c r="C255" s="11" t="s">
        <v>493</v>
      </c>
      <c r="D255" s="12">
        <v>860</v>
      </c>
      <c r="E255"/>
      <c r="F255"/>
      <c r="G255"/>
    </row>
    <row r="256" spans="1:7" x14ac:dyDescent="0.25">
      <c r="A256" s="13">
        <v>1011</v>
      </c>
      <c r="B256" s="11" t="s">
        <v>284</v>
      </c>
      <c r="C256" s="11" t="s">
        <v>493</v>
      </c>
      <c r="D256" s="12">
        <v>1030</v>
      </c>
      <c r="E256"/>
      <c r="F256"/>
      <c r="G256"/>
    </row>
    <row r="257" spans="1:7" x14ac:dyDescent="0.25">
      <c r="A257" s="13">
        <v>1012</v>
      </c>
      <c r="B257" s="11" t="s">
        <v>284</v>
      </c>
      <c r="C257" s="11" t="s">
        <v>493</v>
      </c>
      <c r="D257" s="12">
        <v>1150</v>
      </c>
      <c r="E257"/>
      <c r="F257"/>
      <c r="G257"/>
    </row>
    <row r="258" spans="1:7" x14ac:dyDescent="0.25">
      <c r="A258" s="13">
        <v>1016</v>
      </c>
      <c r="B258" s="11" t="s">
        <v>284</v>
      </c>
      <c r="C258" s="11" t="s">
        <v>493</v>
      </c>
      <c r="D258" s="12">
        <v>1150</v>
      </c>
      <c r="E258"/>
      <c r="F258"/>
      <c r="G258"/>
    </row>
    <row r="259" spans="1:7" x14ac:dyDescent="0.25">
      <c r="A259" s="13">
        <v>1017</v>
      </c>
      <c r="B259" s="11" t="s">
        <v>284</v>
      </c>
      <c r="C259" s="11" t="s">
        <v>493</v>
      </c>
      <c r="D259" s="12">
        <v>875</v>
      </c>
      <c r="E259"/>
      <c r="F259"/>
      <c r="G259"/>
    </row>
    <row r="260" spans="1:7" x14ac:dyDescent="0.25">
      <c r="A260" s="13">
        <v>1018</v>
      </c>
      <c r="B260" s="11" t="s">
        <v>284</v>
      </c>
      <c r="C260" s="11" t="s">
        <v>493</v>
      </c>
      <c r="D260" s="12">
        <v>800</v>
      </c>
      <c r="E260"/>
      <c r="F260"/>
      <c r="G260"/>
    </row>
    <row r="261" spans="1:7" x14ac:dyDescent="0.25">
      <c r="A261" s="13">
        <v>1019</v>
      </c>
      <c r="B261" s="11" t="s">
        <v>284</v>
      </c>
      <c r="C261" s="11" t="s">
        <v>493</v>
      </c>
      <c r="D261" s="12">
        <v>835</v>
      </c>
      <c r="E261"/>
      <c r="F261"/>
      <c r="G261"/>
    </row>
    <row r="262" spans="1:7" x14ac:dyDescent="0.25">
      <c r="A262" s="13">
        <v>1020</v>
      </c>
      <c r="B262" s="11" t="s">
        <v>284</v>
      </c>
      <c r="C262" s="11" t="s">
        <v>493</v>
      </c>
      <c r="D262" s="12">
        <v>1030</v>
      </c>
      <c r="E262"/>
      <c r="F262"/>
      <c r="G262"/>
    </row>
    <row r="263" spans="1:7" x14ac:dyDescent="0.25">
      <c r="A263" s="13">
        <v>1021</v>
      </c>
      <c r="B263" s="11" t="s">
        <v>284</v>
      </c>
      <c r="C263" s="11" t="s">
        <v>493</v>
      </c>
      <c r="D263" s="12">
        <v>1380</v>
      </c>
      <c r="E263"/>
      <c r="F263"/>
      <c r="G263"/>
    </row>
    <row r="264" spans="1:7" x14ac:dyDescent="0.25">
      <c r="A264" s="13">
        <v>1030</v>
      </c>
      <c r="B264" s="11" t="s">
        <v>284</v>
      </c>
      <c r="C264" s="11" t="s">
        <v>493</v>
      </c>
      <c r="D264" s="12">
        <v>935</v>
      </c>
      <c r="E264"/>
      <c r="F264"/>
      <c r="G264"/>
    </row>
    <row r="265" spans="1:7" x14ac:dyDescent="0.25">
      <c r="A265" s="13">
        <v>2241</v>
      </c>
      <c r="B265" s="11" t="s">
        <v>277</v>
      </c>
      <c r="C265" s="11" t="s">
        <v>497</v>
      </c>
      <c r="D265" s="12">
        <v>1335</v>
      </c>
      <c r="E265"/>
      <c r="F265"/>
      <c r="G265"/>
    </row>
    <row r="266" spans="1:7" x14ac:dyDescent="0.25">
      <c r="A266" s="13">
        <v>2251</v>
      </c>
      <c r="B266" s="11" t="s">
        <v>284</v>
      </c>
      <c r="C266" s="11" t="s">
        <v>497</v>
      </c>
      <c r="D266" s="12">
        <v>750</v>
      </c>
      <c r="E266"/>
      <c r="F266"/>
      <c r="G266"/>
    </row>
    <row r="267" spans="1:7" x14ac:dyDescent="0.25">
      <c r="A267" s="13">
        <v>2291</v>
      </c>
      <c r="B267" s="11" t="s">
        <v>277</v>
      </c>
      <c r="C267" s="11" t="s">
        <v>494</v>
      </c>
      <c r="D267" s="12">
        <v>345</v>
      </c>
      <c r="E267"/>
      <c r="F267"/>
      <c r="G267"/>
    </row>
    <row r="268" spans="1:7" x14ac:dyDescent="0.25">
      <c r="A268" s="13">
        <v>2292</v>
      </c>
      <c r="B268" s="11" t="s">
        <v>277</v>
      </c>
      <c r="C268" s="11" t="s">
        <v>494</v>
      </c>
      <c r="D268" s="12">
        <v>315</v>
      </c>
      <c r="E268"/>
      <c r="F268"/>
      <c r="G268"/>
    </row>
    <row r="269" spans="1:7" x14ac:dyDescent="0.25">
      <c r="A269" s="13">
        <v>2301</v>
      </c>
      <c r="B269" s="11" t="s">
        <v>277</v>
      </c>
      <c r="C269" s="11" t="s">
        <v>494</v>
      </c>
      <c r="D269" s="12">
        <v>410</v>
      </c>
      <c r="E269"/>
      <c r="F269"/>
      <c r="G269"/>
    </row>
    <row r="270" spans="1:7" x14ac:dyDescent="0.25">
      <c r="A270" s="13">
        <v>2302</v>
      </c>
      <c r="B270" s="11" t="s">
        <v>277</v>
      </c>
      <c r="C270" s="11" t="s">
        <v>494</v>
      </c>
      <c r="D270" s="12">
        <v>425</v>
      </c>
      <c r="E270"/>
      <c r="F270"/>
      <c r="G270"/>
    </row>
    <row r="271" spans="1:7" x14ac:dyDescent="0.25">
      <c r="A271" s="13">
        <v>2311</v>
      </c>
      <c r="B271" s="11" t="s">
        <v>277</v>
      </c>
      <c r="C271" s="11" t="s">
        <v>494</v>
      </c>
      <c r="D271" s="12">
        <v>365</v>
      </c>
      <c r="E271"/>
      <c r="F271"/>
      <c r="G271"/>
    </row>
    <row r="272" spans="1:7" x14ac:dyDescent="0.25">
      <c r="A272" s="13">
        <v>2312</v>
      </c>
      <c r="B272" s="11" t="s">
        <v>277</v>
      </c>
      <c r="C272" s="11" t="s">
        <v>494</v>
      </c>
      <c r="D272" s="12">
        <v>715</v>
      </c>
      <c r="E272"/>
      <c r="F272"/>
      <c r="G272"/>
    </row>
    <row r="273" spans="1:7" x14ac:dyDescent="0.25">
      <c r="A273" s="13">
        <v>2313</v>
      </c>
      <c r="B273" s="11" t="s">
        <v>277</v>
      </c>
      <c r="C273" s="11" t="s">
        <v>494</v>
      </c>
      <c r="D273" s="12">
        <v>450</v>
      </c>
      <c r="E273"/>
      <c r="F273"/>
      <c r="G273"/>
    </row>
    <row r="274" spans="1:7" x14ac:dyDescent="0.25">
      <c r="A274" s="13">
        <v>2314</v>
      </c>
      <c r="B274" s="11" t="s">
        <v>277</v>
      </c>
      <c r="C274" s="11" t="s">
        <v>494</v>
      </c>
      <c r="D274" s="12">
        <v>415</v>
      </c>
      <c r="E274"/>
      <c r="F274"/>
      <c r="G274"/>
    </row>
    <row r="275" spans="1:7" x14ac:dyDescent="0.25">
      <c r="A275" s="13">
        <v>2315</v>
      </c>
      <c r="B275" s="11" t="s">
        <v>277</v>
      </c>
      <c r="C275" s="11" t="s">
        <v>494</v>
      </c>
      <c r="D275" s="12">
        <v>465</v>
      </c>
      <c r="E275"/>
      <c r="F275"/>
      <c r="G275"/>
    </row>
    <row r="276" spans="1:7" x14ac:dyDescent="0.25">
      <c r="A276" s="13">
        <v>2316</v>
      </c>
      <c r="B276" s="11" t="s">
        <v>277</v>
      </c>
      <c r="C276" s="11" t="s">
        <v>494</v>
      </c>
      <c r="D276" s="12">
        <v>570</v>
      </c>
      <c r="E276"/>
      <c r="F276"/>
      <c r="G276"/>
    </row>
    <row r="277" spans="1:7" x14ac:dyDescent="0.25">
      <c r="A277" s="13">
        <v>2317</v>
      </c>
      <c r="B277" s="11" t="s">
        <v>277</v>
      </c>
      <c r="C277" s="11" t="s">
        <v>494</v>
      </c>
      <c r="D277" s="12">
        <v>550</v>
      </c>
      <c r="E277"/>
      <c r="F277"/>
      <c r="G277"/>
    </row>
    <row r="278" spans="1:7" x14ac:dyDescent="0.25">
      <c r="A278" s="13">
        <v>2318</v>
      </c>
      <c r="B278" s="11" t="s">
        <v>277</v>
      </c>
      <c r="C278" s="11" t="s">
        <v>494</v>
      </c>
      <c r="D278" s="12">
        <v>550</v>
      </c>
      <c r="E278"/>
      <c r="F278"/>
      <c r="G278"/>
    </row>
    <row r="279" spans="1:7" x14ac:dyDescent="0.25">
      <c r="A279" s="13">
        <v>2320</v>
      </c>
      <c r="B279" s="11" t="s">
        <v>277</v>
      </c>
      <c r="C279" s="11" t="s">
        <v>494</v>
      </c>
      <c r="D279" s="12">
        <v>485</v>
      </c>
      <c r="E279"/>
      <c r="F279"/>
      <c r="G279"/>
    </row>
    <row r="280" spans="1:7" x14ac:dyDescent="0.25">
      <c r="A280" s="13">
        <v>2331</v>
      </c>
      <c r="B280" s="11" t="s">
        <v>277</v>
      </c>
      <c r="C280" s="11" t="s">
        <v>494</v>
      </c>
      <c r="D280" s="12">
        <v>335</v>
      </c>
      <c r="E280"/>
      <c r="F280"/>
      <c r="G280"/>
    </row>
    <row r="281" spans="1:7" x14ac:dyDescent="0.25">
      <c r="A281" s="13">
        <v>2332</v>
      </c>
      <c r="B281" s="11" t="s">
        <v>277</v>
      </c>
      <c r="C281" s="11" t="s">
        <v>494</v>
      </c>
      <c r="D281" s="12">
        <v>390</v>
      </c>
      <c r="E281"/>
      <c r="F281"/>
      <c r="G281"/>
    </row>
    <row r="282" spans="1:7" x14ac:dyDescent="0.25">
      <c r="A282" s="13">
        <v>2334</v>
      </c>
      <c r="B282" s="11" t="s">
        <v>277</v>
      </c>
      <c r="C282" s="11" t="s">
        <v>494</v>
      </c>
      <c r="D282" s="12">
        <v>485</v>
      </c>
      <c r="E282"/>
      <c r="F282"/>
      <c r="G282"/>
    </row>
    <row r="283" spans="1:7" x14ac:dyDescent="0.25">
      <c r="A283" s="13">
        <v>2335</v>
      </c>
      <c r="B283" s="11" t="s">
        <v>277</v>
      </c>
      <c r="C283" s="11" t="s">
        <v>494</v>
      </c>
      <c r="D283" s="12">
        <v>295</v>
      </c>
      <c r="E283"/>
      <c r="F283"/>
      <c r="G283"/>
    </row>
    <row r="284" spans="1:7" x14ac:dyDescent="0.25">
      <c r="A284" s="13">
        <v>2336</v>
      </c>
      <c r="B284" s="11" t="s">
        <v>284</v>
      </c>
      <c r="C284" s="11" t="s">
        <v>494</v>
      </c>
      <c r="D284" s="12">
        <v>560</v>
      </c>
      <c r="E284"/>
      <c r="F284"/>
      <c r="G284"/>
    </row>
    <row r="285" spans="1:7" x14ac:dyDescent="0.25">
      <c r="A285" s="13">
        <v>2337</v>
      </c>
      <c r="B285" s="11" t="s">
        <v>277</v>
      </c>
      <c r="C285" s="11" t="s">
        <v>494</v>
      </c>
      <c r="D285" s="12">
        <v>515</v>
      </c>
      <c r="E285"/>
      <c r="F285"/>
      <c r="G285"/>
    </row>
    <row r="286" spans="1:7" x14ac:dyDescent="0.25">
      <c r="A286" s="13">
        <v>2351</v>
      </c>
      <c r="B286" s="11" t="s">
        <v>277</v>
      </c>
      <c r="C286" s="11" t="s">
        <v>494</v>
      </c>
      <c r="D286" s="12">
        <v>425</v>
      </c>
      <c r="E286"/>
      <c r="F286"/>
      <c r="G286"/>
    </row>
    <row r="287" spans="1:7" x14ac:dyDescent="0.25">
      <c r="A287" s="13">
        <v>2391</v>
      </c>
      <c r="B287" s="11" t="s">
        <v>277</v>
      </c>
      <c r="C287" s="11" t="s">
        <v>497</v>
      </c>
      <c r="D287" s="12">
        <v>965</v>
      </c>
      <c r="E287"/>
      <c r="F287"/>
      <c r="G287"/>
    </row>
    <row r="288" spans="1:7" x14ac:dyDescent="0.25">
      <c r="A288" s="13">
        <v>2392</v>
      </c>
      <c r="B288" s="11" t="s">
        <v>277</v>
      </c>
      <c r="C288" s="11" t="s">
        <v>497</v>
      </c>
      <c r="D288" s="12">
        <v>965</v>
      </c>
      <c r="E288"/>
      <c r="F288"/>
      <c r="G288"/>
    </row>
    <row r="289" spans="1:7" x14ac:dyDescent="0.25">
      <c r="A289" s="13">
        <v>2393</v>
      </c>
      <c r="B289" s="11" t="s">
        <v>277</v>
      </c>
      <c r="C289" s="11" t="s">
        <v>497</v>
      </c>
      <c r="D289" s="12">
        <v>730</v>
      </c>
      <c r="E289"/>
      <c r="F289"/>
      <c r="G289"/>
    </row>
    <row r="290" spans="1:7" x14ac:dyDescent="0.25">
      <c r="A290" s="13">
        <v>2394</v>
      </c>
      <c r="B290" s="11" t="s">
        <v>277</v>
      </c>
      <c r="C290" s="11" t="s">
        <v>497</v>
      </c>
      <c r="D290" s="12">
        <v>730</v>
      </c>
      <c r="E290"/>
      <c r="F290"/>
      <c r="G290"/>
    </row>
    <row r="291" spans="1:7" x14ac:dyDescent="0.25">
      <c r="A291" s="13">
        <v>2395</v>
      </c>
      <c r="B291" s="11" t="s">
        <v>277</v>
      </c>
      <c r="C291" s="11" t="s">
        <v>497</v>
      </c>
      <c r="D291" s="12">
        <v>730</v>
      </c>
      <c r="E291"/>
      <c r="F291"/>
      <c r="G291"/>
    </row>
    <row r="292" spans="1:7" x14ac:dyDescent="0.25">
      <c r="A292" s="13">
        <v>2396</v>
      </c>
      <c r="B292" s="11" t="s">
        <v>277</v>
      </c>
      <c r="C292" s="11" t="s">
        <v>497</v>
      </c>
      <c r="D292" s="12">
        <v>605</v>
      </c>
      <c r="E292"/>
      <c r="F292"/>
      <c r="G292"/>
    </row>
    <row r="293" spans="1:7" x14ac:dyDescent="0.25">
      <c r="A293" s="13">
        <v>2397</v>
      </c>
      <c r="B293" s="11" t="s">
        <v>277</v>
      </c>
      <c r="C293" s="11" t="s">
        <v>497</v>
      </c>
      <c r="D293" s="12">
        <v>455</v>
      </c>
      <c r="E293"/>
      <c r="F293"/>
      <c r="G293"/>
    </row>
    <row r="294" spans="1:7" x14ac:dyDescent="0.25">
      <c r="A294" s="13">
        <v>2398</v>
      </c>
      <c r="B294" s="11" t="s">
        <v>277</v>
      </c>
      <c r="C294" s="11" t="s">
        <v>497</v>
      </c>
      <c r="D294" s="12">
        <v>730</v>
      </c>
      <c r="E294"/>
      <c r="F294"/>
      <c r="G294"/>
    </row>
    <row r="295" spans="1:7" x14ac:dyDescent="0.25">
      <c r="A295" s="13">
        <v>2399</v>
      </c>
      <c r="B295" s="11" t="s">
        <v>277</v>
      </c>
      <c r="C295" s="11" t="s">
        <v>497</v>
      </c>
      <c r="D295" s="12">
        <v>730</v>
      </c>
      <c r="E295"/>
      <c r="F295"/>
      <c r="G295"/>
    </row>
    <row r="296" spans="1:7" x14ac:dyDescent="0.25">
      <c r="A296" s="13">
        <v>2401</v>
      </c>
      <c r="B296" s="11" t="s">
        <v>277</v>
      </c>
      <c r="C296" s="11" t="s">
        <v>498</v>
      </c>
      <c r="D296" s="12">
        <v>175</v>
      </c>
      <c r="E296"/>
      <c r="F296"/>
      <c r="G296"/>
    </row>
    <row r="297" spans="1:7" x14ac:dyDescent="0.25">
      <c r="A297" s="13">
        <v>2402</v>
      </c>
      <c r="B297" s="11" t="s">
        <v>277</v>
      </c>
      <c r="C297" s="11" t="s">
        <v>498</v>
      </c>
      <c r="D297" s="12">
        <v>135</v>
      </c>
      <c r="E297"/>
      <c r="F297"/>
      <c r="G297"/>
    </row>
    <row r="298" spans="1:7" x14ac:dyDescent="0.25">
      <c r="A298" s="13">
        <v>2403</v>
      </c>
      <c r="B298" s="11" t="s">
        <v>277</v>
      </c>
      <c r="C298" s="11" t="s">
        <v>498</v>
      </c>
      <c r="D298" s="12">
        <v>160</v>
      </c>
      <c r="E298"/>
      <c r="F298"/>
      <c r="G298"/>
    </row>
    <row r="299" spans="1:7" x14ac:dyDescent="0.25">
      <c r="A299" s="13">
        <v>2404</v>
      </c>
      <c r="B299" s="11" t="s">
        <v>277</v>
      </c>
      <c r="C299" s="11" t="s">
        <v>498</v>
      </c>
      <c r="D299" s="12">
        <v>160</v>
      </c>
      <c r="E299"/>
      <c r="F299"/>
      <c r="G299"/>
    </row>
    <row r="300" spans="1:7" x14ac:dyDescent="0.25">
      <c r="A300" s="13">
        <v>2405</v>
      </c>
      <c r="B300" s="11" t="s">
        <v>277</v>
      </c>
      <c r="C300" s="11" t="s">
        <v>498</v>
      </c>
      <c r="D300" s="12">
        <v>190</v>
      </c>
      <c r="E300"/>
      <c r="F300"/>
      <c r="G300"/>
    </row>
    <row r="301" spans="1:7" x14ac:dyDescent="0.25">
      <c r="A301" s="13">
        <v>2406</v>
      </c>
      <c r="B301" s="11" t="s">
        <v>277</v>
      </c>
      <c r="C301" s="11" t="s">
        <v>498</v>
      </c>
      <c r="D301" s="12">
        <v>220</v>
      </c>
      <c r="E301"/>
      <c r="F301"/>
      <c r="G301"/>
    </row>
    <row r="302" spans="1:7" x14ac:dyDescent="0.25">
      <c r="A302" s="13">
        <v>2407</v>
      </c>
      <c r="B302" s="11" t="s">
        <v>277</v>
      </c>
      <c r="C302" s="11" t="s">
        <v>498</v>
      </c>
      <c r="D302" s="12">
        <v>170</v>
      </c>
      <c r="E302"/>
      <c r="F302"/>
      <c r="G302"/>
    </row>
    <row r="303" spans="1:7" x14ac:dyDescent="0.25">
      <c r="A303" s="13">
        <v>2408</v>
      </c>
      <c r="B303" s="11" t="s">
        <v>277</v>
      </c>
      <c r="C303" s="11" t="s">
        <v>498</v>
      </c>
      <c r="D303" s="12">
        <v>195</v>
      </c>
      <c r="E303"/>
      <c r="F303"/>
      <c r="G303"/>
    </row>
    <row r="304" spans="1:7" x14ac:dyDescent="0.25">
      <c r="A304" s="13">
        <v>2409</v>
      </c>
      <c r="B304" s="11" t="s">
        <v>277</v>
      </c>
      <c r="C304" s="11" t="s">
        <v>498</v>
      </c>
      <c r="D304" s="12">
        <v>185</v>
      </c>
      <c r="E304"/>
      <c r="F304"/>
      <c r="G304"/>
    </row>
    <row r="305" spans="1:7" x14ac:dyDescent="0.25">
      <c r="A305" s="13">
        <v>2410</v>
      </c>
      <c r="B305" s="11" t="s">
        <v>277</v>
      </c>
      <c r="C305" s="11" t="s">
        <v>498</v>
      </c>
      <c r="D305" s="12">
        <v>140</v>
      </c>
      <c r="E305"/>
      <c r="F305"/>
      <c r="G305"/>
    </row>
    <row r="306" spans="1:7" x14ac:dyDescent="0.25">
      <c r="A306" s="13">
        <v>2411</v>
      </c>
      <c r="B306" s="11" t="s">
        <v>277</v>
      </c>
      <c r="C306" s="11" t="s">
        <v>498</v>
      </c>
      <c r="D306" s="12">
        <v>120</v>
      </c>
      <c r="E306"/>
      <c r="F306"/>
      <c r="G306"/>
    </row>
    <row r="307" spans="1:7" x14ac:dyDescent="0.25">
      <c r="A307" s="13">
        <v>2412</v>
      </c>
      <c r="B307" s="11" t="s">
        <v>277</v>
      </c>
      <c r="C307" s="11" t="s">
        <v>498</v>
      </c>
      <c r="D307" s="12">
        <v>145</v>
      </c>
      <c r="E307"/>
      <c r="F307"/>
      <c r="G307"/>
    </row>
    <row r="308" spans="1:7" x14ac:dyDescent="0.25">
      <c r="A308" s="13">
        <v>2413</v>
      </c>
      <c r="B308" s="11" t="s">
        <v>277</v>
      </c>
      <c r="C308" s="11" t="s">
        <v>498</v>
      </c>
      <c r="D308" s="12">
        <v>120</v>
      </c>
      <c r="E308"/>
      <c r="F308"/>
      <c r="G308"/>
    </row>
    <row r="309" spans="1:7" x14ac:dyDescent="0.25">
      <c r="A309" s="13">
        <v>2414</v>
      </c>
      <c r="B309" s="11" t="s">
        <v>277</v>
      </c>
      <c r="C309" s="11" t="s">
        <v>498</v>
      </c>
      <c r="D309" s="12">
        <v>125</v>
      </c>
      <c r="E309"/>
      <c r="F309"/>
      <c r="G309"/>
    </row>
    <row r="310" spans="1:7" x14ac:dyDescent="0.25">
      <c r="A310" s="13">
        <v>2415</v>
      </c>
      <c r="B310" s="11" t="s">
        <v>284</v>
      </c>
      <c r="C310" s="11" t="s">
        <v>498</v>
      </c>
      <c r="D310" s="12">
        <v>265</v>
      </c>
      <c r="E310"/>
      <c r="F310"/>
      <c r="G310"/>
    </row>
    <row r="311" spans="1:7" x14ac:dyDescent="0.25">
      <c r="A311" s="13">
        <v>2421</v>
      </c>
      <c r="B311" s="11" t="s">
        <v>284</v>
      </c>
      <c r="C311" s="11" t="s">
        <v>498</v>
      </c>
      <c r="D311" s="12">
        <v>145</v>
      </c>
      <c r="E311"/>
      <c r="F311"/>
      <c r="G311"/>
    </row>
    <row r="312" spans="1:7" x14ac:dyDescent="0.25">
      <c r="A312" s="13">
        <v>2422</v>
      </c>
      <c r="B312" s="11" t="s">
        <v>284</v>
      </c>
      <c r="C312" s="11" t="s">
        <v>498</v>
      </c>
      <c r="D312" s="12">
        <v>150</v>
      </c>
      <c r="E312"/>
      <c r="F312"/>
      <c r="G312"/>
    </row>
    <row r="313" spans="1:7" x14ac:dyDescent="0.25">
      <c r="A313" s="13">
        <v>2423</v>
      </c>
      <c r="B313" s="11" t="s">
        <v>284</v>
      </c>
      <c r="C313" s="11" t="s">
        <v>498</v>
      </c>
      <c r="D313" s="12">
        <v>150</v>
      </c>
      <c r="E313"/>
      <c r="F313"/>
      <c r="G313"/>
    </row>
    <row r="314" spans="1:7" x14ac:dyDescent="0.25">
      <c r="A314" s="13">
        <v>2424</v>
      </c>
      <c r="B314" s="11" t="s">
        <v>284</v>
      </c>
      <c r="C314" s="11" t="s">
        <v>498</v>
      </c>
      <c r="D314" s="12">
        <v>130</v>
      </c>
      <c r="E314"/>
      <c r="F314"/>
      <c r="G314"/>
    </row>
    <row r="315" spans="1:7" x14ac:dyDescent="0.25">
      <c r="A315" s="13">
        <v>2425</v>
      </c>
      <c r="B315" s="11" t="s">
        <v>284</v>
      </c>
      <c r="C315" s="11" t="s">
        <v>498</v>
      </c>
      <c r="D315" s="12">
        <v>130</v>
      </c>
      <c r="E315"/>
      <c r="F315"/>
      <c r="G315"/>
    </row>
    <row r="316" spans="1:7" x14ac:dyDescent="0.25">
      <c r="A316" s="13">
        <v>2426</v>
      </c>
      <c r="B316" s="11" t="s">
        <v>284</v>
      </c>
      <c r="C316" s="11" t="s">
        <v>498</v>
      </c>
      <c r="D316" s="12">
        <v>140</v>
      </c>
      <c r="E316"/>
      <c r="F316"/>
      <c r="G316"/>
    </row>
    <row r="317" spans="1:7" x14ac:dyDescent="0.25">
      <c r="A317" s="13">
        <v>2427</v>
      </c>
      <c r="B317" s="11" t="s">
        <v>284</v>
      </c>
      <c r="C317" s="11" t="s">
        <v>498</v>
      </c>
      <c r="D317" s="12">
        <v>145</v>
      </c>
      <c r="E317"/>
      <c r="F317"/>
      <c r="G317"/>
    </row>
    <row r="318" spans="1:7" x14ac:dyDescent="0.25">
      <c r="A318" s="13">
        <v>2428</v>
      </c>
      <c r="B318" s="11" t="s">
        <v>284</v>
      </c>
      <c r="C318" s="11" t="s">
        <v>498</v>
      </c>
      <c r="D318" s="12">
        <v>140</v>
      </c>
      <c r="E318"/>
      <c r="F318"/>
      <c r="G318"/>
    </row>
    <row r="319" spans="1:7" x14ac:dyDescent="0.25">
      <c r="A319" s="13">
        <v>2441</v>
      </c>
      <c r="B319" s="11" t="s">
        <v>277</v>
      </c>
      <c r="C319" s="11" t="s">
        <v>498</v>
      </c>
      <c r="D319" s="12">
        <v>150</v>
      </c>
      <c r="E319"/>
      <c r="F319"/>
      <c r="G319"/>
    </row>
    <row r="320" spans="1:7" x14ac:dyDescent="0.25">
      <c r="A320" s="13">
        <v>2442</v>
      </c>
      <c r="B320" s="11" t="s">
        <v>277</v>
      </c>
      <c r="C320" s="11" t="s">
        <v>498</v>
      </c>
      <c r="D320" s="12">
        <v>145</v>
      </c>
      <c r="E320"/>
      <c r="F320"/>
      <c r="G320"/>
    </row>
    <row r="321" spans="1:7" x14ac:dyDescent="0.25">
      <c r="A321" s="13">
        <v>2443</v>
      </c>
      <c r="B321" s="11" t="s">
        <v>277</v>
      </c>
      <c r="C321" s="11" t="s">
        <v>498</v>
      </c>
      <c r="D321" s="12">
        <v>160</v>
      </c>
      <c r="E321"/>
      <c r="F321"/>
      <c r="G321"/>
    </row>
    <row r="322" spans="1:7" x14ac:dyDescent="0.25">
      <c r="A322" s="13">
        <v>2444</v>
      </c>
      <c r="B322" s="11" t="s">
        <v>277</v>
      </c>
      <c r="C322" s="11" t="s">
        <v>498</v>
      </c>
      <c r="D322" s="12">
        <v>220</v>
      </c>
      <c r="E322"/>
      <c r="F322"/>
      <c r="G322"/>
    </row>
    <row r="323" spans="1:7" x14ac:dyDescent="0.25">
      <c r="A323" s="13">
        <v>2445</v>
      </c>
      <c r="B323" s="11" t="s">
        <v>277</v>
      </c>
      <c r="C323" s="11" t="s">
        <v>498</v>
      </c>
      <c r="D323" s="12">
        <v>215</v>
      </c>
      <c r="E323"/>
      <c r="F323"/>
      <c r="G323"/>
    </row>
    <row r="324" spans="1:7" x14ac:dyDescent="0.25">
      <c r="A324" s="13">
        <v>2452</v>
      </c>
      <c r="B324" s="11" t="s">
        <v>277</v>
      </c>
      <c r="C324" s="11" t="s">
        <v>167</v>
      </c>
      <c r="D324" s="12">
        <v>390</v>
      </c>
      <c r="E324"/>
      <c r="F324"/>
      <c r="G324"/>
    </row>
    <row r="325" spans="1:7" x14ac:dyDescent="0.25">
      <c r="A325" s="13">
        <v>2461</v>
      </c>
      <c r="B325" s="11" t="s">
        <v>277</v>
      </c>
      <c r="C325" s="11" t="s">
        <v>167</v>
      </c>
      <c r="D325" s="12">
        <v>275</v>
      </c>
      <c r="E325"/>
      <c r="F325"/>
      <c r="G325"/>
    </row>
    <row r="326" spans="1:7" x14ac:dyDescent="0.25">
      <c r="A326" s="13">
        <v>2462</v>
      </c>
      <c r="B326" s="11" t="s">
        <v>277</v>
      </c>
      <c r="C326" s="11" t="s">
        <v>167</v>
      </c>
      <c r="D326" s="12">
        <v>240</v>
      </c>
      <c r="E326"/>
      <c r="F326"/>
      <c r="G326"/>
    </row>
    <row r="327" spans="1:7" x14ac:dyDescent="0.25">
      <c r="A327" s="13">
        <v>2463</v>
      </c>
      <c r="B327" s="11" t="s">
        <v>277</v>
      </c>
      <c r="C327" s="11" t="s">
        <v>167</v>
      </c>
      <c r="D327" s="12">
        <v>220</v>
      </c>
      <c r="E327"/>
      <c r="F327"/>
      <c r="G327"/>
    </row>
    <row r="328" spans="1:7" x14ac:dyDescent="0.25">
      <c r="A328" s="13">
        <v>2492</v>
      </c>
      <c r="B328" s="11" t="s">
        <v>277</v>
      </c>
      <c r="C328" s="11" t="s">
        <v>494</v>
      </c>
      <c r="D328" s="12">
        <v>275</v>
      </c>
      <c r="E328"/>
      <c r="F328"/>
      <c r="G328"/>
    </row>
    <row r="329" spans="1:7" x14ac:dyDescent="0.25">
      <c r="A329" s="13">
        <v>2571</v>
      </c>
      <c r="B329" s="11" t="s">
        <v>277</v>
      </c>
      <c r="C329" s="11" t="s">
        <v>497</v>
      </c>
      <c r="D329" s="12">
        <v>665</v>
      </c>
      <c r="E329"/>
      <c r="F329"/>
      <c r="G329"/>
    </row>
    <row r="330" spans="1:7" x14ac:dyDescent="0.25">
      <c r="A330" s="13">
        <v>2572</v>
      </c>
      <c r="B330" s="11" t="s">
        <v>277</v>
      </c>
      <c r="C330" s="11" t="s">
        <v>497</v>
      </c>
      <c r="D330" s="12">
        <v>605</v>
      </c>
      <c r="E330"/>
      <c r="F330"/>
      <c r="G330"/>
    </row>
    <row r="331" spans="1:7" x14ac:dyDescent="0.25">
      <c r="A331" s="13">
        <v>2573</v>
      </c>
      <c r="B331" s="11" t="s">
        <v>277</v>
      </c>
      <c r="C331" s="11" t="s">
        <v>497</v>
      </c>
      <c r="D331" s="12">
        <v>605</v>
      </c>
      <c r="E331"/>
      <c r="F331"/>
      <c r="G331"/>
    </row>
    <row r="332" spans="1:7" x14ac:dyDescent="0.25">
      <c r="A332" s="13">
        <v>2574</v>
      </c>
      <c r="B332" s="11" t="s">
        <v>277</v>
      </c>
      <c r="C332" s="11" t="s">
        <v>497</v>
      </c>
      <c r="D332" s="12">
        <v>540</v>
      </c>
      <c r="E332"/>
      <c r="F332"/>
      <c r="G332"/>
    </row>
    <row r="333" spans="1:7" x14ac:dyDescent="0.25">
      <c r="A333" s="13">
        <v>2575</v>
      </c>
      <c r="B333" s="11" t="s">
        <v>277</v>
      </c>
      <c r="C333" s="11" t="s">
        <v>497</v>
      </c>
      <c r="D333" s="12">
        <v>800</v>
      </c>
      <c r="E333"/>
      <c r="F333"/>
      <c r="G333"/>
    </row>
    <row r="334" spans="1:7" x14ac:dyDescent="0.25">
      <c r="A334" s="13">
        <v>2576</v>
      </c>
      <c r="B334" s="11" t="s">
        <v>277</v>
      </c>
      <c r="C334" s="11" t="s">
        <v>497</v>
      </c>
      <c r="D334" s="12">
        <v>535</v>
      </c>
      <c r="E334"/>
      <c r="F334"/>
      <c r="G334"/>
    </row>
    <row r="335" spans="1:7" x14ac:dyDescent="0.25">
      <c r="A335" s="13">
        <v>2577</v>
      </c>
      <c r="B335" s="11" t="s">
        <v>277</v>
      </c>
      <c r="C335" s="11" t="s">
        <v>497</v>
      </c>
      <c r="D335" s="12">
        <v>925</v>
      </c>
      <c r="E335"/>
      <c r="F335"/>
      <c r="G335"/>
    </row>
    <row r="336" spans="1:7" x14ac:dyDescent="0.25">
      <c r="A336" s="13">
        <v>2578</v>
      </c>
      <c r="B336" s="11" t="s">
        <v>277</v>
      </c>
      <c r="C336" s="11" t="s">
        <v>497</v>
      </c>
      <c r="D336" s="12">
        <v>1135</v>
      </c>
      <c r="E336"/>
      <c r="F336"/>
      <c r="G336"/>
    </row>
    <row r="337" spans="1:7" x14ac:dyDescent="0.25">
      <c r="A337" s="13">
        <v>2579</v>
      </c>
      <c r="B337" s="11" t="s">
        <v>277</v>
      </c>
      <c r="C337" s="11" t="s">
        <v>497</v>
      </c>
      <c r="D337" s="12">
        <v>1135</v>
      </c>
      <c r="E337"/>
      <c r="F337"/>
      <c r="G337"/>
    </row>
    <row r="338" spans="1:7" x14ac:dyDescent="0.25">
      <c r="A338" s="13">
        <v>2621</v>
      </c>
      <c r="B338" s="11" t="s">
        <v>277</v>
      </c>
      <c r="C338" s="11" t="s">
        <v>497</v>
      </c>
      <c r="D338" s="12">
        <v>810</v>
      </c>
      <c r="E338"/>
      <c r="F338"/>
      <c r="G338"/>
    </row>
    <row r="339" spans="1:7" x14ac:dyDescent="0.25">
      <c r="A339" s="13">
        <v>2622</v>
      </c>
      <c r="B339" s="11" t="s">
        <v>277</v>
      </c>
      <c r="C339" s="11" t="s">
        <v>497</v>
      </c>
      <c r="D339" s="12">
        <v>1135</v>
      </c>
      <c r="E339"/>
      <c r="F339"/>
      <c r="G339"/>
    </row>
    <row r="340" spans="1:7" x14ac:dyDescent="0.25">
      <c r="A340" s="13">
        <v>2623</v>
      </c>
      <c r="B340" s="11" t="s">
        <v>277</v>
      </c>
      <c r="C340" s="11" t="s">
        <v>497</v>
      </c>
      <c r="D340" s="12">
        <v>1235</v>
      </c>
      <c r="E340"/>
      <c r="F340"/>
      <c r="G340"/>
    </row>
    <row r="341" spans="1:7" x14ac:dyDescent="0.25">
      <c r="A341" s="13">
        <v>2624</v>
      </c>
      <c r="B341" s="11" t="s">
        <v>277</v>
      </c>
      <c r="C341" s="11" t="s">
        <v>497</v>
      </c>
      <c r="D341" s="12">
        <v>1235</v>
      </c>
      <c r="E341"/>
      <c r="F341"/>
      <c r="G341"/>
    </row>
    <row r="342" spans="1:7" x14ac:dyDescent="0.25">
      <c r="A342" s="13">
        <v>2625</v>
      </c>
      <c r="B342" s="11" t="s">
        <v>277</v>
      </c>
      <c r="C342" s="11" t="s">
        <v>497</v>
      </c>
      <c r="D342" s="12">
        <v>1105</v>
      </c>
      <c r="E342"/>
      <c r="F342"/>
      <c r="G342"/>
    </row>
    <row r="343" spans="1:7" x14ac:dyDescent="0.25">
      <c r="A343" s="13">
        <v>2626</v>
      </c>
      <c r="B343" s="11" t="s">
        <v>277</v>
      </c>
      <c r="C343" s="11" t="s">
        <v>497</v>
      </c>
      <c r="D343" s="12">
        <v>615</v>
      </c>
      <c r="E343"/>
      <c r="F343"/>
      <c r="G343"/>
    </row>
    <row r="344" spans="1:7" x14ac:dyDescent="0.25">
      <c r="A344" s="13">
        <v>2731</v>
      </c>
      <c r="B344" s="11" t="s">
        <v>277</v>
      </c>
      <c r="C344" s="11" t="s">
        <v>494</v>
      </c>
      <c r="D344" s="12">
        <v>100</v>
      </c>
      <c r="E344"/>
      <c r="F344"/>
      <c r="G344"/>
    </row>
    <row r="345" spans="1:7" x14ac:dyDescent="0.25">
      <c r="A345" s="13">
        <v>2732</v>
      </c>
      <c r="B345" s="11" t="s">
        <v>277</v>
      </c>
      <c r="C345" s="11" t="s">
        <v>494</v>
      </c>
      <c r="D345" s="12">
        <v>145</v>
      </c>
      <c r="E345"/>
      <c r="F345"/>
      <c r="G345"/>
    </row>
    <row r="346" spans="1:7" x14ac:dyDescent="0.25">
      <c r="A346" s="13">
        <v>2733</v>
      </c>
      <c r="B346" s="11" t="s">
        <v>277</v>
      </c>
      <c r="C346" s="11" t="s">
        <v>494</v>
      </c>
      <c r="D346" s="12">
        <v>120</v>
      </c>
      <c r="E346"/>
      <c r="F346"/>
      <c r="G346"/>
    </row>
    <row r="347" spans="1:7" x14ac:dyDescent="0.25">
      <c r="A347" s="13">
        <v>2734</v>
      </c>
      <c r="B347" s="11" t="s">
        <v>277</v>
      </c>
      <c r="C347" s="11" t="s">
        <v>494</v>
      </c>
      <c r="D347" s="12">
        <v>200</v>
      </c>
      <c r="E347"/>
      <c r="F347"/>
      <c r="G347"/>
    </row>
    <row r="348" spans="1:7" x14ac:dyDescent="0.25">
      <c r="A348" s="13">
        <v>2735</v>
      </c>
      <c r="B348" s="11" t="s">
        <v>277</v>
      </c>
      <c r="C348" s="11" t="s">
        <v>494</v>
      </c>
      <c r="D348" s="12">
        <v>200</v>
      </c>
      <c r="E348"/>
      <c r="F348"/>
      <c r="G348"/>
    </row>
    <row r="349" spans="1:7" x14ac:dyDescent="0.25">
      <c r="A349" s="13">
        <v>2736</v>
      </c>
      <c r="B349" s="11" t="s">
        <v>277</v>
      </c>
      <c r="C349" s="11" t="s">
        <v>494</v>
      </c>
      <c r="D349" s="12">
        <v>200</v>
      </c>
      <c r="E349"/>
      <c r="F349"/>
      <c r="G349"/>
    </row>
    <row r="350" spans="1:7" x14ac:dyDescent="0.25">
      <c r="A350" s="13">
        <v>2737</v>
      </c>
      <c r="B350" s="11" t="s">
        <v>277</v>
      </c>
      <c r="C350" s="11" t="s">
        <v>494</v>
      </c>
      <c r="D350" s="12">
        <v>160</v>
      </c>
      <c r="E350"/>
      <c r="F350"/>
      <c r="G350"/>
    </row>
    <row r="351" spans="1:7" x14ac:dyDescent="0.25">
      <c r="A351" s="13">
        <v>2738</v>
      </c>
      <c r="B351" s="11" t="s">
        <v>277</v>
      </c>
      <c r="C351" s="11" t="s">
        <v>494</v>
      </c>
      <c r="D351" s="12">
        <v>125</v>
      </c>
      <c r="E351"/>
      <c r="F351"/>
      <c r="G351"/>
    </row>
    <row r="352" spans="1:7" x14ac:dyDescent="0.25">
      <c r="A352" s="13">
        <v>2739</v>
      </c>
      <c r="B352" s="11" t="s">
        <v>277</v>
      </c>
      <c r="C352" s="11" t="s">
        <v>494</v>
      </c>
      <c r="D352" s="12">
        <v>110</v>
      </c>
      <c r="E352"/>
      <c r="F352"/>
      <c r="G352"/>
    </row>
    <row r="353" spans="1:7" x14ac:dyDescent="0.25">
      <c r="A353" s="13">
        <v>2740</v>
      </c>
      <c r="B353" s="11" t="s">
        <v>277</v>
      </c>
      <c r="C353" s="11" t="s">
        <v>494</v>
      </c>
      <c r="D353" s="12">
        <v>165</v>
      </c>
      <c r="E353"/>
      <c r="F353"/>
      <c r="G353"/>
    </row>
    <row r="354" spans="1:7" x14ac:dyDescent="0.25">
      <c r="A354" s="13">
        <v>2741</v>
      </c>
      <c r="B354" s="11" t="s">
        <v>277</v>
      </c>
      <c r="C354" s="11" t="s">
        <v>494</v>
      </c>
      <c r="D354" s="12">
        <v>95</v>
      </c>
      <c r="E354"/>
      <c r="F354"/>
      <c r="G354"/>
    </row>
    <row r="355" spans="1:7" x14ac:dyDescent="0.25">
      <c r="A355" s="13">
        <v>2742</v>
      </c>
      <c r="B355" s="11" t="s">
        <v>277</v>
      </c>
      <c r="C355" s="11" t="s">
        <v>494</v>
      </c>
      <c r="D355" s="12">
        <v>265</v>
      </c>
      <c r="E355"/>
      <c r="F355"/>
      <c r="G355"/>
    </row>
    <row r="356" spans="1:7" x14ac:dyDescent="0.25">
      <c r="A356" s="13">
        <v>2743</v>
      </c>
      <c r="B356" s="11" t="s">
        <v>277</v>
      </c>
      <c r="C356" s="11" t="s">
        <v>494</v>
      </c>
      <c r="D356" s="12">
        <v>225</v>
      </c>
      <c r="E356"/>
      <c r="F356"/>
      <c r="G356"/>
    </row>
    <row r="357" spans="1:7" x14ac:dyDescent="0.25">
      <c r="A357" s="13">
        <v>2744</v>
      </c>
      <c r="B357" s="11" t="s">
        <v>277</v>
      </c>
      <c r="C357" s="11" t="s">
        <v>494</v>
      </c>
      <c r="D357" s="12">
        <v>115</v>
      </c>
      <c r="E357"/>
      <c r="F357"/>
      <c r="G357"/>
    </row>
    <row r="358" spans="1:7" x14ac:dyDescent="0.25">
      <c r="A358" s="13">
        <v>2745</v>
      </c>
      <c r="B358" s="11" t="s">
        <v>277</v>
      </c>
      <c r="C358" s="11" t="s">
        <v>494</v>
      </c>
      <c r="D358" s="12">
        <v>100</v>
      </c>
      <c r="E358"/>
      <c r="F358"/>
      <c r="G358"/>
    </row>
    <row r="359" spans="1:7" x14ac:dyDescent="0.25">
      <c r="A359" s="13">
        <v>2746</v>
      </c>
      <c r="B359" s="11" t="s">
        <v>277</v>
      </c>
      <c r="C359" s="11" t="s">
        <v>494</v>
      </c>
      <c r="D359" s="12">
        <v>115</v>
      </c>
      <c r="E359"/>
      <c r="F359"/>
      <c r="G359"/>
    </row>
    <row r="360" spans="1:7" x14ac:dyDescent="0.25">
      <c r="A360" s="13">
        <v>2747</v>
      </c>
      <c r="B360" s="11" t="s">
        <v>277</v>
      </c>
      <c r="C360" s="11" t="s">
        <v>494</v>
      </c>
      <c r="D360" s="12">
        <v>220</v>
      </c>
      <c r="E360"/>
      <c r="F360"/>
      <c r="G360"/>
    </row>
    <row r="361" spans="1:7" x14ac:dyDescent="0.25">
      <c r="A361" s="13">
        <v>2748</v>
      </c>
      <c r="B361" s="11" t="s">
        <v>277</v>
      </c>
      <c r="C361" s="11" t="s">
        <v>494</v>
      </c>
      <c r="D361" s="12">
        <v>175</v>
      </c>
      <c r="E361"/>
      <c r="F361"/>
      <c r="G361"/>
    </row>
    <row r="362" spans="1:7" x14ac:dyDescent="0.25">
      <c r="A362" s="13">
        <v>2749</v>
      </c>
      <c r="B362" s="11" t="s">
        <v>277</v>
      </c>
      <c r="C362" s="11" t="s">
        <v>494</v>
      </c>
      <c r="D362" s="12">
        <v>185</v>
      </c>
      <c r="E362"/>
      <c r="F362"/>
      <c r="G362"/>
    </row>
    <row r="363" spans="1:7" x14ac:dyDescent="0.25">
      <c r="A363" s="13">
        <v>2761</v>
      </c>
      <c r="B363" s="11" t="s">
        <v>284</v>
      </c>
      <c r="C363" s="11" t="s">
        <v>494</v>
      </c>
      <c r="D363" s="12">
        <v>90</v>
      </c>
      <c r="E363"/>
      <c r="F363"/>
      <c r="G363"/>
    </row>
    <row r="364" spans="1:7" x14ac:dyDescent="0.25">
      <c r="A364" s="13">
        <v>2762</v>
      </c>
      <c r="B364" s="11" t="s">
        <v>284</v>
      </c>
      <c r="C364" s="11" t="s">
        <v>494</v>
      </c>
      <c r="D364" s="12">
        <v>155</v>
      </c>
      <c r="E364"/>
      <c r="F364"/>
      <c r="G364"/>
    </row>
    <row r="365" spans="1:7" x14ac:dyDescent="0.25">
      <c r="A365" s="13">
        <v>2763</v>
      </c>
      <c r="B365" s="11" t="s">
        <v>284</v>
      </c>
      <c r="C365" s="11" t="s">
        <v>494</v>
      </c>
      <c r="D365" s="12">
        <v>115</v>
      </c>
      <c r="E365"/>
      <c r="F365"/>
      <c r="G365"/>
    </row>
    <row r="366" spans="1:7" x14ac:dyDescent="0.25">
      <c r="A366" s="13">
        <v>2764</v>
      </c>
      <c r="B366" s="11" t="s">
        <v>284</v>
      </c>
      <c r="C366" s="11" t="s">
        <v>494</v>
      </c>
      <c r="D366" s="12">
        <v>145</v>
      </c>
      <c r="E366"/>
      <c r="F366"/>
      <c r="G366"/>
    </row>
    <row r="367" spans="1:7" x14ac:dyDescent="0.25">
      <c r="A367" s="13">
        <v>2765</v>
      </c>
      <c r="B367" s="11" t="s">
        <v>284</v>
      </c>
      <c r="C367" s="11" t="s">
        <v>494</v>
      </c>
      <c r="D367" s="12">
        <v>180</v>
      </c>
      <c r="E367"/>
      <c r="F367"/>
      <c r="G367"/>
    </row>
    <row r="368" spans="1:7" x14ac:dyDescent="0.25">
      <c r="A368" s="13">
        <v>2767</v>
      </c>
      <c r="B368" s="11" t="s">
        <v>284</v>
      </c>
      <c r="C368" s="11" t="s">
        <v>494</v>
      </c>
      <c r="D368" s="12">
        <v>120</v>
      </c>
      <c r="E368"/>
      <c r="F368"/>
      <c r="G368"/>
    </row>
    <row r="369" spans="1:7" x14ac:dyDescent="0.25">
      <c r="A369" s="13">
        <v>2768</v>
      </c>
      <c r="B369" s="11" t="s">
        <v>284</v>
      </c>
      <c r="C369" s="11" t="s">
        <v>494</v>
      </c>
      <c r="D369" s="12">
        <v>90</v>
      </c>
      <c r="E369"/>
      <c r="F369"/>
      <c r="G369"/>
    </row>
    <row r="370" spans="1:7" x14ac:dyDescent="0.25">
      <c r="A370" s="13">
        <v>2769</v>
      </c>
      <c r="B370" s="11" t="s">
        <v>284</v>
      </c>
      <c r="C370" s="11" t="s">
        <v>494</v>
      </c>
      <c r="D370" s="12">
        <v>120</v>
      </c>
      <c r="E370"/>
      <c r="F370"/>
      <c r="G370"/>
    </row>
    <row r="371" spans="1:7" x14ac:dyDescent="0.25">
      <c r="A371" s="13">
        <v>2770</v>
      </c>
      <c r="B371" s="11" t="s">
        <v>284</v>
      </c>
      <c r="C371" s="11" t="s">
        <v>494</v>
      </c>
      <c r="D371" s="12">
        <v>160</v>
      </c>
      <c r="E371"/>
      <c r="F371"/>
      <c r="G371"/>
    </row>
    <row r="372" spans="1:7" x14ac:dyDescent="0.25">
      <c r="A372" s="13">
        <v>2771</v>
      </c>
      <c r="B372" s="11" t="s">
        <v>284</v>
      </c>
      <c r="C372" s="11" t="s">
        <v>494</v>
      </c>
      <c r="D372" s="12">
        <v>150</v>
      </c>
      <c r="E372"/>
      <c r="F372"/>
      <c r="G372"/>
    </row>
    <row r="373" spans="1:7" x14ac:dyDescent="0.25">
      <c r="A373" s="13">
        <v>2772</v>
      </c>
      <c r="B373" s="11" t="s">
        <v>284</v>
      </c>
      <c r="C373" s="11" t="s">
        <v>494</v>
      </c>
      <c r="D373" s="12">
        <v>150</v>
      </c>
      <c r="E373"/>
      <c r="F373"/>
      <c r="G373"/>
    </row>
    <row r="374" spans="1:7" x14ac:dyDescent="0.25">
      <c r="A374" s="13">
        <v>2773</v>
      </c>
      <c r="B374" s="11" t="s">
        <v>284</v>
      </c>
      <c r="C374" s="11" t="s">
        <v>494</v>
      </c>
      <c r="D374" s="12">
        <v>150</v>
      </c>
      <c r="E374"/>
      <c r="F374"/>
      <c r="G374"/>
    </row>
    <row r="375" spans="1:7" x14ac:dyDescent="0.25">
      <c r="A375" s="13">
        <v>2774</v>
      </c>
      <c r="B375" s="11" t="s">
        <v>284</v>
      </c>
      <c r="C375" s="11" t="s">
        <v>494</v>
      </c>
      <c r="D375" s="12">
        <v>110</v>
      </c>
      <c r="E375"/>
      <c r="F375"/>
      <c r="G375"/>
    </row>
    <row r="376" spans="1:7" x14ac:dyDescent="0.25">
      <c r="A376" s="13">
        <v>2775</v>
      </c>
      <c r="B376" s="11" t="s">
        <v>277</v>
      </c>
      <c r="C376" s="11" t="s">
        <v>494</v>
      </c>
      <c r="D376" s="12">
        <v>130</v>
      </c>
      <c r="E376"/>
      <c r="F376"/>
      <c r="G376"/>
    </row>
    <row r="377" spans="1:7" x14ac:dyDescent="0.25">
      <c r="A377" s="13">
        <v>2801</v>
      </c>
      <c r="B377" s="11" t="s">
        <v>277</v>
      </c>
      <c r="C377" s="11" t="s">
        <v>494</v>
      </c>
      <c r="D377" s="12">
        <v>135</v>
      </c>
      <c r="E377"/>
      <c r="F377"/>
      <c r="G377"/>
    </row>
    <row r="378" spans="1:7" x14ac:dyDescent="0.25">
      <c r="A378" s="13">
        <v>2802</v>
      </c>
      <c r="B378" s="11" t="s">
        <v>277</v>
      </c>
      <c r="C378" s="11" t="s">
        <v>494</v>
      </c>
      <c r="D378" s="12">
        <v>135</v>
      </c>
      <c r="E378"/>
      <c r="F378"/>
      <c r="G378"/>
    </row>
    <row r="379" spans="1:7" x14ac:dyDescent="0.25">
      <c r="A379" s="13">
        <v>2803</v>
      </c>
      <c r="B379" s="11" t="s">
        <v>277</v>
      </c>
      <c r="C379" s="11" t="s">
        <v>494</v>
      </c>
      <c r="D379" s="12">
        <v>150</v>
      </c>
      <c r="E379"/>
      <c r="F379"/>
      <c r="G379"/>
    </row>
    <row r="380" spans="1:7" x14ac:dyDescent="0.25">
      <c r="A380" s="13">
        <v>2804</v>
      </c>
      <c r="B380" s="11" t="s">
        <v>277</v>
      </c>
      <c r="C380" s="11" t="s">
        <v>494</v>
      </c>
      <c r="D380" s="12">
        <v>150</v>
      </c>
      <c r="E380"/>
      <c r="F380"/>
      <c r="G380"/>
    </row>
    <row r="381" spans="1:7" x14ac:dyDescent="0.25">
      <c r="A381" s="13">
        <v>2805</v>
      </c>
      <c r="B381" s="11" t="s">
        <v>277</v>
      </c>
      <c r="C381" s="11" t="s">
        <v>494</v>
      </c>
      <c r="D381" s="12">
        <v>150</v>
      </c>
      <c r="E381"/>
      <c r="F381"/>
      <c r="G381"/>
    </row>
    <row r="382" spans="1:7" x14ac:dyDescent="0.25">
      <c r="A382" s="13">
        <v>2806</v>
      </c>
      <c r="B382" s="11" t="s">
        <v>277</v>
      </c>
      <c r="C382" s="11" t="s">
        <v>494</v>
      </c>
      <c r="D382" s="12">
        <v>170</v>
      </c>
      <c r="E382"/>
      <c r="F382"/>
      <c r="G382"/>
    </row>
    <row r="383" spans="1:7" x14ac:dyDescent="0.25">
      <c r="A383" s="13">
        <v>2807</v>
      </c>
      <c r="B383" s="11" t="s">
        <v>277</v>
      </c>
      <c r="C383" s="11" t="s">
        <v>494</v>
      </c>
      <c r="D383" s="12">
        <v>150</v>
      </c>
      <c r="E383"/>
      <c r="F383"/>
      <c r="G383"/>
    </row>
    <row r="384" spans="1:7" x14ac:dyDescent="0.25">
      <c r="A384" s="13">
        <v>2808</v>
      </c>
      <c r="B384" s="11" t="s">
        <v>277</v>
      </c>
      <c r="C384" s="11" t="s">
        <v>494</v>
      </c>
      <c r="D384" s="12">
        <v>150</v>
      </c>
      <c r="E384"/>
      <c r="F384"/>
      <c r="G384"/>
    </row>
    <row r="385" spans="1:7" x14ac:dyDescent="0.25">
      <c r="A385" s="13">
        <v>2809</v>
      </c>
      <c r="B385" s="11" t="s">
        <v>277</v>
      </c>
      <c r="C385" s="11" t="s">
        <v>494</v>
      </c>
      <c r="D385" s="12">
        <v>140</v>
      </c>
      <c r="E385"/>
      <c r="F385"/>
      <c r="G385"/>
    </row>
    <row r="386" spans="1:7" x14ac:dyDescent="0.25">
      <c r="A386" s="13">
        <v>2810</v>
      </c>
      <c r="B386" s="11" t="s">
        <v>277</v>
      </c>
      <c r="C386" s="11" t="s">
        <v>494</v>
      </c>
      <c r="D386" s="12">
        <v>165</v>
      </c>
      <c r="E386"/>
      <c r="F386"/>
      <c r="G386"/>
    </row>
    <row r="387" spans="1:7" x14ac:dyDescent="0.25">
      <c r="A387" s="13">
        <v>2811</v>
      </c>
      <c r="B387" s="11" t="s">
        <v>277</v>
      </c>
      <c r="C387" s="11" t="s">
        <v>494</v>
      </c>
      <c r="D387" s="12">
        <v>170</v>
      </c>
      <c r="E387"/>
      <c r="F387"/>
      <c r="G387"/>
    </row>
    <row r="388" spans="1:7" x14ac:dyDescent="0.25">
      <c r="A388" s="13">
        <v>2812</v>
      </c>
      <c r="B388" s="11" t="s">
        <v>277</v>
      </c>
      <c r="C388" s="11" t="s">
        <v>494</v>
      </c>
      <c r="D388" s="12">
        <v>170</v>
      </c>
      <c r="E388"/>
      <c r="F388"/>
      <c r="G388"/>
    </row>
    <row r="389" spans="1:7" x14ac:dyDescent="0.25">
      <c r="A389" s="13">
        <v>2813</v>
      </c>
      <c r="B389" s="11" t="s">
        <v>277</v>
      </c>
      <c r="C389" s="11" t="s">
        <v>494</v>
      </c>
      <c r="D389" s="12">
        <v>170</v>
      </c>
      <c r="E389"/>
      <c r="F389"/>
      <c r="G389"/>
    </row>
    <row r="390" spans="1:7" x14ac:dyDescent="0.25">
      <c r="A390" s="13">
        <v>4501</v>
      </c>
      <c r="B390" s="11" t="s">
        <v>277</v>
      </c>
      <c r="C390" s="11" t="s">
        <v>494</v>
      </c>
      <c r="D390" s="12">
        <v>245</v>
      </c>
      <c r="E390"/>
      <c r="F390"/>
      <c r="G390"/>
    </row>
    <row r="391" spans="1:7" x14ac:dyDescent="0.25">
      <c r="A391" s="13">
        <v>4504</v>
      </c>
      <c r="B391" s="11" t="s">
        <v>277</v>
      </c>
      <c r="C391" s="11" t="s">
        <v>494</v>
      </c>
      <c r="D391" s="12">
        <v>100</v>
      </c>
      <c r="E391"/>
      <c r="F391"/>
      <c r="G391"/>
    </row>
    <row r="392" spans="1:7" x14ac:dyDescent="0.25">
      <c r="A392" s="13">
        <v>4505</v>
      </c>
      <c r="B392" s="11" t="s">
        <v>277</v>
      </c>
      <c r="C392" s="11" t="s">
        <v>494</v>
      </c>
      <c r="D392" s="12">
        <v>140</v>
      </c>
      <c r="E392"/>
      <c r="F392"/>
      <c r="G392"/>
    </row>
    <row r="393" spans="1:7" x14ac:dyDescent="0.25">
      <c r="A393" s="13">
        <v>4506</v>
      </c>
      <c r="B393" s="11" t="s">
        <v>277</v>
      </c>
      <c r="C393" s="11" t="s">
        <v>494</v>
      </c>
      <c r="D393" s="12">
        <v>120</v>
      </c>
      <c r="E393"/>
      <c r="F393"/>
      <c r="G393"/>
    </row>
    <row r="394" spans="1:7" x14ac:dyDescent="0.25">
      <c r="A394" s="13">
        <v>4507</v>
      </c>
      <c r="B394" s="11" t="s">
        <v>277</v>
      </c>
      <c r="C394" s="11" t="s">
        <v>494</v>
      </c>
      <c r="D394" s="12">
        <v>110</v>
      </c>
      <c r="E394"/>
      <c r="F394"/>
      <c r="G394"/>
    </row>
    <row r="395" spans="1:7" x14ac:dyDescent="0.25">
      <c r="A395" s="13">
        <v>4508</v>
      </c>
      <c r="B395" s="11" t="s">
        <v>277</v>
      </c>
      <c r="C395" s="11" t="s">
        <v>494</v>
      </c>
      <c r="D395" s="12">
        <v>90</v>
      </c>
      <c r="E395"/>
      <c r="F395"/>
      <c r="G395"/>
    </row>
    <row r="396" spans="1:7" x14ac:dyDescent="0.25">
      <c r="A396" s="13">
        <v>4510</v>
      </c>
      <c r="B396" s="11" t="s">
        <v>277</v>
      </c>
      <c r="C396" s="11" t="s">
        <v>494</v>
      </c>
      <c r="D396" s="12">
        <v>70</v>
      </c>
      <c r="E396"/>
      <c r="F396"/>
      <c r="G396"/>
    </row>
    <row r="397" spans="1:7" x14ac:dyDescent="0.25">
      <c r="A397" s="13">
        <v>4711</v>
      </c>
      <c r="B397" s="11" t="s">
        <v>277</v>
      </c>
      <c r="C397" s="11" t="s">
        <v>494</v>
      </c>
      <c r="D397" s="12">
        <v>45</v>
      </c>
      <c r="E397"/>
      <c r="F397"/>
      <c r="G397"/>
    </row>
    <row r="398" spans="1:7" x14ac:dyDescent="0.25">
      <c r="A398" s="13">
        <v>4712</v>
      </c>
      <c r="B398" s="11" t="s">
        <v>277</v>
      </c>
      <c r="C398" s="11" t="s">
        <v>494</v>
      </c>
      <c r="D398" s="12">
        <v>55</v>
      </c>
      <c r="E398"/>
      <c r="F398"/>
      <c r="G398"/>
    </row>
    <row r="399" spans="1:7" x14ac:dyDescent="0.25">
      <c r="A399" s="13">
        <v>6011</v>
      </c>
      <c r="B399" s="11" t="s">
        <v>277</v>
      </c>
      <c r="C399" s="11" t="s">
        <v>494</v>
      </c>
      <c r="D399" s="12">
        <v>520</v>
      </c>
      <c r="E399"/>
      <c r="F399"/>
      <c r="G399"/>
    </row>
    <row r="400" spans="1:7" x14ac:dyDescent="0.25">
      <c r="A400" s="13">
        <v>6021</v>
      </c>
      <c r="B400" s="11" t="s">
        <v>277</v>
      </c>
      <c r="C400" s="11" t="s">
        <v>494</v>
      </c>
      <c r="D400" s="12">
        <v>490</v>
      </c>
      <c r="E400"/>
      <c r="F400"/>
      <c r="G400"/>
    </row>
    <row r="401" spans="1:7" x14ac:dyDescent="0.25">
      <c r="A401" s="13">
        <v>6051</v>
      </c>
      <c r="B401" s="11" t="s">
        <v>277</v>
      </c>
      <c r="C401" s="11" t="s">
        <v>494</v>
      </c>
      <c r="D401" s="12">
        <v>500</v>
      </c>
      <c r="E401"/>
      <c r="F401"/>
      <c r="G401"/>
    </row>
    <row r="402" spans="1:7" x14ac:dyDescent="0.25">
      <c r="A402" s="13">
        <v>6101</v>
      </c>
      <c r="B402" s="11" t="s">
        <v>277</v>
      </c>
      <c r="C402" s="11" t="s">
        <v>494</v>
      </c>
      <c r="D402" s="12">
        <v>565</v>
      </c>
      <c r="E402"/>
      <c r="F402"/>
      <c r="G402"/>
    </row>
    <row r="403" spans="1:7" x14ac:dyDescent="0.25">
      <c r="A403" s="13">
        <v>6102</v>
      </c>
      <c r="B403" s="11" t="s">
        <v>277</v>
      </c>
      <c r="C403" s="11" t="s">
        <v>494</v>
      </c>
      <c r="D403" s="12">
        <v>540</v>
      </c>
      <c r="E403"/>
      <c r="F403"/>
      <c r="G403"/>
    </row>
    <row r="404" spans="1:7" x14ac:dyDescent="0.25">
      <c r="A404" s="13">
        <v>6103</v>
      </c>
      <c r="B404" s="11" t="s">
        <v>277</v>
      </c>
      <c r="C404" s="11" t="s">
        <v>494</v>
      </c>
      <c r="D404" s="12">
        <v>465</v>
      </c>
      <c r="E404"/>
      <c r="F404"/>
      <c r="G404"/>
    </row>
    <row r="405" spans="1:7" x14ac:dyDescent="0.25">
      <c r="A405" s="13">
        <v>6104</v>
      </c>
      <c r="B405" s="11" t="s">
        <v>277</v>
      </c>
      <c r="C405" s="11" t="s">
        <v>494</v>
      </c>
      <c r="D405" s="12">
        <v>465</v>
      </c>
      <c r="E405"/>
      <c r="F405"/>
      <c r="G405"/>
    </row>
    <row r="406" spans="1:7" x14ac:dyDescent="0.25">
      <c r="A406" s="13">
        <v>6105</v>
      </c>
      <c r="B406" s="11" t="s">
        <v>277</v>
      </c>
      <c r="C406" s="11" t="s">
        <v>494</v>
      </c>
      <c r="D406" s="12">
        <v>460</v>
      </c>
      <c r="E406"/>
      <c r="F406"/>
      <c r="G406"/>
    </row>
    <row r="407" spans="1:7" x14ac:dyDescent="0.25">
      <c r="A407" s="13">
        <v>6106</v>
      </c>
      <c r="B407" s="11" t="s">
        <v>277</v>
      </c>
      <c r="C407" s="11" t="s">
        <v>494</v>
      </c>
      <c r="D407" s="12">
        <v>450</v>
      </c>
      <c r="E407"/>
      <c r="F407"/>
      <c r="G407"/>
    </row>
    <row r="408" spans="1:7" x14ac:dyDescent="0.25">
      <c r="A408" s="13">
        <v>6107</v>
      </c>
      <c r="B408" s="11" t="s">
        <v>277</v>
      </c>
      <c r="C408" s="11" t="s">
        <v>494</v>
      </c>
      <c r="D408" s="12">
        <v>450</v>
      </c>
      <c r="E408"/>
      <c r="F408"/>
      <c r="G408"/>
    </row>
    <row r="409" spans="1:7" x14ac:dyDescent="0.25">
      <c r="A409" s="13">
        <v>6108</v>
      </c>
      <c r="B409" s="11" t="s">
        <v>277</v>
      </c>
      <c r="C409" s="11" t="s">
        <v>494</v>
      </c>
      <c r="D409" s="12">
        <v>450</v>
      </c>
      <c r="E409"/>
      <c r="F409"/>
      <c r="G409"/>
    </row>
    <row r="410" spans="1:7" x14ac:dyDescent="0.25">
      <c r="A410" s="13">
        <v>6109</v>
      </c>
      <c r="B410" s="11" t="s">
        <v>277</v>
      </c>
      <c r="C410" s="11" t="s">
        <v>494</v>
      </c>
      <c r="D410" s="12">
        <v>450</v>
      </c>
      <c r="E410"/>
      <c r="F410"/>
      <c r="G410"/>
    </row>
    <row r="411" spans="1:7" x14ac:dyDescent="0.25">
      <c r="A411" s="13">
        <v>6110</v>
      </c>
      <c r="B411" s="11" t="s">
        <v>277</v>
      </c>
      <c r="C411" s="11" t="s">
        <v>494</v>
      </c>
      <c r="D411" s="12">
        <v>445</v>
      </c>
      <c r="E411"/>
      <c r="F411"/>
      <c r="G411"/>
    </row>
    <row r="412" spans="1:7" x14ac:dyDescent="0.25">
      <c r="A412" s="13">
        <v>6111</v>
      </c>
      <c r="B412" s="11" t="s">
        <v>277</v>
      </c>
      <c r="C412" s="11" t="s">
        <v>494</v>
      </c>
      <c r="D412" s="12">
        <v>445</v>
      </c>
      <c r="E412"/>
      <c r="F412"/>
      <c r="G412"/>
    </row>
    <row r="413" spans="1:7" x14ac:dyDescent="0.25">
      <c r="A413" s="13">
        <v>6112</v>
      </c>
      <c r="B413" s="11" t="s">
        <v>277</v>
      </c>
      <c r="C413" s="11" t="s">
        <v>494</v>
      </c>
      <c r="D413" s="12">
        <v>435</v>
      </c>
      <c r="E413"/>
      <c r="F413"/>
      <c r="G413"/>
    </row>
    <row r="414" spans="1:7" x14ac:dyDescent="0.25">
      <c r="A414" s="13">
        <v>6113</v>
      </c>
      <c r="B414" s="11" t="s">
        <v>277</v>
      </c>
      <c r="C414" s="11" t="s">
        <v>494</v>
      </c>
      <c r="D414" s="12">
        <v>690</v>
      </c>
      <c r="E414"/>
      <c r="F414"/>
      <c r="G414"/>
    </row>
    <row r="415" spans="1:7" x14ac:dyDescent="0.25">
      <c r="A415" s="13">
        <v>6114</v>
      </c>
      <c r="B415" s="11" t="s">
        <v>277</v>
      </c>
      <c r="C415" s="11" t="s">
        <v>494</v>
      </c>
      <c r="D415" s="12">
        <v>425</v>
      </c>
      <c r="E415"/>
      <c r="F415"/>
      <c r="G415"/>
    </row>
    <row r="416" spans="1:7" x14ac:dyDescent="0.25">
      <c r="A416" s="13">
        <v>6115</v>
      </c>
      <c r="B416" s="11" t="s">
        <v>277</v>
      </c>
      <c r="C416" s="11" t="s">
        <v>494</v>
      </c>
      <c r="D416" s="12">
        <v>425</v>
      </c>
      <c r="E416"/>
      <c r="F416"/>
      <c r="G416"/>
    </row>
    <row r="417" spans="1:7" x14ac:dyDescent="0.25">
      <c r="A417" s="13">
        <v>6116</v>
      </c>
      <c r="B417" s="11" t="s">
        <v>277</v>
      </c>
      <c r="C417" s="11" t="s">
        <v>494</v>
      </c>
      <c r="D417" s="12">
        <v>435</v>
      </c>
      <c r="E417"/>
      <c r="F417"/>
      <c r="G417"/>
    </row>
    <row r="418" spans="1:7" x14ac:dyDescent="0.25">
      <c r="A418" s="13">
        <v>6117</v>
      </c>
      <c r="B418" s="11" t="s">
        <v>277</v>
      </c>
      <c r="C418" s="11" t="s">
        <v>494</v>
      </c>
      <c r="D418" s="12">
        <v>450</v>
      </c>
      <c r="E418"/>
      <c r="F418"/>
      <c r="G418"/>
    </row>
    <row r="419" spans="1:7" x14ac:dyDescent="0.25">
      <c r="A419" s="13">
        <v>6118</v>
      </c>
      <c r="B419" s="11" t="s">
        <v>277</v>
      </c>
      <c r="C419" s="11" t="s">
        <v>494</v>
      </c>
      <c r="D419" s="12">
        <v>415</v>
      </c>
      <c r="E419"/>
      <c r="F419"/>
      <c r="G419"/>
    </row>
    <row r="420" spans="1:7" x14ac:dyDescent="0.25">
      <c r="A420" s="13">
        <v>6119</v>
      </c>
      <c r="B420" s="11" t="s">
        <v>277</v>
      </c>
      <c r="C420" s="11" t="s">
        <v>494</v>
      </c>
      <c r="D420" s="12">
        <v>440</v>
      </c>
      <c r="E420"/>
      <c r="F420"/>
      <c r="G420"/>
    </row>
    <row r="421" spans="1:7" x14ac:dyDescent="0.25">
      <c r="A421" s="13">
        <v>6120</v>
      </c>
      <c r="B421" s="11" t="s">
        <v>277</v>
      </c>
      <c r="C421" s="11" t="s">
        <v>494</v>
      </c>
      <c r="D421" s="12">
        <v>435</v>
      </c>
      <c r="E421"/>
      <c r="F421"/>
      <c r="G421"/>
    </row>
    <row r="422" spans="1:7" x14ac:dyDescent="0.25">
      <c r="A422" s="13">
        <v>6121</v>
      </c>
      <c r="B422" s="11" t="s">
        <v>277</v>
      </c>
      <c r="C422" s="11" t="s">
        <v>494</v>
      </c>
      <c r="D422" s="12">
        <v>460</v>
      </c>
      <c r="E422"/>
      <c r="F422"/>
      <c r="G422"/>
    </row>
    <row r="423" spans="1:7" x14ac:dyDescent="0.25">
      <c r="A423" s="13">
        <v>6122</v>
      </c>
      <c r="B423" s="11" t="s">
        <v>277</v>
      </c>
      <c r="C423" s="11" t="s">
        <v>494</v>
      </c>
      <c r="D423" s="12">
        <v>440</v>
      </c>
      <c r="E423"/>
      <c r="F423"/>
      <c r="G423"/>
    </row>
    <row r="424" spans="1:7" x14ac:dyDescent="0.25">
      <c r="A424" s="13">
        <v>6123</v>
      </c>
      <c r="B424" s="11" t="s">
        <v>277</v>
      </c>
      <c r="C424" s="11" t="s">
        <v>494</v>
      </c>
      <c r="D424" s="12">
        <v>440</v>
      </c>
      <c r="E424"/>
      <c r="F424"/>
      <c r="G424"/>
    </row>
    <row r="425" spans="1:7" x14ac:dyDescent="0.25">
      <c r="A425" s="13">
        <v>8011</v>
      </c>
      <c r="B425" s="11" t="s">
        <v>277</v>
      </c>
      <c r="C425" s="11" t="s">
        <v>497</v>
      </c>
      <c r="D425" s="12">
        <v>2200</v>
      </c>
      <c r="E425"/>
      <c r="F425"/>
      <c r="G425"/>
    </row>
    <row r="426" spans="1:7" x14ac:dyDescent="0.25">
      <c r="A426" s="13">
        <v>8034</v>
      </c>
      <c r="B426" s="11" t="s">
        <v>277</v>
      </c>
      <c r="C426" s="11" t="s">
        <v>497</v>
      </c>
      <c r="D426" s="12">
        <v>1820</v>
      </c>
      <c r="E426"/>
      <c r="F426"/>
      <c r="G426"/>
    </row>
    <row r="427" spans="1:7" x14ac:dyDescent="0.25">
      <c r="A427" s="13">
        <v>8037</v>
      </c>
      <c r="B427" s="11" t="s">
        <v>277</v>
      </c>
      <c r="C427" s="11" t="s">
        <v>497</v>
      </c>
      <c r="D427" s="12">
        <v>1790</v>
      </c>
      <c r="E427"/>
      <c r="F427"/>
      <c r="G427"/>
    </row>
    <row r="428" spans="1:7" x14ac:dyDescent="0.25">
      <c r="A428" s="13">
        <v>8062</v>
      </c>
      <c r="B428" s="11" t="s">
        <v>277</v>
      </c>
      <c r="C428" s="11" t="s">
        <v>497</v>
      </c>
      <c r="D428" s="12">
        <v>1755</v>
      </c>
      <c r="E428"/>
      <c r="F428"/>
      <c r="G428"/>
    </row>
    <row r="429" spans="1:7" x14ac:dyDescent="0.25">
      <c r="A429" s="13">
        <v>8065</v>
      </c>
      <c r="B429" s="11" t="s">
        <v>277</v>
      </c>
      <c r="C429" s="11" t="s">
        <v>497</v>
      </c>
      <c r="D429" s="12">
        <v>1430</v>
      </c>
      <c r="E429"/>
      <c r="F429"/>
      <c r="G429"/>
    </row>
    <row r="430" spans="1:7" x14ac:dyDescent="0.25">
      <c r="A430" s="13">
        <v>8066</v>
      </c>
      <c r="B430" s="11" t="s">
        <v>277</v>
      </c>
      <c r="C430" s="11" t="s">
        <v>497</v>
      </c>
      <c r="D430" s="12">
        <v>1755</v>
      </c>
      <c r="E430"/>
      <c r="F430"/>
      <c r="G430"/>
    </row>
    <row r="431" spans="1:7" x14ac:dyDescent="0.25">
      <c r="A431" s="13">
        <v>8067</v>
      </c>
      <c r="B431" s="11" t="s">
        <v>277</v>
      </c>
      <c r="C431" s="11" t="s">
        <v>497</v>
      </c>
      <c r="D431" s="12">
        <v>1885</v>
      </c>
      <c r="E431"/>
      <c r="F431"/>
      <c r="G431"/>
    </row>
    <row r="432" spans="1:7" x14ac:dyDescent="0.25">
      <c r="A432" s="13">
        <v>8081</v>
      </c>
      <c r="B432" s="11" t="s">
        <v>277</v>
      </c>
      <c r="C432" s="11" t="s">
        <v>497</v>
      </c>
      <c r="D432" s="12">
        <v>780</v>
      </c>
      <c r="E432"/>
      <c r="F432"/>
      <c r="G432"/>
    </row>
    <row r="433" spans="1:7" x14ac:dyDescent="0.25">
      <c r="A433" s="13">
        <v>8121</v>
      </c>
      <c r="B433" s="11" t="s">
        <v>277</v>
      </c>
      <c r="C433" s="11" t="s">
        <v>497</v>
      </c>
      <c r="D433" s="12">
        <v>1255</v>
      </c>
      <c r="E433"/>
      <c r="F433"/>
      <c r="G433"/>
    </row>
    <row r="434" spans="1:7" x14ac:dyDescent="0.25">
      <c r="A434" s="13">
        <v>8122</v>
      </c>
      <c r="B434" s="11" t="s">
        <v>277</v>
      </c>
      <c r="C434" s="11" t="s">
        <v>497</v>
      </c>
      <c r="D434" s="12">
        <v>1790</v>
      </c>
      <c r="E434"/>
      <c r="F434"/>
      <c r="G434"/>
    </row>
    <row r="435" spans="1:7" x14ac:dyDescent="0.25">
      <c r="A435" s="13">
        <v>8123</v>
      </c>
      <c r="B435" s="11" t="s">
        <v>277</v>
      </c>
      <c r="C435" s="11" t="s">
        <v>497</v>
      </c>
      <c r="D435" s="12">
        <v>845</v>
      </c>
      <c r="E435"/>
      <c r="F435"/>
      <c r="G435"/>
    </row>
    <row r="436" spans="1:7" x14ac:dyDescent="0.25">
      <c r="A436" s="13">
        <v>8321</v>
      </c>
      <c r="B436" s="11" t="s">
        <v>277</v>
      </c>
      <c r="C436" s="11" t="s">
        <v>497</v>
      </c>
      <c r="D436" s="12">
        <v>1660</v>
      </c>
      <c r="E436"/>
      <c r="F436"/>
      <c r="G436"/>
    </row>
    <row r="437" spans="1:7" x14ac:dyDescent="0.25">
      <c r="A437" s="13">
        <v>9062</v>
      </c>
      <c r="B437" s="11" t="s">
        <v>277</v>
      </c>
      <c r="C437" s="11" t="s">
        <v>497</v>
      </c>
      <c r="D437" s="12">
        <v>2145</v>
      </c>
      <c r="E437"/>
      <c r="F437"/>
      <c r="G437"/>
    </row>
    <row r="438" spans="1:7" x14ac:dyDescent="0.25">
      <c r="A438" s="13">
        <v>9063</v>
      </c>
      <c r="B438" s="11" t="s">
        <v>277</v>
      </c>
      <c r="C438" s="11" t="s">
        <v>497</v>
      </c>
      <c r="D438" s="12">
        <v>1820</v>
      </c>
      <c r="E438"/>
      <c r="F438"/>
      <c r="G438"/>
    </row>
    <row r="439" spans="1:7" x14ac:dyDescent="0.25">
      <c r="A439" s="13">
        <v>9065</v>
      </c>
      <c r="B439" s="11" t="s">
        <v>277</v>
      </c>
      <c r="C439" s="11" t="s">
        <v>497</v>
      </c>
      <c r="D439" s="12">
        <v>1935</v>
      </c>
      <c r="E439"/>
      <c r="F439"/>
      <c r="G439"/>
    </row>
    <row r="440" spans="1:7" x14ac:dyDescent="0.25">
      <c r="A440" s="13">
        <v>9068</v>
      </c>
      <c r="B440" s="11" t="s">
        <v>277</v>
      </c>
      <c r="C440" s="11" t="s">
        <v>497</v>
      </c>
      <c r="D440" s="12">
        <v>2275</v>
      </c>
      <c r="E440"/>
      <c r="F440"/>
      <c r="G440"/>
    </row>
    <row r="441" spans="1:7" x14ac:dyDescent="0.25">
      <c r="A441" s="13">
        <v>9069</v>
      </c>
      <c r="B441" s="11" t="s">
        <v>277</v>
      </c>
      <c r="C441" s="11" t="s">
        <v>497</v>
      </c>
      <c r="D441" s="12">
        <v>2145</v>
      </c>
      <c r="E441"/>
      <c r="F441"/>
      <c r="G441"/>
    </row>
    <row r="442" spans="1:7" x14ac:dyDescent="0.25">
      <c r="A442" s="13">
        <v>9071</v>
      </c>
      <c r="B442" s="11" t="s">
        <v>277</v>
      </c>
      <c r="C442" s="11" t="s">
        <v>497</v>
      </c>
      <c r="D442" s="12">
        <v>1755</v>
      </c>
      <c r="E442"/>
      <c r="F442"/>
      <c r="G442"/>
    </row>
    <row r="443" spans="1:7" x14ac:dyDescent="0.25">
      <c r="A443" s="13">
        <v>9076</v>
      </c>
      <c r="B443" s="11" t="s">
        <v>277</v>
      </c>
      <c r="C443" s="11" t="s">
        <v>497</v>
      </c>
      <c r="D443" s="12">
        <v>1920</v>
      </c>
      <c r="E443"/>
      <c r="F443"/>
      <c r="G443"/>
    </row>
    <row r="444" spans="1:7" x14ac:dyDescent="0.25">
      <c r="A444" s="13" t="s">
        <v>835</v>
      </c>
      <c r="B444" s="11" t="s">
        <v>277</v>
      </c>
      <c r="C444" s="11" t="s">
        <v>494</v>
      </c>
      <c r="D444" s="12">
        <v>100</v>
      </c>
      <c r="E444"/>
      <c r="F444"/>
      <c r="G444"/>
    </row>
    <row r="445" spans="1:7" x14ac:dyDescent="0.25">
      <c r="A445" s="13" t="s">
        <v>1021</v>
      </c>
      <c r="B445" s="11" t="s">
        <v>277</v>
      </c>
      <c r="C445" s="11" t="s">
        <v>494</v>
      </c>
      <c r="D445" s="12">
        <v>165</v>
      </c>
      <c r="E445"/>
      <c r="F445"/>
      <c r="G445"/>
    </row>
    <row r="446" spans="1:7" x14ac:dyDescent="0.25">
      <c r="A446" s="13" t="s">
        <v>805</v>
      </c>
      <c r="B446" s="11" t="s">
        <v>277</v>
      </c>
      <c r="C446" s="11" t="s">
        <v>494</v>
      </c>
      <c r="D446" s="12">
        <v>165</v>
      </c>
      <c r="E446"/>
      <c r="F446"/>
      <c r="G446"/>
    </row>
    <row r="447" spans="1:7" x14ac:dyDescent="0.25">
      <c r="A447" s="13">
        <v>181</v>
      </c>
      <c r="B447" s="11" t="s">
        <v>171</v>
      </c>
      <c r="C447" s="11" t="s">
        <v>167</v>
      </c>
      <c r="D447" s="12">
        <v>325</v>
      </c>
      <c r="E447"/>
      <c r="F447"/>
      <c r="G447"/>
    </row>
    <row r="448" spans="1:7" x14ac:dyDescent="0.25">
      <c r="A448" s="13">
        <v>452</v>
      </c>
      <c r="B448" s="11" t="s">
        <v>171</v>
      </c>
      <c r="C448" s="11" t="s">
        <v>495</v>
      </c>
      <c r="D448" s="12">
        <v>215</v>
      </c>
      <c r="E448"/>
      <c r="F448"/>
      <c r="G448"/>
    </row>
    <row r="449" spans="1:7" x14ac:dyDescent="0.25">
      <c r="A449" s="13">
        <v>455</v>
      </c>
      <c r="B449" s="11" t="s">
        <v>171</v>
      </c>
      <c r="C449" s="11" t="s">
        <v>495</v>
      </c>
      <c r="D449" s="12">
        <v>225</v>
      </c>
      <c r="E449"/>
      <c r="F449"/>
      <c r="G449"/>
    </row>
    <row r="450" spans="1:7" x14ac:dyDescent="0.25">
      <c r="A450" s="13">
        <v>466</v>
      </c>
      <c r="B450" s="11" t="s">
        <v>171</v>
      </c>
      <c r="C450" s="11" t="s">
        <v>495</v>
      </c>
      <c r="D450" s="12">
        <v>295</v>
      </c>
      <c r="E450"/>
      <c r="F450"/>
      <c r="G450"/>
    </row>
    <row r="451" spans="1:7" x14ac:dyDescent="0.25">
      <c r="A451" s="13">
        <v>501</v>
      </c>
      <c r="B451" s="11" t="s">
        <v>171</v>
      </c>
      <c r="C451" s="11" t="s">
        <v>494</v>
      </c>
      <c r="D451" s="12">
        <v>300</v>
      </c>
      <c r="E451"/>
      <c r="F451"/>
      <c r="G451"/>
    </row>
    <row r="452" spans="1:7" x14ac:dyDescent="0.25">
      <c r="A452" s="13">
        <v>502</v>
      </c>
      <c r="B452" s="11" t="s">
        <v>171</v>
      </c>
      <c r="C452" s="11" t="s">
        <v>494</v>
      </c>
      <c r="D452" s="12">
        <v>300</v>
      </c>
      <c r="E452"/>
      <c r="F452"/>
      <c r="G452"/>
    </row>
    <row r="453" spans="1:7" x14ac:dyDescent="0.25">
      <c r="A453" s="13">
        <v>503</v>
      </c>
      <c r="B453" s="11" t="s">
        <v>171</v>
      </c>
      <c r="C453" s="11" t="s">
        <v>494</v>
      </c>
      <c r="D453" s="12">
        <v>290</v>
      </c>
      <c r="E453"/>
      <c r="F453"/>
      <c r="G453"/>
    </row>
    <row r="454" spans="1:7" x14ac:dyDescent="0.25">
      <c r="A454" s="13">
        <v>504</v>
      </c>
      <c r="B454" s="11" t="s">
        <v>171</v>
      </c>
      <c r="C454" s="11" t="s">
        <v>494</v>
      </c>
      <c r="D454" s="12">
        <v>275</v>
      </c>
      <c r="E454"/>
      <c r="F454"/>
      <c r="G454"/>
    </row>
    <row r="455" spans="1:7" x14ac:dyDescent="0.25">
      <c r="A455" s="13">
        <v>505</v>
      </c>
      <c r="B455" s="11" t="s">
        <v>171</v>
      </c>
      <c r="C455" s="11" t="s">
        <v>494</v>
      </c>
      <c r="D455" s="12">
        <v>225</v>
      </c>
      <c r="E455"/>
      <c r="F455"/>
      <c r="G455"/>
    </row>
    <row r="456" spans="1:7" x14ac:dyDescent="0.25">
      <c r="A456" s="13">
        <v>506</v>
      </c>
      <c r="B456" s="11" t="s">
        <v>171</v>
      </c>
      <c r="C456" s="11" t="s">
        <v>494</v>
      </c>
      <c r="D456" s="12">
        <v>470</v>
      </c>
      <c r="E456"/>
      <c r="F456"/>
      <c r="G456"/>
    </row>
    <row r="457" spans="1:7" x14ac:dyDescent="0.25">
      <c r="A457" s="13">
        <v>507</v>
      </c>
      <c r="B457" s="11" t="s">
        <v>171</v>
      </c>
      <c r="C457" s="11" t="s">
        <v>494</v>
      </c>
      <c r="D457" s="12">
        <v>375</v>
      </c>
      <c r="E457"/>
      <c r="F457"/>
      <c r="G457"/>
    </row>
    <row r="458" spans="1:7" x14ac:dyDescent="0.25">
      <c r="A458" s="13">
        <v>508</v>
      </c>
      <c r="B458" s="11" t="s">
        <v>171</v>
      </c>
      <c r="C458" s="11" t="s">
        <v>494</v>
      </c>
      <c r="D458" s="12">
        <v>215</v>
      </c>
      <c r="E458"/>
      <c r="F458"/>
      <c r="G458"/>
    </row>
    <row r="459" spans="1:7" x14ac:dyDescent="0.25">
      <c r="A459" s="13">
        <v>509</v>
      </c>
      <c r="B459" s="11" t="s">
        <v>171</v>
      </c>
      <c r="C459" s="11" t="s">
        <v>494</v>
      </c>
      <c r="D459" s="12">
        <v>260</v>
      </c>
      <c r="E459"/>
      <c r="F459"/>
      <c r="G459"/>
    </row>
    <row r="460" spans="1:7" x14ac:dyDescent="0.25">
      <c r="A460" s="13">
        <v>510</v>
      </c>
      <c r="B460" s="11" t="s">
        <v>171</v>
      </c>
      <c r="C460" s="11" t="s">
        <v>494</v>
      </c>
      <c r="D460" s="12">
        <v>225</v>
      </c>
      <c r="E460"/>
      <c r="F460"/>
      <c r="G460"/>
    </row>
    <row r="461" spans="1:7" x14ac:dyDescent="0.25">
      <c r="A461" s="13">
        <v>512</v>
      </c>
      <c r="B461" s="11" t="s">
        <v>171</v>
      </c>
      <c r="C461" s="11" t="s">
        <v>494</v>
      </c>
      <c r="D461" s="12">
        <v>485</v>
      </c>
      <c r="E461"/>
      <c r="F461"/>
      <c r="G461"/>
    </row>
    <row r="462" spans="1:7" x14ac:dyDescent="0.25">
      <c r="A462" s="13">
        <v>515</v>
      </c>
      <c r="B462" s="11" t="s">
        <v>171</v>
      </c>
      <c r="C462" s="11" t="s">
        <v>494</v>
      </c>
      <c r="D462" s="12">
        <v>200</v>
      </c>
      <c r="E462"/>
      <c r="F462"/>
      <c r="G462"/>
    </row>
    <row r="463" spans="1:7" x14ac:dyDescent="0.25">
      <c r="A463" s="13">
        <v>516</v>
      </c>
      <c r="B463" s="11" t="s">
        <v>171</v>
      </c>
      <c r="C463" s="11" t="s">
        <v>494</v>
      </c>
      <c r="D463" s="12">
        <v>320</v>
      </c>
      <c r="E463"/>
      <c r="F463"/>
      <c r="G463"/>
    </row>
    <row r="464" spans="1:7" x14ac:dyDescent="0.25">
      <c r="A464" s="13">
        <v>520</v>
      </c>
      <c r="B464" s="11" t="s">
        <v>171</v>
      </c>
      <c r="C464" s="11" t="s">
        <v>494</v>
      </c>
      <c r="D464" s="12">
        <v>355</v>
      </c>
      <c r="E464"/>
      <c r="F464"/>
      <c r="G464"/>
    </row>
    <row r="465" spans="1:7" x14ac:dyDescent="0.25">
      <c r="A465" s="13">
        <v>522</v>
      </c>
      <c r="B465" s="11" t="s">
        <v>171</v>
      </c>
      <c r="C465" s="11" t="s">
        <v>494</v>
      </c>
      <c r="D465" s="12">
        <v>265</v>
      </c>
      <c r="E465"/>
      <c r="F465"/>
      <c r="G465"/>
    </row>
    <row r="466" spans="1:7" x14ac:dyDescent="0.25">
      <c r="A466" s="13">
        <v>523</v>
      </c>
      <c r="B466" s="11" t="s">
        <v>171</v>
      </c>
      <c r="C466" s="11" t="s">
        <v>494</v>
      </c>
      <c r="D466" s="12">
        <v>405</v>
      </c>
      <c r="E466"/>
      <c r="F466"/>
      <c r="G466"/>
    </row>
    <row r="467" spans="1:7" x14ac:dyDescent="0.25">
      <c r="A467" s="13">
        <v>524</v>
      </c>
      <c r="B467" s="11" t="s">
        <v>171</v>
      </c>
      <c r="C467" s="11" t="s">
        <v>494</v>
      </c>
      <c r="D467" s="12">
        <v>505</v>
      </c>
      <c r="E467"/>
      <c r="F467"/>
      <c r="G467"/>
    </row>
    <row r="468" spans="1:7" x14ac:dyDescent="0.25">
      <c r="A468" s="13">
        <v>527</v>
      </c>
      <c r="B468" s="11" t="s">
        <v>171</v>
      </c>
      <c r="C468" s="11" t="s">
        <v>494</v>
      </c>
      <c r="D468" s="12">
        <v>455</v>
      </c>
      <c r="E468"/>
      <c r="F468"/>
      <c r="G468"/>
    </row>
    <row r="469" spans="1:7" x14ac:dyDescent="0.25">
      <c r="A469" s="13">
        <v>529</v>
      </c>
      <c r="B469" s="11" t="s">
        <v>171</v>
      </c>
      <c r="C469" s="11" t="s">
        <v>494</v>
      </c>
      <c r="D469" s="12">
        <v>465</v>
      </c>
      <c r="E469"/>
      <c r="F469"/>
      <c r="G469"/>
    </row>
    <row r="470" spans="1:7" x14ac:dyDescent="0.25">
      <c r="A470" s="13">
        <v>530</v>
      </c>
      <c r="B470" s="11" t="s">
        <v>171</v>
      </c>
      <c r="C470" s="11" t="s">
        <v>494</v>
      </c>
      <c r="D470" s="12">
        <v>210</v>
      </c>
      <c r="E470"/>
      <c r="F470"/>
      <c r="G470"/>
    </row>
    <row r="471" spans="1:7" x14ac:dyDescent="0.25">
      <c r="A471" s="13">
        <v>533</v>
      </c>
      <c r="B471" s="11" t="s">
        <v>171</v>
      </c>
      <c r="C471" s="11" t="s">
        <v>494</v>
      </c>
      <c r="D471" s="12">
        <v>125</v>
      </c>
      <c r="E471"/>
      <c r="F471"/>
      <c r="G471"/>
    </row>
    <row r="472" spans="1:7" x14ac:dyDescent="0.25">
      <c r="A472" s="13">
        <v>535</v>
      </c>
      <c r="B472" s="11" t="s">
        <v>171</v>
      </c>
      <c r="C472" s="11" t="s">
        <v>494</v>
      </c>
      <c r="D472" s="12">
        <v>275</v>
      </c>
      <c r="E472"/>
      <c r="F472"/>
      <c r="G472"/>
    </row>
    <row r="473" spans="1:7" x14ac:dyDescent="0.25">
      <c r="A473" s="13">
        <v>536</v>
      </c>
      <c r="B473" s="11" t="s">
        <v>171</v>
      </c>
      <c r="C473" s="11" t="s">
        <v>494</v>
      </c>
      <c r="D473" s="12">
        <v>290</v>
      </c>
      <c r="E473"/>
      <c r="F473"/>
      <c r="G473"/>
    </row>
    <row r="474" spans="1:7" x14ac:dyDescent="0.25">
      <c r="A474" s="13">
        <v>537</v>
      </c>
      <c r="B474" s="11" t="s">
        <v>171</v>
      </c>
      <c r="C474" s="11" t="s">
        <v>494</v>
      </c>
      <c r="D474" s="12">
        <v>210</v>
      </c>
      <c r="E474"/>
      <c r="F474"/>
      <c r="G474"/>
    </row>
    <row r="475" spans="1:7" x14ac:dyDescent="0.25">
      <c r="A475" s="13">
        <v>538</v>
      </c>
      <c r="B475" s="11" t="s">
        <v>171</v>
      </c>
      <c r="C475" s="11" t="s">
        <v>494</v>
      </c>
      <c r="D475" s="12">
        <v>190</v>
      </c>
      <c r="E475"/>
      <c r="F475"/>
      <c r="G475"/>
    </row>
    <row r="476" spans="1:7" x14ac:dyDescent="0.25">
      <c r="A476" s="13">
        <v>539</v>
      </c>
      <c r="B476" s="11" t="s">
        <v>171</v>
      </c>
      <c r="C476" s="11" t="s">
        <v>494</v>
      </c>
      <c r="D476" s="12">
        <v>215</v>
      </c>
      <c r="E476"/>
      <c r="F476"/>
      <c r="G476"/>
    </row>
    <row r="477" spans="1:7" x14ac:dyDescent="0.25">
      <c r="A477" s="13">
        <v>551</v>
      </c>
      <c r="B477" s="11" t="s">
        <v>171</v>
      </c>
      <c r="C477" s="11" t="s">
        <v>494</v>
      </c>
      <c r="D477" s="12">
        <v>225</v>
      </c>
      <c r="E477"/>
      <c r="F477"/>
      <c r="G477"/>
    </row>
    <row r="478" spans="1:7" x14ac:dyDescent="0.25">
      <c r="A478" s="13">
        <v>552</v>
      </c>
      <c r="B478" s="11" t="s">
        <v>171</v>
      </c>
      <c r="C478" s="11" t="s">
        <v>494</v>
      </c>
      <c r="D478" s="12">
        <v>215</v>
      </c>
      <c r="E478"/>
      <c r="F478"/>
      <c r="G478"/>
    </row>
    <row r="479" spans="1:7" x14ac:dyDescent="0.25">
      <c r="A479" s="13">
        <v>554</v>
      </c>
      <c r="B479" s="11" t="s">
        <v>171</v>
      </c>
      <c r="C479" s="11" t="s">
        <v>494</v>
      </c>
      <c r="D479" s="12">
        <v>295</v>
      </c>
      <c r="E479"/>
      <c r="F479"/>
      <c r="G479"/>
    </row>
    <row r="480" spans="1:7" x14ac:dyDescent="0.25">
      <c r="A480" s="13">
        <v>556</v>
      </c>
      <c r="B480" s="11" t="s">
        <v>171</v>
      </c>
      <c r="C480" s="11" t="s">
        <v>494</v>
      </c>
      <c r="D480" s="12">
        <v>515</v>
      </c>
      <c r="E480"/>
      <c r="F480"/>
      <c r="G480"/>
    </row>
    <row r="481" spans="1:7" x14ac:dyDescent="0.25">
      <c r="A481" s="13">
        <v>557</v>
      </c>
      <c r="B481" s="11" t="s">
        <v>171</v>
      </c>
      <c r="C481" s="11" t="s">
        <v>494</v>
      </c>
      <c r="D481" s="12">
        <v>435</v>
      </c>
      <c r="E481"/>
      <c r="F481"/>
      <c r="G481"/>
    </row>
    <row r="482" spans="1:7" x14ac:dyDescent="0.25">
      <c r="A482" s="13">
        <v>558</v>
      </c>
      <c r="B482" s="11" t="s">
        <v>171</v>
      </c>
      <c r="C482" s="11" t="s">
        <v>494</v>
      </c>
      <c r="D482" s="12">
        <v>445</v>
      </c>
      <c r="E482"/>
      <c r="F482"/>
      <c r="G482"/>
    </row>
    <row r="483" spans="1:7" x14ac:dyDescent="0.25">
      <c r="A483" s="13">
        <v>560</v>
      </c>
      <c r="B483" s="11" t="s">
        <v>171</v>
      </c>
      <c r="C483" s="11" t="s">
        <v>494</v>
      </c>
      <c r="D483" s="12">
        <v>250</v>
      </c>
      <c r="E483"/>
      <c r="F483"/>
      <c r="G483"/>
    </row>
    <row r="484" spans="1:7" x14ac:dyDescent="0.25">
      <c r="A484" s="13">
        <v>561</v>
      </c>
      <c r="B484" s="11" t="s">
        <v>171</v>
      </c>
      <c r="C484" s="11" t="s">
        <v>494</v>
      </c>
      <c r="D484" s="12">
        <v>560</v>
      </c>
      <c r="E484"/>
      <c r="F484"/>
      <c r="G484"/>
    </row>
    <row r="485" spans="1:7" x14ac:dyDescent="0.25">
      <c r="A485" s="13">
        <v>562</v>
      </c>
      <c r="B485" s="11" t="s">
        <v>171</v>
      </c>
      <c r="C485" s="11" t="s">
        <v>494</v>
      </c>
      <c r="D485" s="12">
        <v>485</v>
      </c>
      <c r="E485"/>
      <c r="F485"/>
      <c r="G485"/>
    </row>
    <row r="486" spans="1:7" x14ac:dyDescent="0.25">
      <c r="A486" s="13">
        <v>563</v>
      </c>
      <c r="B486" s="11" t="s">
        <v>171</v>
      </c>
      <c r="C486" s="11" t="s">
        <v>494</v>
      </c>
      <c r="D486" s="12">
        <v>370</v>
      </c>
      <c r="E486"/>
      <c r="F486"/>
      <c r="G486"/>
    </row>
    <row r="487" spans="1:7" x14ac:dyDescent="0.25">
      <c r="A487" s="13">
        <v>568</v>
      </c>
      <c r="B487" s="11" t="s">
        <v>171</v>
      </c>
      <c r="C487" s="11" t="s">
        <v>494</v>
      </c>
      <c r="D487" s="12">
        <v>390</v>
      </c>
      <c r="E487"/>
      <c r="F487"/>
      <c r="G487"/>
    </row>
    <row r="488" spans="1:7" x14ac:dyDescent="0.25">
      <c r="A488" s="13">
        <v>572</v>
      </c>
      <c r="B488" s="11" t="s">
        <v>171</v>
      </c>
      <c r="C488" s="11" t="s">
        <v>494</v>
      </c>
      <c r="D488" s="12">
        <v>485</v>
      </c>
      <c r="E488"/>
      <c r="F488"/>
      <c r="G488"/>
    </row>
    <row r="489" spans="1:7" x14ac:dyDescent="0.25">
      <c r="A489" s="13">
        <v>573</v>
      </c>
      <c r="B489" s="11" t="s">
        <v>171</v>
      </c>
      <c r="C489" s="11" t="s">
        <v>494</v>
      </c>
      <c r="D489" s="12">
        <v>540</v>
      </c>
      <c r="E489"/>
      <c r="F489"/>
      <c r="G489"/>
    </row>
    <row r="490" spans="1:7" x14ac:dyDescent="0.25">
      <c r="A490" s="13">
        <v>574</v>
      </c>
      <c r="B490" s="11" t="s">
        <v>171</v>
      </c>
      <c r="C490" s="11" t="s">
        <v>494</v>
      </c>
      <c r="D490" s="12">
        <v>435</v>
      </c>
      <c r="E490"/>
      <c r="F490"/>
      <c r="G490"/>
    </row>
    <row r="491" spans="1:7" x14ac:dyDescent="0.25">
      <c r="A491" s="13">
        <v>577</v>
      </c>
      <c r="B491" s="11" t="s">
        <v>171</v>
      </c>
      <c r="C491" s="11" t="s">
        <v>494</v>
      </c>
      <c r="D491" s="12">
        <v>575</v>
      </c>
      <c r="E491"/>
      <c r="F491"/>
      <c r="G491"/>
    </row>
    <row r="492" spans="1:7" x14ac:dyDescent="0.25">
      <c r="A492" s="13">
        <v>578</v>
      </c>
      <c r="B492" s="11" t="s">
        <v>171</v>
      </c>
      <c r="C492" s="11" t="s">
        <v>494</v>
      </c>
      <c r="D492" s="12">
        <v>395</v>
      </c>
      <c r="E492"/>
      <c r="F492"/>
      <c r="G492"/>
    </row>
    <row r="493" spans="1:7" x14ac:dyDescent="0.25">
      <c r="A493" s="13">
        <v>582</v>
      </c>
      <c r="B493" s="11" t="s">
        <v>171</v>
      </c>
      <c r="C493" s="11" t="s">
        <v>494</v>
      </c>
      <c r="D493" s="12">
        <v>250</v>
      </c>
      <c r="E493"/>
      <c r="F493"/>
      <c r="G493"/>
    </row>
    <row r="494" spans="1:7" x14ac:dyDescent="0.25">
      <c r="A494" s="13">
        <v>596</v>
      </c>
      <c r="B494" s="11" t="s">
        <v>171</v>
      </c>
      <c r="C494" s="11" t="s">
        <v>494</v>
      </c>
      <c r="D494" s="12">
        <v>210</v>
      </c>
      <c r="E494"/>
      <c r="F494"/>
      <c r="G494"/>
    </row>
    <row r="495" spans="1:7" x14ac:dyDescent="0.25">
      <c r="A495" s="13">
        <v>597</v>
      </c>
      <c r="B495" s="11" t="s">
        <v>171</v>
      </c>
      <c r="C495" s="11" t="s">
        <v>494</v>
      </c>
      <c r="D495" s="12">
        <v>185</v>
      </c>
      <c r="E495"/>
      <c r="F495"/>
      <c r="G495"/>
    </row>
    <row r="496" spans="1:7" x14ac:dyDescent="0.25">
      <c r="A496" s="13">
        <v>599</v>
      </c>
      <c r="B496" s="11" t="s">
        <v>171</v>
      </c>
      <c r="C496" s="11" t="s">
        <v>494</v>
      </c>
      <c r="D496" s="12">
        <v>490</v>
      </c>
      <c r="E496"/>
      <c r="F496"/>
      <c r="G496"/>
    </row>
    <row r="497" spans="1:7" x14ac:dyDescent="0.25">
      <c r="A497" s="13">
        <v>841</v>
      </c>
      <c r="B497" s="11" t="s">
        <v>171</v>
      </c>
      <c r="C497" s="11" t="s">
        <v>497</v>
      </c>
      <c r="D497" s="12">
        <v>880</v>
      </c>
      <c r="E497"/>
      <c r="F497"/>
      <c r="G497"/>
    </row>
    <row r="498" spans="1:7" x14ac:dyDescent="0.25">
      <c r="A498" s="13">
        <v>842</v>
      </c>
      <c r="B498" s="11" t="s">
        <v>171</v>
      </c>
      <c r="C498" s="11" t="s">
        <v>497</v>
      </c>
      <c r="D498" s="12">
        <v>1010</v>
      </c>
      <c r="E498"/>
      <c r="F498"/>
      <c r="G498"/>
    </row>
    <row r="499" spans="1:7" x14ac:dyDescent="0.25">
      <c r="A499" s="13">
        <v>843</v>
      </c>
      <c r="B499" s="11" t="s">
        <v>171</v>
      </c>
      <c r="C499" s="11" t="s">
        <v>497</v>
      </c>
      <c r="D499" s="12">
        <v>1140</v>
      </c>
      <c r="E499"/>
      <c r="F499"/>
      <c r="G499"/>
    </row>
    <row r="500" spans="1:7" x14ac:dyDescent="0.25">
      <c r="A500" s="13">
        <v>844</v>
      </c>
      <c r="B500" s="11" t="s">
        <v>171</v>
      </c>
      <c r="C500" s="11" t="s">
        <v>497</v>
      </c>
      <c r="D500" s="12">
        <v>1010</v>
      </c>
      <c r="E500"/>
      <c r="F500"/>
      <c r="G500"/>
    </row>
    <row r="501" spans="1:7" x14ac:dyDescent="0.25">
      <c r="A501" s="13">
        <v>845</v>
      </c>
      <c r="B501" s="11" t="s">
        <v>171</v>
      </c>
      <c r="C501" s="11" t="s">
        <v>497</v>
      </c>
      <c r="D501" s="12">
        <v>910</v>
      </c>
      <c r="E501"/>
      <c r="F501"/>
      <c r="G501"/>
    </row>
    <row r="502" spans="1:7" x14ac:dyDescent="0.25">
      <c r="A502" s="13">
        <v>846</v>
      </c>
      <c r="B502" s="11" t="s">
        <v>171</v>
      </c>
      <c r="C502" s="11" t="s">
        <v>497</v>
      </c>
      <c r="D502" s="12">
        <v>750</v>
      </c>
      <c r="E502"/>
      <c r="F502"/>
      <c r="G502"/>
    </row>
    <row r="503" spans="1:7" x14ac:dyDescent="0.25">
      <c r="A503" s="13">
        <v>848</v>
      </c>
      <c r="B503" s="11" t="s">
        <v>171</v>
      </c>
      <c r="C503" s="11" t="s">
        <v>497</v>
      </c>
      <c r="D503" s="12">
        <v>1125</v>
      </c>
      <c r="E503"/>
      <c r="F503"/>
      <c r="G503"/>
    </row>
    <row r="504" spans="1:7" x14ac:dyDescent="0.25">
      <c r="A504" s="13">
        <v>849</v>
      </c>
      <c r="B504" s="11" t="s">
        <v>171</v>
      </c>
      <c r="C504" s="11" t="s">
        <v>497</v>
      </c>
      <c r="D504" s="12">
        <v>780</v>
      </c>
      <c r="E504"/>
      <c r="F504"/>
      <c r="G504"/>
    </row>
    <row r="505" spans="1:7" x14ac:dyDescent="0.25">
      <c r="A505" s="13">
        <v>850</v>
      </c>
      <c r="B505" s="11" t="s">
        <v>171</v>
      </c>
      <c r="C505" s="11" t="s">
        <v>497</v>
      </c>
      <c r="D505" s="12">
        <v>815</v>
      </c>
      <c r="E505"/>
      <c r="F505"/>
      <c r="G505"/>
    </row>
    <row r="506" spans="1:7" x14ac:dyDescent="0.25">
      <c r="A506" s="13">
        <v>851</v>
      </c>
      <c r="B506" s="11" t="s">
        <v>171</v>
      </c>
      <c r="C506" s="11" t="s">
        <v>497</v>
      </c>
      <c r="D506" s="12">
        <v>815</v>
      </c>
      <c r="E506"/>
      <c r="F506"/>
      <c r="G506"/>
    </row>
    <row r="507" spans="1:7" x14ac:dyDescent="0.25">
      <c r="A507" s="13">
        <v>852</v>
      </c>
      <c r="B507" s="11" t="s">
        <v>171</v>
      </c>
      <c r="C507" s="11" t="s">
        <v>497</v>
      </c>
      <c r="D507" s="12">
        <v>685</v>
      </c>
      <c r="E507"/>
      <c r="F507"/>
      <c r="G507"/>
    </row>
    <row r="508" spans="1:7" x14ac:dyDescent="0.25">
      <c r="A508" s="13">
        <v>853</v>
      </c>
      <c r="B508" s="11" t="s">
        <v>171</v>
      </c>
      <c r="C508" s="11" t="s">
        <v>497</v>
      </c>
      <c r="D508" s="12">
        <v>1465</v>
      </c>
      <c r="E508"/>
      <c r="F508"/>
      <c r="G508"/>
    </row>
    <row r="509" spans="1:7" x14ac:dyDescent="0.25">
      <c r="A509" s="13">
        <v>854</v>
      </c>
      <c r="B509" s="11" t="s">
        <v>171</v>
      </c>
      <c r="C509" s="11" t="s">
        <v>497</v>
      </c>
      <c r="D509" s="12">
        <v>905</v>
      </c>
      <c r="E509"/>
      <c r="F509"/>
      <c r="G509"/>
    </row>
    <row r="510" spans="1:7" x14ac:dyDescent="0.25">
      <c r="A510" s="13">
        <v>855</v>
      </c>
      <c r="B510" s="11" t="s">
        <v>171</v>
      </c>
      <c r="C510" s="11" t="s">
        <v>497</v>
      </c>
      <c r="D510" s="12">
        <v>945</v>
      </c>
      <c r="E510"/>
      <c r="F510"/>
      <c r="G510"/>
    </row>
    <row r="511" spans="1:7" x14ac:dyDescent="0.25">
      <c r="A511" s="13">
        <v>856</v>
      </c>
      <c r="B511" s="11" t="s">
        <v>171</v>
      </c>
      <c r="C511" s="11" t="s">
        <v>497</v>
      </c>
      <c r="D511" s="12">
        <v>1335</v>
      </c>
      <c r="E511"/>
      <c r="F511"/>
      <c r="G511"/>
    </row>
    <row r="512" spans="1:7" x14ac:dyDescent="0.25">
      <c r="A512" s="13">
        <v>857</v>
      </c>
      <c r="B512" s="11" t="s">
        <v>171</v>
      </c>
      <c r="C512" s="11" t="s">
        <v>497</v>
      </c>
      <c r="D512" s="12">
        <v>1075</v>
      </c>
      <c r="E512"/>
      <c r="F512"/>
      <c r="G512"/>
    </row>
    <row r="513" spans="1:7" x14ac:dyDescent="0.25">
      <c r="A513" s="13">
        <v>858</v>
      </c>
      <c r="B513" s="11" t="s">
        <v>171</v>
      </c>
      <c r="C513" s="11" t="s">
        <v>497</v>
      </c>
      <c r="D513" s="12">
        <v>1140</v>
      </c>
      <c r="E513"/>
      <c r="F513"/>
      <c r="G513"/>
    </row>
    <row r="514" spans="1:7" x14ac:dyDescent="0.25">
      <c r="A514" s="13">
        <v>859</v>
      </c>
      <c r="B514" s="11" t="s">
        <v>171</v>
      </c>
      <c r="C514" s="11" t="s">
        <v>497</v>
      </c>
      <c r="D514" s="12">
        <v>1040</v>
      </c>
      <c r="E514"/>
      <c r="F514"/>
      <c r="G514"/>
    </row>
    <row r="515" spans="1:7" x14ac:dyDescent="0.25">
      <c r="A515" s="13">
        <v>860</v>
      </c>
      <c r="B515" s="11" t="s">
        <v>171</v>
      </c>
      <c r="C515" s="11" t="s">
        <v>497</v>
      </c>
      <c r="D515" s="12">
        <v>880</v>
      </c>
      <c r="E515"/>
      <c r="F515"/>
      <c r="G515"/>
    </row>
    <row r="516" spans="1:7" x14ac:dyDescent="0.25">
      <c r="A516" s="13">
        <v>861</v>
      </c>
      <c r="B516" s="11" t="s">
        <v>171</v>
      </c>
      <c r="C516" s="11" t="s">
        <v>497</v>
      </c>
      <c r="D516" s="12">
        <v>520</v>
      </c>
      <c r="E516"/>
      <c r="F516"/>
      <c r="G516"/>
    </row>
    <row r="517" spans="1:7" x14ac:dyDescent="0.25">
      <c r="A517" s="13">
        <v>862</v>
      </c>
      <c r="B517" s="11" t="s">
        <v>171</v>
      </c>
      <c r="C517" s="11" t="s">
        <v>497</v>
      </c>
      <c r="D517" s="12">
        <v>715</v>
      </c>
      <c r="E517"/>
      <c r="F517"/>
      <c r="G517"/>
    </row>
    <row r="518" spans="1:7" x14ac:dyDescent="0.25">
      <c r="A518" s="13">
        <v>866</v>
      </c>
      <c r="B518" s="11" t="s">
        <v>171</v>
      </c>
      <c r="C518" s="11" t="s">
        <v>497</v>
      </c>
      <c r="D518" s="12">
        <v>605</v>
      </c>
      <c r="E518"/>
      <c r="F518"/>
      <c r="G518"/>
    </row>
    <row r="519" spans="1:7" x14ac:dyDescent="0.25">
      <c r="A519" s="13">
        <v>868</v>
      </c>
      <c r="B519" s="11" t="s">
        <v>171</v>
      </c>
      <c r="C519" s="11" t="s">
        <v>497</v>
      </c>
      <c r="D519" s="12">
        <v>750</v>
      </c>
      <c r="E519"/>
      <c r="F519"/>
      <c r="G519"/>
    </row>
    <row r="520" spans="1:7" x14ac:dyDescent="0.25">
      <c r="A520" s="13">
        <v>869</v>
      </c>
      <c r="B520" s="11" t="s">
        <v>171</v>
      </c>
      <c r="C520" s="11" t="s">
        <v>497</v>
      </c>
      <c r="D520" s="12">
        <v>1725</v>
      </c>
      <c r="E520"/>
      <c r="F520"/>
      <c r="G520"/>
    </row>
    <row r="521" spans="1:7" x14ac:dyDescent="0.25">
      <c r="A521" s="13">
        <v>870</v>
      </c>
      <c r="B521" s="11" t="s">
        <v>171</v>
      </c>
      <c r="C521" s="11" t="s">
        <v>497</v>
      </c>
      <c r="D521" s="12">
        <v>880</v>
      </c>
      <c r="E521"/>
      <c r="F521"/>
      <c r="G521"/>
    </row>
    <row r="522" spans="1:7" x14ac:dyDescent="0.25">
      <c r="A522" s="13">
        <v>871</v>
      </c>
      <c r="B522" s="11" t="s">
        <v>171</v>
      </c>
      <c r="C522" s="11" t="s">
        <v>497</v>
      </c>
      <c r="D522" s="12">
        <v>715</v>
      </c>
      <c r="E522"/>
      <c r="F522"/>
      <c r="G522"/>
    </row>
    <row r="523" spans="1:7" x14ac:dyDescent="0.25">
      <c r="A523" s="13">
        <v>874</v>
      </c>
      <c r="B523" s="11" t="s">
        <v>171</v>
      </c>
      <c r="C523" s="11" t="s">
        <v>497</v>
      </c>
      <c r="D523" s="12">
        <v>815</v>
      </c>
      <c r="E523"/>
      <c r="F523"/>
      <c r="G523"/>
    </row>
    <row r="524" spans="1:7" x14ac:dyDescent="0.25">
      <c r="A524" s="13">
        <v>875</v>
      </c>
      <c r="B524" s="11" t="s">
        <v>171</v>
      </c>
      <c r="C524" s="11" t="s">
        <v>497</v>
      </c>
      <c r="D524" s="12">
        <v>880</v>
      </c>
      <c r="E524"/>
      <c r="F524"/>
      <c r="G524"/>
    </row>
    <row r="525" spans="1:7" x14ac:dyDescent="0.25">
      <c r="A525" s="13">
        <v>876</v>
      </c>
      <c r="B525" s="11" t="s">
        <v>171</v>
      </c>
      <c r="C525" s="11" t="s">
        <v>497</v>
      </c>
      <c r="D525" s="12">
        <v>705</v>
      </c>
      <c r="E525"/>
      <c r="F525"/>
      <c r="G525"/>
    </row>
    <row r="526" spans="1:7" x14ac:dyDescent="0.25">
      <c r="A526" s="13">
        <v>877</v>
      </c>
      <c r="B526" s="11" t="s">
        <v>171</v>
      </c>
      <c r="C526" s="11" t="s">
        <v>497</v>
      </c>
      <c r="D526" s="12">
        <v>680</v>
      </c>
      <c r="E526"/>
      <c r="F526"/>
      <c r="G526"/>
    </row>
    <row r="527" spans="1:7" x14ac:dyDescent="0.25">
      <c r="A527" s="13">
        <v>878</v>
      </c>
      <c r="B527" s="11" t="s">
        <v>171</v>
      </c>
      <c r="C527" s="11" t="s">
        <v>497</v>
      </c>
      <c r="D527" s="12">
        <v>570</v>
      </c>
      <c r="E527"/>
      <c r="F527"/>
      <c r="G527"/>
    </row>
    <row r="528" spans="1:7" x14ac:dyDescent="0.25">
      <c r="A528" s="13">
        <v>879</v>
      </c>
      <c r="B528" s="11" t="s">
        <v>171</v>
      </c>
      <c r="C528" s="11" t="s">
        <v>497</v>
      </c>
      <c r="D528" s="12">
        <v>495</v>
      </c>
      <c r="E528"/>
      <c r="F528"/>
      <c r="G528"/>
    </row>
    <row r="529" spans="1:7" x14ac:dyDescent="0.25">
      <c r="A529" s="13">
        <v>883</v>
      </c>
      <c r="B529" s="11" t="s">
        <v>171</v>
      </c>
      <c r="C529" s="11" t="s">
        <v>497</v>
      </c>
      <c r="D529" s="12">
        <v>765</v>
      </c>
      <c r="E529"/>
      <c r="F529"/>
      <c r="G529"/>
    </row>
    <row r="530" spans="1:7" x14ac:dyDescent="0.25">
      <c r="A530" s="13">
        <v>885</v>
      </c>
      <c r="B530" s="11" t="s">
        <v>171</v>
      </c>
      <c r="C530" s="11" t="s">
        <v>497</v>
      </c>
      <c r="D530" s="12">
        <v>660</v>
      </c>
      <c r="E530"/>
      <c r="F530"/>
      <c r="G530"/>
    </row>
    <row r="531" spans="1:7" x14ac:dyDescent="0.25">
      <c r="A531" s="13">
        <v>886</v>
      </c>
      <c r="B531" s="11" t="s">
        <v>171</v>
      </c>
      <c r="C531" s="11" t="s">
        <v>497</v>
      </c>
      <c r="D531" s="12">
        <v>675</v>
      </c>
      <c r="E531"/>
      <c r="F531"/>
      <c r="G531"/>
    </row>
    <row r="532" spans="1:7" x14ac:dyDescent="0.25">
      <c r="A532" s="13">
        <v>887</v>
      </c>
      <c r="B532" s="11" t="s">
        <v>171</v>
      </c>
      <c r="C532" s="11" t="s">
        <v>497</v>
      </c>
      <c r="D532" s="12">
        <v>1530</v>
      </c>
      <c r="E532"/>
      <c r="F532"/>
      <c r="G532"/>
    </row>
    <row r="533" spans="1:7" x14ac:dyDescent="0.25">
      <c r="A533" s="13">
        <v>890</v>
      </c>
      <c r="B533" s="11" t="s">
        <v>171</v>
      </c>
      <c r="C533" s="11" t="s">
        <v>497</v>
      </c>
      <c r="D533" s="12">
        <v>1790</v>
      </c>
      <c r="E533"/>
      <c r="F533"/>
      <c r="G533"/>
    </row>
    <row r="534" spans="1:7" x14ac:dyDescent="0.25">
      <c r="A534" s="13">
        <v>891</v>
      </c>
      <c r="B534" s="11" t="s">
        <v>171</v>
      </c>
      <c r="C534" s="11" t="s">
        <v>497</v>
      </c>
      <c r="D534" s="12">
        <v>1660</v>
      </c>
      <c r="E534"/>
      <c r="F534"/>
      <c r="G534"/>
    </row>
    <row r="535" spans="1:7" x14ac:dyDescent="0.25">
      <c r="A535" s="13">
        <v>894</v>
      </c>
      <c r="B535" s="11" t="s">
        <v>171</v>
      </c>
      <c r="C535" s="11" t="s">
        <v>497</v>
      </c>
      <c r="D535" s="12">
        <v>750</v>
      </c>
      <c r="E535"/>
      <c r="F535"/>
      <c r="G535"/>
    </row>
    <row r="536" spans="1:7" x14ac:dyDescent="0.25">
      <c r="A536" s="13">
        <v>895</v>
      </c>
      <c r="B536" s="11" t="s">
        <v>171</v>
      </c>
      <c r="C536" s="11" t="s">
        <v>497</v>
      </c>
      <c r="D536" s="12">
        <v>1920</v>
      </c>
      <c r="E536"/>
      <c r="F536"/>
      <c r="G536"/>
    </row>
    <row r="537" spans="1:7" x14ac:dyDescent="0.25">
      <c r="A537" s="13">
        <v>896</v>
      </c>
      <c r="B537" s="11" t="s">
        <v>171</v>
      </c>
      <c r="C537" s="11" t="s">
        <v>497</v>
      </c>
      <c r="D537" s="12">
        <v>2310</v>
      </c>
      <c r="E537"/>
      <c r="F537"/>
      <c r="G537"/>
    </row>
    <row r="538" spans="1:7" x14ac:dyDescent="0.25">
      <c r="A538" s="13">
        <v>897</v>
      </c>
      <c r="B538" s="11" t="s">
        <v>171</v>
      </c>
      <c r="C538" s="11" t="s">
        <v>497</v>
      </c>
      <c r="D538" s="12">
        <v>1335</v>
      </c>
      <c r="E538"/>
      <c r="F538"/>
      <c r="G538"/>
    </row>
    <row r="539" spans="1:7" x14ac:dyDescent="0.25">
      <c r="A539" s="13">
        <v>898</v>
      </c>
      <c r="B539" s="11" t="s">
        <v>171</v>
      </c>
      <c r="C539" s="11" t="s">
        <v>497</v>
      </c>
      <c r="D539" s="12">
        <v>2115</v>
      </c>
      <c r="E539"/>
      <c r="F539"/>
      <c r="G539"/>
    </row>
    <row r="540" spans="1:7" x14ac:dyDescent="0.25">
      <c r="A540" s="13">
        <v>4521</v>
      </c>
      <c r="B540" s="11" t="s">
        <v>171</v>
      </c>
      <c r="C540" s="11" t="s">
        <v>495</v>
      </c>
      <c r="D540" s="12">
        <v>270</v>
      </c>
      <c r="E540"/>
      <c r="F540"/>
      <c r="G540"/>
    </row>
    <row r="541" spans="1:7" x14ac:dyDescent="0.25">
      <c r="A541" s="13">
        <v>4561</v>
      </c>
      <c r="B541" s="11" t="s">
        <v>171</v>
      </c>
      <c r="C541" s="11" t="s">
        <v>495</v>
      </c>
      <c r="D541" s="12">
        <v>525</v>
      </c>
      <c r="E541"/>
      <c r="F541"/>
      <c r="G541"/>
    </row>
    <row r="542" spans="1:7" x14ac:dyDescent="0.25">
      <c r="A542" s="13">
        <v>4562</v>
      </c>
      <c r="B542" s="11" t="s">
        <v>171</v>
      </c>
      <c r="C542" s="11" t="s">
        <v>495</v>
      </c>
      <c r="D542" s="12">
        <v>470</v>
      </c>
      <c r="E542"/>
      <c r="F542"/>
      <c r="G542"/>
    </row>
    <row r="543" spans="1:7" x14ac:dyDescent="0.25">
      <c r="A543" s="13">
        <v>4563</v>
      </c>
      <c r="B543" s="11" t="s">
        <v>171</v>
      </c>
      <c r="C543" s="11" t="s">
        <v>495</v>
      </c>
      <c r="D543" s="12">
        <v>640</v>
      </c>
      <c r="E543"/>
      <c r="F543"/>
      <c r="G543"/>
    </row>
    <row r="544" spans="1:7" x14ac:dyDescent="0.25">
      <c r="A544" s="13">
        <v>4564</v>
      </c>
      <c r="B544" s="11" t="s">
        <v>171</v>
      </c>
      <c r="C544" s="11" t="s">
        <v>495</v>
      </c>
      <c r="D544" s="12">
        <v>485</v>
      </c>
      <c r="E544"/>
      <c r="F544"/>
      <c r="G544"/>
    </row>
    <row r="545" spans="1:7" x14ac:dyDescent="0.25">
      <c r="A545" s="13">
        <v>4565</v>
      </c>
      <c r="B545" s="11" t="s">
        <v>171</v>
      </c>
      <c r="C545" s="11" t="s">
        <v>495</v>
      </c>
      <c r="D545" s="12">
        <v>600</v>
      </c>
      <c r="E545"/>
      <c r="F545"/>
      <c r="G545"/>
    </row>
    <row r="546" spans="1:7" x14ac:dyDescent="0.25">
      <c r="A546" s="13">
        <v>4566</v>
      </c>
      <c r="B546" s="11" t="s">
        <v>171</v>
      </c>
      <c r="C546" s="11" t="s">
        <v>495</v>
      </c>
      <c r="D546" s="12">
        <v>635</v>
      </c>
      <c r="E546"/>
      <c r="F546"/>
      <c r="G546"/>
    </row>
    <row r="547" spans="1:7" x14ac:dyDescent="0.25">
      <c r="A547" s="13">
        <v>4567</v>
      </c>
      <c r="B547" s="11" t="s">
        <v>171</v>
      </c>
      <c r="C547" s="11" t="s">
        <v>495</v>
      </c>
      <c r="D547" s="12">
        <v>540</v>
      </c>
      <c r="E547"/>
      <c r="F547"/>
      <c r="G547"/>
    </row>
    <row r="548" spans="1:7" x14ac:dyDescent="0.25">
      <c r="A548" s="13">
        <v>4568</v>
      </c>
      <c r="B548" s="11" t="s">
        <v>171</v>
      </c>
      <c r="C548" s="11" t="s">
        <v>495</v>
      </c>
      <c r="D548" s="12">
        <v>665</v>
      </c>
      <c r="E548"/>
      <c r="F548"/>
      <c r="G548"/>
    </row>
    <row r="549" spans="1:7" x14ac:dyDescent="0.25">
      <c r="A549" s="13">
        <v>4569</v>
      </c>
      <c r="B549" s="11" t="s">
        <v>171</v>
      </c>
      <c r="C549" s="11" t="s">
        <v>495</v>
      </c>
      <c r="D549" s="12">
        <v>820</v>
      </c>
      <c r="E549"/>
      <c r="F549"/>
      <c r="G549"/>
    </row>
    <row r="550" spans="1:7" x14ac:dyDescent="0.25">
      <c r="A550" s="13">
        <v>4570</v>
      </c>
      <c r="B550" s="11" t="s">
        <v>171</v>
      </c>
      <c r="C550" s="11" t="s">
        <v>495</v>
      </c>
      <c r="D550" s="12">
        <v>690</v>
      </c>
      <c r="E550"/>
      <c r="F550"/>
      <c r="G550"/>
    </row>
    <row r="551" spans="1:7" x14ac:dyDescent="0.25">
      <c r="A551" s="13">
        <v>4571</v>
      </c>
      <c r="B551" s="11" t="s">
        <v>171</v>
      </c>
      <c r="C551" s="11" t="s">
        <v>495</v>
      </c>
      <c r="D551" s="12">
        <v>750</v>
      </c>
      <c r="E551"/>
      <c r="F551"/>
      <c r="G551"/>
    </row>
    <row r="552" spans="1:7" x14ac:dyDescent="0.25">
      <c r="A552" s="13">
        <v>4573</v>
      </c>
      <c r="B552" s="11" t="s">
        <v>171</v>
      </c>
      <c r="C552" s="11" t="s">
        <v>495</v>
      </c>
      <c r="D552" s="12">
        <v>690</v>
      </c>
      <c r="E552"/>
      <c r="F552"/>
      <c r="G552"/>
    </row>
    <row r="553" spans="1:7" x14ac:dyDescent="0.25">
      <c r="A553" s="13">
        <v>4574</v>
      </c>
      <c r="B553" s="11" t="s">
        <v>171</v>
      </c>
      <c r="C553" s="11" t="s">
        <v>495</v>
      </c>
      <c r="D553" s="12">
        <v>510</v>
      </c>
      <c r="E553"/>
      <c r="F553"/>
      <c r="G553"/>
    </row>
    <row r="554" spans="1:7" x14ac:dyDescent="0.25">
      <c r="A554" s="13">
        <v>4575</v>
      </c>
      <c r="B554" s="11" t="s">
        <v>171</v>
      </c>
      <c r="C554" s="11" t="s">
        <v>495</v>
      </c>
      <c r="D554" s="12">
        <v>760</v>
      </c>
      <c r="E554"/>
      <c r="F554"/>
      <c r="G554"/>
    </row>
    <row r="555" spans="1:7" x14ac:dyDescent="0.25">
      <c r="A555" s="13">
        <v>4576</v>
      </c>
      <c r="B555" s="11" t="s">
        <v>171</v>
      </c>
      <c r="C555" s="11" t="s">
        <v>495</v>
      </c>
      <c r="D555" s="12">
        <v>820</v>
      </c>
      <c r="E555"/>
      <c r="F555"/>
      <c r="G555"/>
    </row>
    <row r="556" spans="1:7" x14ac:dyDescent="0.25">
      <c r="A556" s="13">
        <v>5001</v>
      </c>
      <c r="B556" s="11" t="s">
        <v>171</v>
      </c>
      <c r="C556" s="11" t="s">
        <v>494</v>
      </c>
      <c r="D556" s="12">
        <v>580</v>
      </c>
      <c r="E556"/>
      <c r="F556"/>
      <c r="G556"/>
    </row>
    <row r="557" spans="1:7" x14ac:dyDescent="0.25">
      <c r="A557" s="13">
        <v>5002</v>
      </c>
      <c r="B557" s="11" t="s">
        <v>171</v>
      </c>
      <c r="C557" s="11" t="s">
        <v>494</v>
      </c>
      <c r="D557" s="12">
        <v>255</v>
      </c>
      <c r="E557"/>
      <c r="F557"/>
      <c r="G557"/>
    </row>
    <row r="558" spans="1:7" x14ac:dyDescent="0.25">
      <c r="A558" s="13">
        <v>5003</v>
      </c>
      <c r="B558" s="11" t="s">
        <v>171</v>
      </c>
      <c r="C558" s="11" t="s">
        <v>494</v>
      </c>
      <c r="D558" s="12">
        <v>315</v>
      </c>
      <c r="E558"/>
      <c r="F558"/>
      <c r="G558"/>
    </row>
    <row r="559" spans="1:7" x14ac:dyDescent="0.25">
      <c r="A559" s="13">
        <v>5004</v>
      </c>
      <c r="B559" s="11" t="s">
        <v>171</v>
      </c>
      <c r="C559" s="11" t="s">
        <v>494</v>
      </c>
      <c r="D559" s="12">
        <v>335</v>
      </c>
      <c r="E559"/>
      <c r="F559"/>
      <c r="G559"/>
    </row>
    <row r="560" spans="1:7" x14ac:dyDescent="0.25">
      <c r="A560" s="13">
        <v>5006</v>
      </c>
      <c r="B560" s="11" t="s">
        <v>171</v>
      </c>
      <c r="C560" s="11" t="s">
        <v>494</v>
      </c>
      <c r="D560" s="12">
        <v>365</v>
      </c>
      <c r="E560"/>
      <c r="F560"/>
      <c r="G560"/>
    </row>
    <row r="561" spans="1:7" x14ac:dyDescent="0.25">
      <c r="A561" s="13">
        <v>5007</v>
      </c>
      <c r="B561" s="11" t="s">
        <v>171</v>
      </c>
      <c r="C561" s="11" t="s">
        <v>494</v>
      </c>
      <c r="D561" s="12">
        <v>330</v>
      </c>
      <c r="E561"/>
      <c r="F561"/>
      <c r="G561"/>
    </row>
    <row r="562" spans="1:7" x14ac:dyDescent="0.25">
      <c r="A562" s="13">
        <v>5010</v>
      </c>
      <c r="B562" s="11" t="s">
        <v>171</v>
      </c>
      <c r="C562" s="11" t="s">
        <v>494</v>
      </c>
      <c r="D562" s="12">
        <v>320</v>
      </c>
      <c r="E562"/>
      <c r="F562"/>
      <c r="G562"/>
    </row>
    <row r="563" spans="1:7" x14ac:dyDescent="0.25">
      <c r="A563" s="13">
        <v>5011</v>
      </c>
      <c r="B563" s="11" t="s">
        <v>171</v>
      </c>
      <c r="C563" s="11" t="s">
        <v>494</v>
      </c>
      <c r="D563" s="12">
        <v>275</v>
      </c>
      <c r="E563"/>
      <c r="F563"/>
      <c r="G563"/>
    </row>
    <row r="564" spans="1:7" x14ac:dyDescent="0.25">
      <c r="A564" s="13">
        <v>5012</v>
      </c>
      <c r="B564" s="11" t="s">
        <v>171</v>
      </c>
      <c r="C564" s="11" t="s">
        <v>494</v>
      </c>
      <c r="D564" s="12">
        <v>360</v>
      </c>
      <c r="E564"/>
      <c r="F564"/>
      <c r="G564"/>
    </row>
    <row r="565" spans="1:7" x14ac:dyDescent="0.25">
      <c r="A565" s="13">
        <v>5013</v>
      </c>
      <c r="B565" s="11" t="s">
        <v>171</v>
      </c>
      <c r="C565" s="11" t="s">
        <v>494</v>
      </c>
      <c r="D565" s="12">
        <v>285</v>
      </c>
      <c r="E565"/>
      <c r="F565"/>
      <c r="G565"/>
    </row>
    <row r="566" spans="1:7" x14ac:dyDescent="0.25">
      <c r="A566" s="13">
        <v>5014</v>
      </c>
      <c r="B566" s="11" t="s">
        <v>171</v>
      </c>
      <c r="C566" s="11" t="s">
        <v>494</v>
      </c>
      <c r="D566" s="12">
        <v>310</v>
      </c>
      <c r="E566"/>
      <c r="F566"/>
      <c r="G566"/>
    </row>
    <row r="567" spans="1:7" x14ac:dyDescent="0.25">
      <c r="A567" s="13">
        <v>5015</v>
      </c>
      <c r="B567" s="11" t="s">
        <v>171</v>
      </c>
      <c r="C567" s="11" t="s">
        <v>494</v>
      </c>
      <c r="D567" s="12">
        <v>360</v>
      </c>
      <c r="E567"/>
      <c r="F567"/>
      <c r="G567"/>
    </row>
    <row r="568" spans="1:7" x14ac:dyDescent="0.25">
      <c r="A568" s="13">
        <v>5016</v>
      </c>
      <c r="B568" s="11" t="s">
        <v>171</v>
      </c>
      <c r="C568" s="11" t="s">
        <v>494</v>
      </c>
      <c r="D568" s="12">
        <v>345</v>
      </c>
      <c r="E568"/>
      <c r="F568"/>
      <c r="G568"/>
    </row>
    <row r="569" spans="1:7" x14ac:dyDescent="0.25">
      <c r="A569" s="13">
        <v>5017</v>
      </c>
      <c r="B569" s="11" t="s">
        <v>171</v>
      </c>
      <c r="C569" s="11" t="s">
        <v>494</v>
      </c>
      <c r="D569" s="12">
        <v>310</v>
      </c>
      <c r="E569"/>
      <c r="F569"/>
      <c r="G569"/>
    </row>
    <row r="570" spans="1:7" x14ac:dyDescent="0.25">
      <c r="A570" s="13">
        <v>5018</v>
      </c>
      <c r="B570" s="11" t="s">
        <v>171</v>
      </c>
      <c r="C570" s="11" t="s">
        <v>494</v>
      </c>
      <c r="D570" s="12">
        <v>360</v>
      </c>
      <c r="E570"/>
      <c r="F570"/>
      <c r="G570"/>
    </row>
    <row r="571" spans="1:7" x14ac:dyDescent="0.25">
      <c r="A571" s="13">
        <v>5019</v>
      </c>
      <c r="B571" s="11" t="s">
        <v>171</v>
      </c>
      <c r="C571" s="11" t="s">
        <v>494</v>
      </c>
      <c r="D571" s="12">
        <v>310</v>
      </c>
      <c r="E571"/>
      <c r="F571"/>
      <c r="G571"/>
    </row>
    <row r="572" spans="1:7" x14ac:dyDescent="0.25">
      <c r="A572" s="13">
        <v>5020</v>
      </c>
      <c r="B572" s="11" t="s">
        <v>171</v>
      </c>
      <c r="C572" s="11" t="s">
        <v>494</v>
      </c>
      <c r="D572" s="12">
        <v>310</v>
      </c>
      <c r="E572"/>
      <c r="F572"/>
      <c r="G572"/>
    </row>
    <row r="573" spans="1:7" x14ac:dyDescent="0.25">
      <c r="A573" s="13">
        <v>5021</v>
      </c>
      <c r="B573" s="11" t="s">
        <v>171</v>
      </c>
      <c r="C573" s="11" t="s">
        <v>494</v>
      </c>
      <c r="D573" s="12">
        <v>345</v>
      </c>
      <c r="E573"/>
      <c r="F573"/>
      <c r="G573"/>
    </row>
    <row r="574" spans="1:7" x14ac:dyDescent="0.25">
      <c r="A574" s="13">
        <v>5022</v>
      </c>
      <c r="B574" s="11" t="s">
        <v>171</v>
      </c>
      <c r="C574" s="11" t="s">
        <v>494</v>
      </c>
      <c r="D574" s="12">
        <v>395</v>
      </c>
      <c r="E574"/>
      <c r="F574"/>
      <c r="G574"/>
    </row>
    <row r="575" spans="1:7" x14ac:dyDescent="0.25">
      <c r="A575" s="13">
        <v>5023</v>
      </c>
      <c r="B575" s="11" t="s">
        <v>171</v>
      </c>
      <c r="C575" s="11" t="s">
        <v>494</v>
      </c>
      <c r="D575" s="12">
        <v>310</v>
      </c>
      <c r="E575"/>
      <c r="F575"/>
      <c r="G575"/>
    </row>
    <row r="576" spans="1:7" x14ac:dyDescent="0.25">
      <c r="A576" s="13">
        <v>5024</v>
      </c>
      <c r="B576" s="11" t="s">
        <v>171</v>
      </c>
      <c r="C576" s="11" t="s">
        <v>494</v>
      </c>
      <c r="D576" s="12">
        <v>310</v>
      </c>
      <c r="E576"/>
      <c r="F576"/>
      <c r="G576"/>
    </row>
    <row r="577" spans="1:7" x14ac:dyDescent="0.25">
      <c r="A577" s="13">
        <v>5025</v>
      </c>
      <c r="B577" s="11" t="s">
        <v>171</v>
      </c>
      <c r="C577" s="11" t="s">
        <v>494</v>
      </c>
      <c r="D577" s="12">
        <v>310</v>
      </c>
      <c r="E577"/>
      <c r="F577"/>
      <c r="G577"/>
    </row>
    <row r="578" spans="1:7" x14ac:dyDescent="0.25">
      <c r="A578" s="13">
        <v>5026</v>
      </c>
      <c r="B578" s="11" t="s">
        <v>171</v>
      </c>
      <c r="C578" s="11" t="s">
        <v>494</v>
      </c>
      <c r="D578" s="12">
        <v>310</v>
      </c>
      <c r="E578"/>
      <c r="F578"/>
      <c r="G578"/>
    </row>
    <row r="579" spans="1:7" x14ac:dyDescent="0.25">
      <c r="A579" s="13">
        <v>5027</v>
      </c>
      <c r="B579" s="11" t="s">
        <v>171</v>
      </c>
      <c r="C579" s="11" t="s">
        <v>494</v>
      </c>
      <c r="D579" s="12">
        <v>310</v>
      </c>
      <c r="E579"/>
      <c r="F579"/>
      <c r="G579"/>
    </row>
    <row r="580" spans="1:7" x14ac:dyDescent="0.25">
      <c r="A580" s="13">
        <v>5051</v>
      </c>
      <c r="B580" s="11" t="s">
        <v>171</v>
      </c>
      <c r="C580" s="11" t="s">
        <v>494</v>
      </c>
      <c r="D580" s="12">
        <v>235</v>
      </c>
      <c r="E580"/>
      <c r="F580"/>
      <c r="G580"/>
    </row>
    <row r="581" spans="1:7" x14ac:dyDescent="0.25">
      <c r="A581" s="13">
        <v>5081</v>
      </c>
      <c r="B581" s="11" t="s">
        <v>171</v>
      </c>
      <c r="C581" s="11" t="s">
        <v>494</v>
      </c>
      <c r="D581" s="12">
        <v>265</v>
      </c>
      <c r="E581"/>
      <c r="F581"/>
      <c r="G581"/>
    </row>
    <row r="582" spans="1:7" x14ac:dyDescent="0.25">
      <c r="A582" s="13">
        <v>5082</v>
      </c>
      <c r="B582" s="11" t="s">
        <v>171</v>
      </c>
      <c r="C582" s="11" t="s">
        <v>494</v>
      </c>
      <c r="D582" s="12">
        <v>485</v>
      </c>
      <c r="E582"/>
      <c r="F582"/>
      <c r="G582"/>
    </row>
    <row r="583" spans="1:7" x14ac:dyDescent="0.25">
      <c r="A583" s="13">
        <v>5083</v>
      </c>
      <c r="B583" s="11" t="s">
        <v>171</v>
      </c>
      <c r="C583" s="11" t="s">
        <v>494</v>
      </c>
      <c r="D583" s="12">
        <v>350</v>
      </c>
      <c r="E583"/>
      <c r="F583"/>
      <c r="G583"/>
    </row>
    <row r="584" spans="1:7" x14ac:dyDescent="0.25">
      <c r="A584" s="13">
        <v>5085</v>
      </c>
      <c r="B584" s="11" t="s">
        <v>171</v>
      </c>
      <c r="C584" s="11" t="s">
        <v>494</v>
      </c>
      <c r="D584" s="12">
        <v>320</v>
      </c>
      <c r="E584"/>
      <c r="F584"/>
      <c r="G584"/>
    </row>
    <row r="585" spans="1:7" x14ac:dyDescent="0.25">
      <c r="A585" s="13">
        <v>5086</v>
      </c>
      <c r="B585" s="11" t="s">
        <v>171</v>
      </c>
      <c r="C585" s="11" t="s">
        <v>494</v>
      </c>
      <c r="D585" s="12">
        <v>385</v>
      </c>
      <c r="E585"/>
      <c r="F585"/>
      <c r="G585"/>
    </row>
    <row r="586" spans="1:7" x14ac:dyDescent="0.25">
      <c r="A586" s="13">
        <v>5087</v>
      </c>
      <c r="B586" s="11" t="s">
        <v>171</v>
      </c>
      <c r="C586" s="11" t="s">
        <v>494</v>
      </c>
      <c r="D586" s="12">
        <v>415</v>
      </c>
      <c r="E586"/>
      <c r="F586"/>
      <c r="G586"/>
    </row>
    <row r="587" spans="1:7" x14ac:dyDescent="0.25">
      <c r="A587" s="13">
        <v>5088</v>
      </c>
      <c r="B587" s="11" t="s">
        <v>171</v>
      </c>
      <c r="C587" s="11" t="s">
        <v>494</v>
      </c>
      <c r="D587" s="12">
        <v>375</v>
      </c>
      <c r="E587"/>
      <c r="F587"/>
      <c r="G587"/>
    </row>
    <row r="588" spans="1:7" x14ac:dyDescent="0.25">
      <c r="A588" s="13">
        <v>5089</v>
      </c>
      <c r="B588" s="11" t="s">
        <v>171</v>
      </c>
      <c r="C588" s="11" t="s">
        <v>494</v>
      </c>
      <c r="D588" s="12">
        <v>240</v>
      </c>
      <c r="E588"/>
      <c r="F588"/>
      <c r="G588"/>
    </row>
    <row r="589" spans="1:7" x14ac:dyDescent="0.25">
      <c r="A589" s="13">
        <v>5090</v>
      </c>
      <c r="B589" s="11" t="s">
        <v>171</v>
      </c>
      <c r="C589" s="11" t="s">
        <v>494</v>
      </c>
      <c r="D589" s="12">
        <v>325</v>
      </c>
      <c r="E589"/>
      <c r="F589"/>
      <c r="G589"/>
    </row>
    <row r="590" spans="1:7" x14ac:dyDescent="0.25">
      <c r="A590" s="13">
        <v>5091</v>
      </c>
      <c r="B590" s="11" t="s">
        <v>171</v>
      </c>
      <c r="C590" s="11" t="s">
        <v>494</v>
      </c>
      <c r="D590" s="12">
        <v>360</v>
      </c>
      <c r="E590"/>
      <c r="F590"/>
      <c r="G590"/>
    </row>
    <row r="591" spans="1:7" x14ac:dyDescent="0.25">
      <c r="A591" s="13">
        <v>5092</v>
      </c>
      <c r="B591" s="11" t="s">
        <v>171</v>
      </c>
      <c r="C591" s="11" t="s">
        <v>494</v>
      </c>
      <c r="D591" s="12">
        <v>365</v>
      </c>
      <c r="E591"/>
      <c r="F591"/>
      <c r="G591"/>
    </row>
    <row r="592" spans="1:7" x14ac:dyDescent="0.25">
      <c r="A592" s="13">
        <v>5093</v>
      </c>
      <c r="B592" s="11" t="s">
        <v>171</v>
      </c>
      <c r="C592" s="11" t="s">
        <v>494</v>
      </c>
      <c r="D592" s="12">
        <v>290</v>
      </c>
      <c r="E592"/>
      <c r="F592"/>
      <c r="G592"/>
    </row>
    <row r="593" spans="1:7" x14ac:dyDescent="0.25">
      <c r="A593" s="13">
        <v>5094</v>
      </c>
      <c r="B593" s="11" t="s">
        <v>171</v>
      </c>
      <c r="C593" s="11" t="s">
        <v>494</v>
      </c>
      <c r="D593" s="12">
        <v>445</v>
      </c>
      <c r="E593"/>
      <c r="F593"/>
      <c r="G593"/>
    </row>
    <row r="594" spans="1:7" x14ac:dyDescent="0.25">
      <c r="A594" s="13">
        <v>5101</v>
      </c>
      <c r="B594" s="11" t="s">
        <v>171</v>
      </c>
      <c r="C594" s="11" t="s">
        <v>494</v>
      </c>
      <c r="D594" s="12">
        <v>315</v>
      </c>
      <c r="E594"/>
      <c r="F594"/>
      <c r="G594"/>
    </row>
    <row r="595" spans="1:7" x14ac:dyDescent="0.25">
      <c r="A595" s="13">
        <v>5102</v>
      </c>
      <c r="B595" s="11" t="s">
        <v>171</v>
      </c>
      <c r="C595" s="11" t="s">
        <v>494</v>
      </c>
      <c r="D595" s="12">
        <v>315</v>
      </c>
      <c r="E595"/>
      <c r="F595"/>
      <c r="G595"/>
    </row>
    <row r="596" spans="1:7" x14ac:dyDescent="0.25">
      <c r="A596" s="13">
        <v>5103</v>
      </c>
      <c r="B596" s="11" t="s">
        <v>171</v>
      </c>
      <c r="C596" s="11" t="s">
        <v>494</v>
      </c>
      <c r="D596" s="12">
        <v>310</v>
      </c>
      <c r="E596"/>
      <c r="F596"/>
      <c r="G596"/>
    </row>
    <row r="597" spans="1:7" x14ac:dyDescent="0.25">
      <c r="A597" s="13">
        <v>5221</v>
      </c>
      <c r="B597" s="11" t="s">
        <v>171</v>
      </c>
      <c r="C597" s="11" t="s">
        <v>494</v>
      </c>
      <c r="D597" s="12">
        <v>500</v>
      </c>
      <c r="E597"/>
      <c r="F597"/>
      <c r="G597"/>
    </row>
    <row r="598" spans="1:7" x14ac:dyDescent="0.25">
      <c r="A598" s="13">
        <v>5222</v>
      </c>
      <c r="B598" s="11" t="s">
        <v>171</v>
      </c>
      <c r="C598" s="11" t="s">
        <v>494</v>
      </c>
      <c r="D598" s="12">
        <v>330</v>
      </c>
      <c r="E598"/>
      <c r="F598"/>
      <c r="G598"/>
    </row>
    <row r="599" spans="1:7" x14ac:dyDescent="0.25">
      <c r="A599" s="13">
        <v>5223</v>
      </c>
      <c r="B599" s="11" t="s">
        <v>171</v>
      </c>
      <c r="C599" s="11" t="s">
        <v>494</v>
      </c>
      <c r="D599" s="12">
        <v>400</v>
      </c>
      <c r="E599"/>
      <c r="F599"/>
      <c r="G599"/>
    </row>
    <row r="600" spans="1:7" x14ac:dyDescent="0.25">
      <c r="A600" s="13">
        <v>5224</v>
      </c>
      <c r="B600" s="11" t="s">
        <v>171</v>
      </c>
      <c r="C600" s="11" t="s">
        <v>494</v>
      </c>
      <c r="D600" s="12">
        <v>290</v>
      </c>
      <c r="E600"/>
      <c r="F600"/>
      <c r="G600"/>
    </row>
    <row r="601" spans="1:7" x14ac:dyDescent="0.25">
      <c r="A601" s="13">
        <v>5225</v>
      </c>
      <c r="B601" s="11" t="s">
        <v>171</v>
      </c>
      <c r="C601" s="11" t="s">
        <v>494</v>
      </c>
      <c r="D601" s="12">
        <v>330</v>
      </c>
      <c r="E601"/>
      <c r="F601"/>
      <c r="G601"/>
    </row>
    <row r="602" spans="1:7" x14ac:dyDescent="0.25">
      <c r="A602" s="13">
        <v>5226</v>
      </c>
      <c r="B602" s="11" t="s">
        <v>171</v>
      </c>
      <c r="C602" s="11" t="s">
        <v>494</v>
      </c>
      <c r="D602" s="12">
        <v>510</v>
      </c>
      <c r="E602"/>
      <c r="F602"/>
      <c r="G602"/>
    </row>
    <row r="603" spans="1:7" x14ac:dyDescent="0.25">
      <c r="A603" s="13">
        <v>5227</v>
      </c>
      <c r="B603" s="11" t="s">
        <v>171</v>
      </c>
      <c r="C603" s="11" t="s">
        <v>494</v>
      </c>
      <c r="D603" s="12">
        <v>475</v>
      </c>
      <c r="E603"/>
      <c r="F603"/>
      <c r="G603"/>
    </row>
    <row r="604" spans="1:7" x14ac:dyDescent="0.25">
      <c r="A604" s="13">
        <v>5228</v>
      </c>
      <c r="B604" s="11" t="s">
        <v>171</v>
      </c>
      <c r="C604" s="11" t="s">
        <v>494</v>
      </c>
      <c r="D604" s="12">
        <v>535</v>
      </c>
      <c r="E604"/>
      <c r="F604"/>
      <c r="G604"/>
    </row>
    <row r="605" spans="1:7" x14ac:dyDescent="0.25">
      <c r="A605" s="13">
        <v>5229</v>
      </c>
      <c r="B605" s="11" t="s">
        <v>171</v>
      </c>
      <c r="C605" s="11" t="s">
        <v>494</v>
      </c>
      <c r="D605" s="12">
        <v>535</v>
      </c>
      <c r="E605"/>
      <c r="F605"/>
      <c r="G605"/>
    </row>
    <row r="606" spans="1:7" x14ac:dyDescent="0.25">
      <c r="A606" s="13">
        <v>5230</v>
      </c>
      <c r="B606" s="11" t="s">
        <v>171</v>
      </c>
      <c r="C606" s="11" t="s">
        <v>494</v>
      </c>
      <c r="D606" s="12">
        <v>510</v>
      </c>
      <c r="E606"/>
      <c r="F606"/>
      <c r="G606"/>
    </row>
    <row r="607" spans="1:7" x14ac:dyDescent="0.25">
      <c r="A607" s="13">
        <v>5231</v>
      </c>
      <c r="B607" s="11" t="s">
        <v>171</v>
      </c>
      <c r="C607" s="11" t="s">
        <v>494</v>
      </c>
      <c r="D607" s="12">
        <v>525</v>
      </c>
      <c r="E607"/>
      <c r="F607"/>
      <c r="G607"/>
    </row>
    <row r="608" spans="1:7" x14ac:dyDescent="0.25">
      <c r="A608" s="13">
        <v>5232</v>
      </c>
      <c r="B608" s="11" t="s">
        <v>171</v>
      </c>
      <c r="C608" s="11" t="s">
        <v>494</v>
      </c>
      <c r="D608" s="12">
        <v>675</v>
      </c>
      <c r="E608"/>
      <c r="F608"/>
      <c r="G608"/>
    </row>
    <row r="609" spans="1:7" x14ac:dyDescent="0.25">
      <c r="A609" s="13">
        <v>5233</v>
      </c>
      <c r="B609" s="11" t="s">
        <v>171</v>
      </c>
      <c r="C609" s="11" t="s">
        <v>494</v>
      </c>
      <c r="D609" s="12">
        <v>730</v>
      </c>
      <c r="E609"/>
      <c r="F609"/>
      <c r="G609"/>
    </row>
    <row r="610" spans="1:7" x14ac:dyDescent="0.25">
      <c r="A610" s="13">
        <v>5234</v>
      </c>
      <c r="B610" s="11" t="s">
        <v>171</v>
      </c>
      <c r="C610" s="11" t="s">
        <v>494</v>
      </c>
      <c r="D610" s="12">
        <v>715</v>
      </c>
      <c r="E610"/>
      <c r="F610"/>
      <c r="G610"/>
    </row>
    <row r="611" spans="1:7" x14ac:dyDescent="0.25">
      <c r="A611" s="13">
        <v>5235</v>
      </c>
      <c r="B611" s="11" t="s">
        <v>171</v>
      </c>
      <c r="C611" s="11" t="s">
        <v>494</v>
      </c>
      <c r="D611" s="12">
        <v>160</v>
      </c>
      <c r="E611"/>
      <c r="F611"/>
      <c r="G611"/>
    </row>
    <row r="612" spans="1:7" x14ac:dyDescent="0.25">
      <c r="A612" s="13">
        <v>5236</v>
      </c>
      <c r="B612" s="11" t="s">
        <v>171</v>
      </c>
      <c r="C612" s="11" t="s">
        <v>494</v>
      </c>
      <c r="D612" s="12">
        <v>245</v>
      </c>
      <c r="E612"/>
      <c r="F612"/>
      <c r="G612"/>
    </row>
    <row r="613" spans="1:7" x14ac:dyDescent="0.25">
      <c r="A613" s="13">
        <v>5237</v>
      </c>
      <c r="B613" s="11" t="s">
        <v>171</v>
      </c>
      <c r="C613" s="11" t="s">
        <v>494</v>
      </c>
      <c r="D613" s="12">
        <v>265</v>
      </c>
      <c r="E613"/>
      <c r="F613"/>
      <c r="G613"/>
    </row>
    <row r="614" spans="1:7" x14ac:dyDescent="0.25">
      <c r="A614" s="13">
        <v>5238</v>
      </c>
      <c r="B614" s="11" t="s">
        <v>171</v>
      </c>
      <c r="C614" s="11" t="s">
        <v>494</v>
      </c>
      <c r="D614" s="12">
        <v>215</v>
      </c>
      <c r="E614"/>
      <c r="F614"/>
      <c r="G614"/>
    </row>
    <row r="615" spans="1:7" x14ac:dyDescent="0.25">
      <c r="A615" s="13">
        <v>5239</v>
      </c>
      <c r="B615" s="11" t="s">
        <v>171</v>
      </c>
      <c r="C615" s="11" t="s">
        <v>494</v>
      </c>
      <c r="D615" s="12">
        <v>250</v>
      </c>
      <c r="E615"/>
      <c r="F615"/>
      <c r="G615"/>
    </row>
    <row r="616" spans="1:7" x14ac:dyDescent="0.25">
      <c r="A616" s="13">
        <v>5241</v>
      </c>
      <c r="B616" s="11" t="s">
        <v>171</v>
      </c>
      <c r="C616" s="11" t="s">
        <v>494</v>
      </c>
      <c r="D616" s="12">
        <v>450</v>
      </c>
      <c r="E616"/>
      <c r="F616"/>
      <c r="G616"/>
    </row>
    <row r="617" spans="1:7" x14ac:dyDescent="0.25">
      <c r="A617" s="13">
        <v>5242</v>
      </c>
      <c r="B617" s="11" t="s">
        <v>171</v>
      </c>
      <c r="C617" s="11" t="s">
        <v>494</v>
      </c>
      <c r="D617" s="12">
        <v>450</v>
      </c>
      <c r="E617"/>
      <c r="F617"/>
      <c r="G617"/>
    </row>
    <row r="618" spans="1:7" x14ac:dyDescent="0.25">
      <c r="A618" s="13">
        <v>5243</v>
      </c>
      <c r="B618" s="11" t="s">
        <v>171</v>
      </c>
      <c r="C618" s="11" t="s">
        <v>494</v>
      </c>
      <c r="D618" s="12">
        <v>450</v>
      </c>
      <c r="E618"/>
      <c r="F618"/>
      <c r="G618"/>
    </row>
    <row r="619" spans="1:7" x14ac:dyDescent="0.25">
      <c r="A619" s="13">
        <v>5244</v>
      </c>
      <c r="B619" s="11" t="s">
        <v>171</v>
      </c>
      <c r="C619" s="11" t="s">
        <v>494</v>
      </c>
      <c r="D619" s="12">
        <v>575</v>
      </c>
      <c r="E619"/>
      <c r="F619"/>
      <c r="G619"/>
    </row>
    <row r="620" spans="1:7" x14ac:dyDescent="0.25">
      <c r="A620" s="13">
        <v>5302</v>
      </c>
      <c r="B620" s="11" t="s">
        <v>171</v>
      </c>
      <c r="C620" s="11" t="s">
        <v>494</v>
      </c>
      <c r="D620" s="12">
        <v>240</v>
      </c>
      <c r="E620"/>
      <c r="F620"/>
      <c r="G620"/>
    </row>
    <row r="621" spans="1:7" x14ac:dyDescent="0.25">
      <c r="A621" s="13">
        <v>5303</v>
      </c>
      <c r="B621" s="11" t="s">
        <v>171</v>
      </c>
      <c r="C621" s="11" t="s">
        <v>494</v>
      </c>
      <c r="D621" s="12">
        <v>265</v>
      </c>
      <c r="E621"/>
      <c r="F621"/>
      <c r="G621"/>
    </row>
    <row r="622" spans="1:7" x14ac:dyDescent="0.25">
      <c r="A622" s="13">
        <v>5541</v>
      </c>
      <c r="B622" s="11" t="s">
        <v>171</v>
      </c>
      <c r="C622" s="11" t="s">
        <v>494</v>
      </c>
      <c r="D622" s="12">
        <v>260</v>
      </c>
      <c r="E622"/>
      <c r="F622"/>
      <c r="G622"/>
    </row>
    <row r="623" spans="1:7" x14ac:dyDescent="0.25">
      <c r="A623" s="13">
        <v>5581</v>
      </c>
      <c r="B623" s="11" t="s">
        <v>171</v>
      </c>
      <c r="C623" s="11" t="s">
        <v>494</v>
      </c>
      <c r="D623" s="12">
        <v>615</v>
      </c>
      <c r="E623"/>
      <c r="F623"/>
      <c r="G623"/>
    </row>
    <row r="624" spans="1:7" x14ac:dyDescent="0.25">
      <c r="A624" s="13">
        <v>5582</v>
      </c>
      <c r="B624" s="11" t="s">
        <v>171</v>
      </c>
      <c r="C624" s="11" t="s">
        <v>494</v>
      </c>
      <c r="D624" s="12">
        <v>660</v>
      </c>
      <c r="E624"/>
      <c r="F624"/>
      <c r="G624"/>
    </row>
    <row r="625" spans="1:7" x14ac:dyDescent="0.25">
      <c r="A625" s="13">
        <v>5583</v>
      </c>
      <c r="B625" s="11" t="s">
        <v>171</v>
      </c>
      <c r="C625" s="11" t="s">
        <v>494</v>
      </c>
      <c r="D625" s="12">
        <v>595</v>
      </c>
      <c r="E625"/>
      <c r="F625"/>
      <c r="G625"/>
    </row>
    <row r="626" spans="1:7" x14ac:dyDescent="0.25">
      <c r="A626" s="13">
        <v>5584</v>
      </c>
      <c r="B626" s="11" t="s">
        <v>171</v>
      </c>
      <c r="C626" s="11" t="s">
        <v>494</v>
      </c>
      <c r="D626" s="12">
        <v>470</v>
      </c>
      <c r="E626"/>
      <c r="F626"/>
      <c r="G626"/>
    </row>
    <row r="627" spans="1:7" x14ac:dyDescent="0.25">
      <c r="A627" s="13">
        <v>5585</v>
      </c>
      <c r="B627" s="11" t="s">
        <v>171</v>
      </c>
      <c r="C627" s="11" t="s">
        <v>494</v>
      </c>
      <c r="D627" s="12">
        <v>470</v>
      </c>
      <c r="E627"/>
      <c r="F627"/>
      <c r="G627"/>
    </row>
    <row r="628" spans="1:7" x14ac:dyDescent="0.25">
      <c r="A628" s="13">
        <v>5586</v>
      </c>
      <c r="B628" s="11" t="s">
        <v>171</v>
      </c>
      <c r="C628" s="11" t="s">
        <v>494</v>
      </c>
      <c r="D628" s="12">
        <v>500</v>
      </c>
      <c r="E628"/>
      <c r="F628"/>
      <c r="G628"/>
    </row>
    <row r="629" spans="1:7" x14ac:dyDescent="0.25">
      <c r="A629" s="13">
        <v>5587</v>
      </c>
      <c r="B629" s="11" t="s">
        <v>171</v>
      </c>
      <c r="C629" s="11" t="s">
        <v>494</v>
      </c>
      <c r="D629" s="12">
        <v>525</v>
      </c>
      <c r="E629"/>
      <c r="F629"/>
      <c r="G629"/>
    </row>
    <row r="630" spans="1:7" x14ac:dyDescent="0.25">
      <c r="A630" s="13">
        <v>5588</v>
      </c>
      <c r="B630" s="11" t="s">
        <v>171</v>
      </c>
      <c r="C630" s="11" t="s">
        <v>494</v>
      </c>
      <c r="D630" s="12">
        <v>490</v>
      </c>
      <c r="E630"/>
      <c r="F630"/>
      <c r="G630"/>
    </row>
    <row r="631" spans="1:7" x14ac:dyDescent="0.25">
      <c r="A631" s="13">
        <v>5589</v>
      </c>
      <c r="B631" s="11" t="s">
        <v>171</v>
      </c>
      <c r="C631" s="11" t="s">
        <v>494</v>
      </c>
      <c r="D631" s="12">
        <v>210</v>
      </c>
      <c r="E631"/>
      <c r="F631"/>
      <c r="G631"/>
    </row>
    <row r="632" spans="1:7" x14ac:dyDescent="0.25">
      <c r="A632" s="13">
        <v>5771</v>
      </c>
      <c r="B632" s="11" t="s">
        <v>171</v>
      </c>
      <c r="C632" s="11" t="s">
        <v>494</v>
      </c>
      <c r="D632" s="12">
        <v>670</v>
      </c>
      <c r="E632"/>
      <c r="F632"/>
      <c r="G632"/>
    </row>
    <row r="633" spans="1:7" x14ac:dyDescent="0.25">
      <c r="A633" s="13">
        <v>5772</v>
      </c>
      <c r="B633" s="11" t="s">
        <v>171</v>
      </c>
      <c r="C633" s="11" t="s">
        <v>494</v>
      </c>
      <c r="D633" s="12">
        <v>670</v>
      </c>
      <c r="E633"/>
      <c r="F633"/>
      <c r="G633"/>
    </row>
    <row r="634" spans="1:7" x14ac:dyDescent="0.25">
      <c r="A634" s="13">
        <v>5773</v>
      </c>
      <c r="B634" s="11" t="s">
        <v>171</v>
      </c>
      <c r="C634" s="11" t="s">
        <v>494</v>
      </c>
      <c r="D634" s="12">
        <v>700</v>
      </c>
      <c r="E634"/>
      <c r="F634"/>
      <c r="G634"/>
    </row>
    <row r="635" spans="1:7" x14ac:dyDescent="0.25">
      <c r="A635" s="13">
        <v>5774</v>
      </c>
      <c r="B635" s="11" t="s">
        <v>171</v>
      </c>
      <c r="C635" s="11" t="s">
        <v>494</v>
      </c>
      <c r="D635" s="12">
        <v>590</v>
      </c>
      <c r="E635"/>
      <c r="F635"/>
      <c r="G635"/>
    </row>
    <row r="636" spans="1:7" x14ac:dyDescent="0.25">
      <c r="A636" s="13">
        <v>5783</v>
      </c>
      <c r="B636" s="11" t="s">
        <v>171</v>
      </c>
      <c r="C636" s="11" t="s">
        <v>497</v>
      </c>
      <c r="D636" s="12">
        <v>640</v>
      </c>
      <c r="E636"/>
      <c r="F636"/>
      <c r="G636"/>
    </row>
    <row r="637" spans="1:7" x14ac:dyDescent="0.25">
      <c r="A637" s="13">
        <v>5784</v>
      </c>
      <c r="B637" s="11" t="s">
        <v>171</v>
      </c>
      <c r="C637" s="11" t="s">
        <v>497</v>
      </c>
      <c r="D637" s="12">
        <v>685</v>
      </c>
      <c r="E637"/>
      <c r="F637"/>
      <c r="G637"/>
    </row>
    <row r="638" spans="1:7" x14ac:dyDescent="0.25">
      <c r="A638" s="13">
        <v>5785</v>
      </c>
      <c r="B638" s="11" t="s">
        <v>171</v>
      </c>
      <c r="C638" s="11" t="s">
        <v>497</v>
      </c>
      <c r="D638" s="12">
        <v>770</v>
      </c>
      <c r="E638"/>
      <c r="F638"/>
      <c r="G638"/>
    </row>
    <row r="639" spans="1:7" x14ac:dyDescent="0.25">
      <c r="A639" s="13">
        <v>5786</v>
      </c>
      <c r="B639" s="11" t="s">
        <v>171</v>
      </c>
      <c r="C639" s="11" t="s">
        <v>497</v>
      </c>
      <c r="D639" s="12">
        <v>995</v>
      </c>
      <c r="E639"/>
      <c r="F639"/>
      <c r="G639"/>
    </row>
    <row r="640" spans="1:7" x14ac:dyDescent="0.25">
      <c r="A640" s="13">
        <v>5788</v>
      </c>
      <c r="B640" s="11" t="s">
        <v>171</v>
      </c>
      <c r="C640" s="11" t="s">
        <v>497</v>
      </c>
      <c r="D640" s="12">
        <v>685</v>
      </c>
      <c r="E640"/>
      <c r="F640"/>
      <c r="G640"/>
    </row>
    <row r="641" spans="1:7" x14ac:dyDescent="0.25">
      <c r="A641" s="13">
        <v>5789</v>
      </c>
      <c r="B641" s="11" t="s">
        <v>171</v>
      </c>
      <c r="C641" s="11" t="s">
        <v>497</v>
      </c>
      <c r="D641" s="12">
        <v>1190</v>
      </c>
      <c r="E641"/>
      <c r="F641"/>
      <c r="G641"/>
    </row>
    <row r="642" spans="1:7" x14ac:dyDescent="0.25">
      <c r="A642" s="13">
        <v>5821</v>
      </c>
      <c r="B642" s="11" t="s">
        <v>171</v>
      </c>
      <c r="C642" s="11" t="s">
        <v>494</v>
      </c>
      <c r="D642" s="12">
        <v>295</v>
      </c>
      <c r="E642"/>
      <c r="F642"/>
      <c r="G642"/>
    </row>
    <row r="643" spans="1:7" x14ac:dyDescent="0.25">
      <c r="A643" s="13">
        <v>5822</v>
      </c>
      <c r="B643" s="11" t="s">
        <v>171</v>
      </c>
      <c r="C643" s="11" t="s">
        <v>494</v>
      </c>
      <c r="D643" s="12">
        <v>360</v>
      </c>
      <c r="E643"/>
      <c r="F643"/>
      <c r="G643"/>
    </row>
    <row r="644" spans="1:7" x14ac:dyDescent="0.25">
      <c r="A644" s="13">
        <v>5823</v>
      </c>
      <c r="B644" s="11" t="s">
        <v>171</v>
      </c>
      <c r="C644" s="11" t="s">
        <v>494</v>
      </c>
      <c r="D644" s="12">
        <v>340</v>
      </c>
      <c r="E644"/>
      <c r="F644"/>
      <c r="G644"/>
    </row>
    <row r="645" spans="1:7" x14ac:dyDescent="0.25">
      <c r="A645" s="13">
        <v>8451</v>
      </c>
      <c r="B645" s="11" t="s">
        <v>171</v>
      </c>
      <c r="C645" s="11" t="s">
        <v>497</v>
      </c>
      <c r="D645" s="12">
        <v>910</v>
      </c>
      <c r="E645"/>
      <c r="F645"/>
      <c r="G645"/>
    </row>
    <row r="646" spans="1:7" x14ac:dyDescent="0.25">
      <c r="A646" s="13">
        <v>8511</v>
      </c>
      <c r="B646" s="11" t="s">
        <v>171</v>
      </c>
      <c r="C646" s="11" t="s">
        <v>497</v>
      </c>
      <c r="D646" s="12">
        <v>860</v>
      </c>
      <c r="E646"/>
      <c r="F646"/>
      <c r="G646"/>
    </row>
    <row r="647" spans="1:7" x14ac:dyDescent="0.25">
      <c r="A647" s="13">
        <v>8512</v>
      </c>
      <c r="B647" s="11" t="s">
        <v>171</v>
      </c>
      <c r="C647" s="11" t="s">
        <v>497</v>
      </c>
      <c r="D647" s="12">
        <v>510</v>
      </c>
      <c r="E647"/>
      <c r="F647"/>
      <c r="G647"/>
    </row>
    <row r="648" spans="1:7" x14ac:dyDescent="0.25">
      <c r="A648" s="13">
        <v>8514</v>
      </c>
      <c r="B648" s="11" t="s">
        <v>171</v>
      </c>
      <c r="C648" s="11" t="s">
        <v>497</v>
      </c>
      <c r="D648" s="12">
        <v>1870</v>
      </c>
      <c r="E648"/>
      <c r="F648"/>
      <c r="G648"/>
    </row>
    <row r="649" spans="1:7" x14ac:dyDescent="0.25">
      <c r="A649" s="13">
        <v>8515</v>
      </c>
      <c r="B649" s="11" t="s">
        <v>171</v>
      </c>
      <c r="C649" s="11" t="s">
        <v>494</v>
      </c>
      <c r="D649" s="12">
        <v>490</v>
      </c>
      <c r="E649"/>
      <c r="F649"/>
      <c r="G649"/>
    </row>
    <row r="650" spans="1:7" x14ac:dyDescent="0.25">
      <c r="A650" s="13">
        <v>8516</v>
      </c>
      <c r="B650" s="11" t="s">
        <v>171</v>
      </c>
      <c r="C650" s="11" t="s">
        <v>497</v>
      </c>
      <c r="D650" s="12">
        <v>1530</v>
      </c>
      <c r="E650"/>
      <c r="F650"/>
      <c r="G650"/>
    </row>
    <row r="651" spans="1:7" x14ac:dyDescent="0.25">
      <c r="A651" s="13">
        <v>8517</v>
      </c>
      <c r="B651" s="11" t="s">
        <v>171</v>
      </c>
      <c r="C651" s="11" t="s">
        <v>497</v>
      </c>
      <c r="D651" s="12">
        <v>340</v>
      </c>
      <c r="E651"/>
      <c r="F651"/>
      <c r="G651"/>
    </row>
    <row r="652" spans="1:7" x14ac:dyDescent="0.25">
      <c r="A652" s="13">
        <v>8518</v>
      </c>
      <c r="B652" s="11" t="s">
        <v>171</v>
      </c>
      <c r="C652" s="11" t="s">
        <v>497</v>
      </c>
      <c r="D652" s="12">
        <v>1570</v>
      </c>
      <c r="E652"/>
      <c r="F652"/>
      <c r="G652"/>
    </row>
    <row r="653" spans="1:7" x14ac:dyDescent="0.25">
      <c r="A653" s="13">
        <v>8571</v>
      </c>
      <c r="B653" s="11" t="s">
        <v>171</v>
      </c>
      <c r="C653" s="11" t="s">
        <v>497</v>
      </c>
      <c r="D653" s="12">
        <v>1335</v>
      </c>
      <c r="E653"/>
      <c r="F653"/>
      <c r="G653"/>
    </row>
    <row r="654" spans="1:7" x14ac:dyDescent="0.25">
      <c r="A654" s="13">
        <v>8681</v>
      </c>
      <c r="B654" s="11" t="s">
        <v>171</v>
      </c>
      <c r="C654" s="11" t="s">
        <v>497</v>
      </c>
      <c r="D654" s="12">
        <v>575</v>
      </c>
      <c r="E654"/>
      <c r="F654"/>
      <c r="G654"/>
    </row>
    <row r="655" spans="1:7" x14ac:dyDescent="0.25">
      <c r="A655" s="13">
        <v>8682</v>
      </c>
      <c r="B655" s="11" t="s">
        <v>171</v>
      </c>
      <c r="C655" s="11" t="s">
        <v>494</v>
      </c>
      <c r="D655" s="12">
        <v>815</v>
      </c>
      <c r="E655"/>
      <c r="F655"/>
      <c r="G655"/>
    </row>
    <row r="656" spans="1:7" x14ac:dyDescent="0.25">
      <c r="A656" s="13">
        <v>8683</v>
      </c>
      <c r="B656" s="11" t="s">
        <v>171</v>
      </c>
      <c r="C656" s="11" t="s">
        <v>494</v>
      </c>
      <c r="D656" s="12">
        <v>685</v>
      </c>
      <c r="E656"/>
      <c r="F656"/>
      <c r="G656"/>
    </row>
    <row r="657" spans="1:7" x14ac:dyDescent="0.25">
      <c r="A657" s="13">
        <v>8684</v>
      </c>
      <c r="B657" s="11" t="s">
        <v>171</v>
      </c>
      <c r="C657" s="11" t="s">
        <v>494</v>
      </c>
      <c r="D657" s="12">
        <v>685</v>
      </c>
      <c r="E657"/>
      <c r="F657"/>
      <c r="G657"/>
    </row>
    <row r="658" spans="1:7" x14ac:dyDescent="0.25">
      <c r="A658" s="13" t="s">
        <v>410</v>
      </c>
      <c r="B658" s="11" t="s">
        <v>171</v>
      </c>
      <c r="C658" s="11" t="s">
        <v>496</v>
      </c>
      <c r="D658" s="12">
        <v>240</v>
      </c>
      <c r="E658"/>
      <c r="F658"/>
      <c r="G658"/>
    </row>
    <row r="659" spans="1:7" x14ac:dyDescent="0.25">
      <c r="A659" s="13" t="s">
        <v>411</v>
      </c>
      <c r="B659" s="11" t="s">
        <v>171</v>
      </c>
      <c r="C659" s="11" t="s">
        <v>496</v>
      </c>
      <c r="D659" s="12">
        <v>265</v>
      </c>
      <c r="E659"/>
      <c r="F659"/>
      <c r="G659"/>
    </row>
    <row r="660" spans="1:7" x14ac:dyDescent="0.25">
      <c r="A660" s="13" t="s">
        <v>258</v>
      </c>
      <c r="B660" s="11" t="s">
        <v>171</v>
      </c>
      <c r="C660" s="11" t="s">
        <v>496</v>
      </c>
      <c r="D660" s="12">
        <v>215</v>
      </c>
      <c r="E660"/>
      <c r="F660"/>
      <c r="G660"/>
    </row>
    <row r="661" spans="1:7" x14ac:dyDescent="0.25">
      <c r="A661" s="13" t="s">
        <v>85</v>
      </c>
      <c r="B661" s="11" t="s">
        <v>171</v>
      </c>
      <c r="C661" s="11" t="s">
        <v>496</v>
      </c>
      <c r="D661" s="12">
        <v>365</v>
      </c>
      <c r="E661"/>
      <c r="F661"/>
      <c r="G661"/>
    </row>
    <row r="662" spans="1:7" x14ac:dyDescent="0.25">
      <c r="A662" s="13" t="s">
        <v>86</v>
      </c>
      <c r="B662" s="11" t="s">
        <v>171</v>
      </c>
      <c r="C662" s="11" t="s">
        <v>496</v>
      </c>
      <c r="D662" s="12">
        <v>365</v>
      </c>
      <c r="E662"/>
      <c r="F662"/>
      <c r="G662"/>
    </row>
    <row r="663" spans="1:7" x14ac:dyDescent="0.25">
      <c r="A663" s="13" t="s">
        <v>412</v>
      </c>
      <c r="B663" s="11" t="s">
        <v>171</v>
      </c>
      <c r="C663" s="11" t="s">
        <v>496</v>
      </c>
      <c r="D663" s="12">
        <v>365</v>
      </c>
      <c r="E663"/>
      <c r="F663"/>
      <c r="G663"/>
    </row>
    <row r="664" spans="1:7" x14ac:dyDescent="0.25">
      <c r="A664" s="13" t="s">
        <v>141</v>
      </c>
      <c r="B664" s="11" t="s">
        <v>171</v>
      </c>
      <c r="C664" s="11" t="s">
        <v>496</v>
      </c>
      <c r="D664" s="12">
        <v>385</v>
      </c>
      <c r="E664"/>
      <c r="F664"/>
      <c r="G664"/>
    </row>
    <row r="665" spans="1:7" x14ac:dyDescent="0.25">
      <c r="A665" s="13" t="s">
        <v>354</v>
      </c>
      <c r="B665" s="11" t="s">
        <v>171</v>
      </c>
      <c r="C665" s="11" t="s">
        <v>496</v>
      </c>
      <c r="D665" s="12">
        <v>315</v>
      </c>
      <c r="E665"/>
      <c r="F665"/>
      <c r="G665"/>
    </row>
    <row r="666" spans="1:7" x14ac:dyDescent="0.25">
      <c r="A666" s="13" t="s">
        <v>608</v>
      </c>
      <c r="B666" s="11" t="s">
        <v>171</v>
      </c>
      <c r="C666" s="11" t="s">
        <v>496</v>
      </c>
      <c r="D666" s="12">
        <v>290</v>
      </c>
      <c r="E666"/>
      <c r="F666"/>
      <c r="G666"/>
    </row>
    <row r="667" spans="1:7" x14ac:dyDescent="0.25">
      <c r="A667" s="13" t="s">
        <v>607</v>
      </c>
      <c r="B667" s="11" t="s">
        <v>171</v>
      </c>
      <c r="C667" s="11" t="s">
        <v>496</v>
      </c>
      <c r="D667" s="12">
        <v>290</v>
      </c>
      <c r="E667"/>
      <c r="F667"/>
      <c r="G667"/>
    </row>
    <row r="668" spans="1:7" x14ac:dyDescent="0.25">
      <c r="A668" s="13" t="s">
        <v>356</v>
      </c>
      <c r="B668" s="11" t="s">
        <v>171</v>
      </c>
      <c r="C668" s="11" t="s">
        <v>496</v>
      </c>
      <c r="D668" s="12">
        <v>240</v>
      </c>
      <c r="E668"/>
      <c r="F668"/>
      <c r="G668"/>
    </row>
    <row r="669" spans="1:7" x14ac:dyDescent="0.25">
      <c r="A669" s="13" t="s">
        <v>371</v>
      </c>
      <c r="B669" s="11" t="s">
        <v>171</v>
      </c>
      <c r="C669" s="11" t="s">
        <v>496</v>
      </c>
      <c r="D669" s="12">
        <v>265</v>
      </c>
      <c r="E669"/>
      <c r="F669"/>
      <c r="G669"/>
    </row>
    <row r="670" spans="1:7" x14ac:dyDescent="0.25">
      <c r="A670" s="13" t="s">
        <v>413</v>
      </c>
      <c r="B670" s="11" t="s">
        <v>171</v>
      </c>
      <c r="C670" s="11" t="s">
        <v>496</v>
      </c>
      <c r="D670" s="12">
        <v>240</v>
      </c>
      <c r="E670"/>
      <c r="F670"/>
      <c r="G670"/>
    </row>
    <row r="671" spans="1:7" x14ac:dyDescent="0.25">
      <c r="A671" s="13" t="s">
        <v>611</v>
      </c>
      <c r="B671" s="11" t="s">
        <v>171</v>
      </c>
      <c r="C671" s="11" t="s">
        <v>496</v>
      </c>
      <c r="D671" s="12">
        <v>325</v>
      </c>
      <c r="E671"/>
      <c r="F671"/>
      <c r="G671"/>
    </row>
    <row r="672" spans="1:7" x14ac:dyDescent="0.25">
      <c r="A672" s="13" t="s">
        <v>414</v>
      </c>
      <c r="B672" s="11" t="s">
        <v>171</v>
      </c>
      <c r="C672" s="11" t="s">
        <v>496</v>
      </c>
      <c r="D672" s="12">
        <v>265</v>
      </c>
      <c r="E672"/>
      <c r="F672"/>
      <c r="G672"/>
    </row>
    <row r="673" spans="1:7" x14ac:dyDescent="0.25">
      <c r="A673" s="13" t="s">
        <v>142</v>
      </c>
      <c r="B673" s="11" t="s">
        <v>171</v>
      </c>
      <c r="C673" s="11" t="s">
        <v>496</v>
      </c>
      <c r="D673" s="12">
        <v>315</v>
      </c>
      <c r="E673"/>
      <c r="F673"/>
      <c r="G673"/>
    </row>
    <row r="674" spans="1:7" x14ac:dyDescent="0.25">
      <c r="A674" s="13" t="s">
        <v>143</v>
      </c>
      <c r="B674" s="11" t="s">
        <v>171</v>
      </c>
      <c r="C674" s="11" t="s">
        <v>496</v>
      </c>
      <c r="D674" s="12">
        <v>315</v>
      </c>
      <c r="E674"/>
      <c r="F674"/>
      <c r="G674"/>
    </row>
    <row r="675" spans="1:7" x14ac:dyDescent="0.25">
      <c r="A675" s="13" t="s">
        <v>144</v>
      </c>
      <c r="B675" s="11" t="s">
        <v>171</v>
      </c>
      <c r="C675" s="11" t="s">
        <v>496</v>
      </c>
      <c r="D675" s="12">
        <v>290</v>
      </c>
      <c r="E675"/>
      <c r="F675"/>
      <c r="G675"/>
    </row>
    <row r="676" spans="1:7" x14ac:dyDescent="0.25">
      <c r="A676" s="13" t="s">
        <v>423</v>
      </c>
      <c r="B676" s="11" t="s">
        <v>171</v>
      </c>
      <c r="C676" s="11" t="s">
        <v>496</v>
      </c>
      <c r="D676" s="12">
        <v>265</v>
      </c>
      <c r="E676"/>
      <c r="F676"/>
      <c r="G676"/>
    </row>
    <row r="677" spans="1:7" x14ac:dyDescent="0.25">
      <c r="A677" s="13" t="s">
        <v>363</v>
      </c>
      <c r="B677" s="11" t="s">
        <v>171</v>
      </c>
      <c r="C677" s="11" t="s">
        <v>496</v>
      </c>
      <c r="D677" s="12">
        <v>300</v>
      </c>
      <c r="E677"/>
      <c r="F677"/>
      <c r="G677"/>
    </row>
    <row r="678" spans="1:7" x14ac:dyDescent="0.25">
      <c r="A678" s="13" t="s">
        <v>415</v>
      </c>
      <c r="B678" s="11" t="s">
        <v>171</v>
      </c>
      <c r="C678" s="11" t="s">
        <v>496</v>
      </c>
      <c r="D678" s="12">
        <v>265</v>
      </c>
      <c r="E678"/>
      <c r="F678"/>
      <c r="G678"/>
    </row>
    <row r="679" spans="1:7" x14ac:dyDescent="0.25">
      <c r="A679" s="13" t="s">
        <v>610</v>
      </c>
      <c r="B679" s="11" t="s">
        <v>171</v>
      </c>
      <c r="C679" s="11" t="s">
        <v>496</v>
      </c>
      <c r="D679" s="12">
        <v>250</v>
      </c>
      <c r="E679"/>
      <c r="F679"/>
      <c r="G679"/>
    </row>
    <row r="680" spans="1:7" x14ac:dyDescent="0.25">
      <c r="A680" s="13" t="s">
        <v>145</v>
      </c>
      <c r="B680" s="11" t="s">
        <v>171</v>
      </c>
      <c r="C680" s="11" t="s">
        <v>496</v>
      </c>
      <c r="D680" s="12">
        <v>315</v>
      </c>
      <c r="E680"/>
      <c r="F680"/>
      <c r="G680"/>
    </row>
    <row r="681" spans="1:7" x14ac:dyDescent="0.25">
      <c r="A681" s="13" t="s">
        <v>353</v>
      </c>
      <c r="B681" s="11" t="s">
        <v>171</v>
      </c>
      <c r="C681" s="11" t="s">
        <v>496</v>
      </c>
      <c r="D681" s="12">
        <v>300</v>
      </c>
      <c r="E681"/>
      <c r="F681"/>
      <c r="G681"/>
    </row>
    <row r="682" spans="1:7" x14ac:dyDescent="0.25">
      <c r="A682" s="13" t="s">
        <v>364</v>
      </c>
      <c r="B682" s="11" t="s">
        <v>171</v>
      </c>
      <c r="C682" s="11" t="s">
        <v>496</v>
      </c>
      <c r="D682" s="12">
        <v>250</v>
      </c>
      <c r="E682"/>
      <c r="F682"/>
      <c r="G682"/>
    </row>
    <row r="683" spans="1:7" x14ac:dyDescent="0.25">
      <c r="A683" s="13" t="s">
        <v>357</v>
      </c>
      <c r="B683" s="11" t="s">
        <v>171</v>
      </c>
      <c r="C683" s="11" t="s">
        <v>496</v>
      </c>
      <c r="D683" s="12">
        <v>310</v>
      </c>
      <c r="E683"/>
      <c r="F683"/>
      <c r="G683"/>
    </row>
    <row r="684" spans="1:7" x14ac:dyDescent="0.25">
      <c r="A684" s="13" t="s">
        <v>405</v>
      </c>
      <c r="B684" s="11" t="s">
        <v>171</v>
      </c>
      <c r="C684" s="11" t="s">
        <v>496</v>
      </c>
      <c r="D684" s="12">
        <v>225</v>
      </c>
      <c r="E684"/>
      <c r="F684"/>
      <c r="G684"/>
    </row>
    <row r="685" spans="1:7" x14ac:dyDescent="0.25">
      <c r="A685" s="13" t="s">
        <v>359</v>
      </c>
      <c r="B685" s="11" t="s">
        <v>171</v>
      </c>
      <c r="C685" s="11" t="s">
        <v>496</v>
      </c>
      <c r="D685" s="12">
        <v>290</v>
      </c>
      <c r="E685"/>
      <c r="F685"/>
      <c r="G685"/>
    </row>
    <row r="686" spans="1:7" x14ac:dyDescent="0.25">
      <c r="A686" s="13" t="s">
        <v>409</v>
      </c>
      <c r="B686" s="11" t="s">
        <v>171</v>
      </c>
      <c r="C686" s="11" t="s">
        <v>496</v>
      </c>
      <c r="D686" s="12">
        <v>290</v>
      </c>
      <c r="E686"/>
      <c r="F686"/>
      <c r="G686"/>
    </row>
    <row r="687" spans="1:7" x14ac:dyDescent="0.25">
      <c r="A687" s="13" t="s">
        <v>271</v>
      </c>
      <c r="B687" s="11" t="s">
        <v>171</v>
      </c>
      <c r="C687" s="11" t="s">
        <v>496</v>
      </c>
      <c r="D687" s="12">
        <v>315</v>
      </c>
      <c r="E687"/>
      <c r="F687"/>
      <c r="G687"/>
    </row>
    <row r="688" spans="1:7" x14ac:dyDescent="0.25">
      <c r="A688" s="13" t="s">
        <v>274</v>
      </c>
      <c r="B688" s="11" t="s">
        <v>171</v>
      </c>
      <c r="C688" s="11" t="s">
        <v>496</v>
      </c>
      <c r="D688" s="12">
        <v>315</v>
      </c>
      <c r="E688"/>
      <c r="F688"/>
      <c r="G688"/>
    </row>
    <row r="689" spans="1:7" x14ac:dyDescent="0.25">
      <c r="A689" s="13" t="s">
        <v>140</v>
      </c>
      <c r="B689" s="11" t="s">
        <v>171</v>
      </c>
      <c r="C689" s="11" t="s">
        <v>496</v>
      </c>
      <c r="D689" s="12">
        <v>300</v>
      </c>
      <c r="E689"/>
      <c r="F689"/>
      <c r="G689"/>
    </row>
    <row r="690" spans="1:7" x14ac:dyDescent="0.25">
      <c r="A690" s="13" t="s">
        <v>365</v>
      </c>
      <c r="B690" s="11" t="s">
        <v>171</v>
      </c>
      <c r="C690" s="11" t="s">
        <v>496</v>
      </c>
      <c r="D690" s="12">
        <v>310</v>
      </c>
      <c r="E690"/>
      <c r="F690"/>
      <c r="G690"/>
    </row>
    <row r="691" spans="1:7" x14ac:dyDescent="0.25">
      <c r="A691" s="13" t="s">
        <v>270</v>
      </c>
      <c r="B691" s="11" t="s">
        <v>171</v>
      </c>
      <c r="C691" s="11" t="s">
        <v>496</v>
      </c>
      <c r="D691" s="12">
        <v>290</v>
      </c>
      <c r="E691"/>
      <c r="F691"/>
      <c r="G691"/>
    </row>
    <row r="692" spans="1:7" x14ac:dyDescent="0.25">
      <c r="A692" s="13" t="s">
        <v>352</v>
      </c>
      <c r="B692" s="11" t="s">
        <v>171</v>
      </c>
      <c r="C692" s="11" t="s">
        <v>496</v>
      </c>
      <c r="D692" s="12">
        <v>275</v>
      </c>
      <c r="E692"/>
      <c r="F692"/>
      <c r="G692"/>
    </row>
    <row r="693" spans="1:7" x14ac:dyDescent="0.25">
      <c r="A693" s="13" t="s">
        <v>416</v>
      </c>
      <c r="B693" s="11" t="s">
        <v>171</v>
      </c>
      <c r="C693" s="11" t="s">
        <v>496</v>
      </c>
      <c r="D693" s="12">
        <v>240</v>
      </c>
      <c r="E693"/>
      <c r="F693"/>
      <c r="G693"/>
    </row>
    <row r="694" spans="1:7" x14ac:dyDescent="0.25">
      <c r="A694" s="13" t="s">
        <v>361</v>
      </c>
      <c r="B694" s="11" t="s">
        <v>171</v>
      </c>
      <c r="C694" s="11" t="s">
        <v>496</v>
      </c>
      <c r="D694" s="12">
        <v>275</v>
      </c>
      <c r="E694"/>
      <c r="F694"/>
      <c r="G694"/>
    </row>
    <row r="695" spans="1:7" x14ac:dyDescent="0.25">
      <c r="A695" s="13" t="s">
        <v>406</v>
      </c>
      <c r="B695" s="11" t="s">
        <v>171</v>
      </c>
      <c r="C695" s="11" t="s">
        <v>496</v>
      </c>
      <c r="D695" s="12">
        <v>265</v>
      </c>
      <c r="E695"/>
      <c r="F695"/>
      <c r="G695"/>
    </row>
    <row r="696" spans="1:7" x14ac:dyDescent="0.25">
      <c r="A696" s="13" t="s">
        <v>355</v>
      </c>
      <c r="B696" s="11" t="s">
        <v>171</v>
      </c>
      <c r="C696" s="11" t="s">
        <v>496</v>
      </c>
      <c r="D696" s="12">
        <v>290</v>
      </c>
      <c r="E696"/>
      <c r="F696"/>
      <c r="G696"/>
    </row>
    <row r="697" spans="1:7" x14ac:dyDescent="0.25">
      <c r="A697" s="13" t="s">
        <v>369</v>
      </c>
      <c r="B697" s="11" t="s">
        <v>171</v>
      </c>
      <c r="C697" s="11" t="s">
        <v>496</v>
      </c>
      <c r="D697" s="12">
        <v>200</v>
      </c>
      <c r="E697"/>
      <c r="F697"/>
      <c r="G697"/>
    </row>
    <row r="698" spans="1:7" x14ac:dyDescent="0.25">
      <c r="A698" s="13" t="s">
        <v>417</v>
      </c>
      <c r="B698" s="11" t="s">
        <v>171</v>
      </c>
      <c r="C698" s="11" t="s">
        <v>496</v>
      </c>
      <c r="D698" s="12">
        <v>290</v>
      </c>
      <c r="E698"/>
      <c r="F698"/>
      <c r="G698"/>
    </row>
    <row r="699" spans="1:7" x14ac:dyDescent="0.25">
      <c r="A699" s="13" t="s">
        <v>418</v>
      </c>
      <c r="B699" s="11" t="s">
        <v>171</v>
      </c>
      <c r="C699" s="11" t="s">
        <v>496</v>
      </c>
      <c r="D699" s="12">
        <v>290</v>
      </c>
      <c r="E699"/>
      <c r="F699"/>
      <c r="G699"/>
    </row>
    <row r="700" spans="1:7" x14ac:dyDescent="0.25">
      <c r="A700" s="13" t="s">
        <v>419</v>
      </c>
      <c r="B700" s="11" t="s">
        <v>171</v>
      </c>
      <c r="C700" s="11" t="s">
        <v>496</v>
      </c>
      <c r="D700" s="12">
        <v>240</v>
      </c>
      <c r="E700"/>
      <c r="F700"/>
      <c r="G700"/>
    </row>
    <row r="701" spans="1:7" x14ac:dyDescent="0.25">
      <c r="A701" s="13" t="s">
        <v>612</v>
      </c>
      <c r="B701" s="11" t="s">
        <v>171</v>
      </c>
      <c r="C701" s="11" t="s">
        <v>496</v>
      </c>
      <c r="D701" s="12">
        <v>315</v>
      </c>
      <c r="E701"/>
      <c r="F701"/>
      <c r="G701"/>
    </row>
    <row r="702" spans="1:7" x14ac:dyDescent="0.25">
      <c r="A702" s="13" t="s">
        <v>349</v>
      </c>
      <c r="B702" s="11" t="s">
        <v>171</v>
      </c>
      <c r="C702" s="11" t="s">
        <v>496</v>
      </c>
      <c r="D702" s="12">
        <v>350</v>
      </c>
      <c r="E702"/>
      <c r="F702"/>
      <c r="G702"/>
    </row>
    <row r="703" spans="1:7" x14ac:dyDescent="0.25">
      <c r="A703" s="13" t="s">
        <v>596</v>
      </c>
      <c r="B703" s="11" t="s">
        <v>171</v>
      </c>
      <c r="C703" s="11" t="s">
        <v>496</v>
      </c>
      <c r="D703" s="12">
        <v>300</v>
      </c>
      <c r="E703"/>
      <c r="F703"/>
      <c r="G703"/>
    </row>
    <row r="704" spans="1:7" x14ac:dyDescent="0.25">
      <c r="A704" s="13" t="s">
        <v>350</v>
      </c>
      <c r="B704" s="11" t="s">
        <v>171</v>
      </c>
      <c r="C704" s="11" t="s">
        <v>496</v>
      </c>
      <c r="D704" s="12">
        <v>375</v>
      </c>
      <c r="E704"/>
      <c r="F704"/>
      <c r="G704"/>
    </row>
    <row r="705" spans="1:7" x14ac:dyDescent="0.25">
      <c r="A705" s="13" t="s">
        <v>264</v>
      </c>
      <c r="B705" s="11" t="s">
        <v>171</v>
      </c>
      <c r="C705" s="11" t="s">
        <v>496</v>
      </c>
      <c r="D705" s="12">
        <v>225</v>
      </c>
      <c r="E705"/>
      <c r="F705"/>
      <c r="G705"/>
    </row>
    <row r="706" spans="1:7" x14ac:dyDescent="0.25">
      <c r="A706" s="13" t="s">
        <v>272</v>
      </c>
      <c r="B706" s="11" t="s">
        <v>171</v>
      </c>
      <c r="C706" s="11" t="s">
        <v>496</v>
      </c>
      <c r="D706" s="12">
        <v>290</v>
      </c>
      <c r="E706"/>
      <c r="F706"/>
      <c r="G706"/>
    </row>
    <row r="707" spans="1:7" x14ac:dyDescent="0.25">
      <c r="A707" s="13" t="s">
        <v>273</v>
      </c>
      <c r="B707" s="11" t="s">
        <v>171</v>
      </c>
      <c r="C707" s="11" t="s">
        <v>496</v>
      </c>
      <c r="D707" s="12">
        <v>290</v>
      </c>
      <c r="E707"/>
      <c r="F707"/>
      <c r="G707"/>
    </row>
    <row r="708" spans="1:7" x14ac:dyDescent="0.25">
      <c r="A708" s="13" t="s">
        <v>367</v>
      </c>
      <c r="B708" s="11" t="s">
        <v>171</v>
      </c>
      <c r="C708" s="11" t="s">
        <v>496</v>
      </c>
      <c r="D708" s="12">
        <v>325</v>
      </c>
      <c r="E708"/>
      <c r="F708"/>
      <c r="G708"/>
    </row>
    <row r="709" spans="1:7" x14ac:dyDescent="0.25">
      <c r="A709" s="13" t="s">
        <v>601</v>
      </c>
      <c r="B709" s="11" t="s">
        <v>171</v>
      </c>
      <c r="C709" s="11" t="s">
        <v>496</v>
      </c>
      <c r="D709" s="12">
        <v>300</v>
      </c>
      <c r="E709"/>
      <c r="F709"/>
      <c r="G709"/>
    </row>
    <row r="710" spans="1:7" x14ac:dyDescent="0.25">
      <c r="A710" s="13" t="s">
        <v>358</v>
      </c>
      <c r="B710" s="11" t="s">
        <v>171</v>
      </c>
      <c r="C710" s="11" t="s">
        <v>496</v>
      </c>
      <c r="D710" s="12">
        <v>325</v>
      </c>
      <c r="E710"/>
      <c r="F710"/>
      <c r="G710"/>
    </row>
    <row r="711" spans="1:7" x14ac:dyDescent="0.25">
      <c r="A711" s="13" t="s">
        <v>420</v>
      </c>
      <c r="B711" s="11" t="s">
        <v>171</v>
      </c>
      <c r="C711" s="11" t="s">
        <v>496</v>
      </c>
      <c r="D711" s="12">
        <v>240</v>
      </c>
      <c r="E711"/>
      <c r="F711"/>
      <c r="G711"/>
    </row>
    <row r="712" spans="1:7" x14ac:dyDescent="0.25">
      <c r="A712" s="13" t="s">
        <v>366</v>
      </c>
      <c r="B712" s="11" t="s">
        <v>171</v>
      </c>
      <c r="C712" s="11" t="s">
        <v>496</v>
      </c>
      <c r="D712" s="12">
        <v>250</v>
      </c>
      <c r="E712"/>
      <c r="F712"/>
      <c r="G712"/>
    </row>
    <row r="713" spans="1:7" x14ac:dyDescent="0.25">
      <c r="A713" s="13" t="s">
        <v>599</v>
      </c>
      <c r="B713" s="11" t="s">
        <v>171</v>
      </c>
      <c r="C713" s="11" t="s">
        <v>496</v>
      </c>
      <c r="D713" s="12">
        <v>315</v>
      </c>
      <c r="E713"/>
      <c r="F713"/>
      <c r="G713"/>
    </row>
    <row r="714" spans="1:7" x14ac:dyDescent="0.25">
      <c r="A714" s="13" t="s">
        <v>146</v>
      </c>
      <c r="B714" s="11" t="s">
        <v>171</v>
      </c>
      <c r="C714" s="11" t="s">
        <v>496</v>
      </c>
      <c r="D714" s="12">
        <v>315</v>
      </c>
      <c r="E714"/>
      <c r="F714"/>
      <c r="G714"/>
    </row>
    <row r="715" spans="1:7" x14ac:dyDescent="0.25">
      <c r="A715" s="13" t="s">
        <v>147</v>
      </c>
      <c r="B715" s="11" t="s">
        <v>171</v>
      </c>
      <c r="C715" s="11" t="s">
        <v>496</v>
      </c>
      <c r="D715" s="12">
        <v>290</v>
      </c>
      <c r="E715"/>
      <c r="F715"/>
      <c r="G715"/>
    </row>
    <row r="716" spans="1:7" x14ac:dyDescent="0.25">
      <c r="A716" s="13" t="s">
        <v>148</v>
      </c>
      <c r="B716" s="11" t="s">
        <v>171</v>
      </c>
      <c r="C716" s="11" t="s">
        <v>496</v>
      </c>
      <c r="D716" s="12">
        <v>290</v>
      </c>
      <c r="E716"/>
      <c r="F716"/>
      <c r="G716"/>
    </row>
    <row r="717" spans="1:7" x14ac:dyDescent="0.25">
      <c r="A717" s="13" t="s">
        <v>149</v>
      </c>
      <c r="B717" s="11" t="s">
        <v>171</v>
      </c>
      <c r="C717" s="11" t="s">
        <v>496</v>
      </c>
      <c r="D717" s="12">
        <v>290</v>
      </c>
      <c r="E717"/>
      <c r="F717"/>
      <c r="G717"/>
    </row>
    <row r="718" spans="1:7" x14ac:dyDescent="0.25">
      <c r="A718" s="13" t="s">
        <v>260</v>
      </c>
      <c r="B718" s="11" t="s">
        <v>171</v>
      </c>
      <c r="C718" s="11" t="s">
        <v>496</v>
      </c>
      <c r="D718" s="12">
        <v>150</v>
      </c>
      <c r="E718"/>
      <c r="F718"/>
      <c r="G718"/>
    </row>
    <row r="719" spans="1:7" x14ac:dyDescent="0.25">
      <c r="A719" s="13" t="s">
        <v>348</v>
      </c>
      <c r="B719" s="11" t="s">
        <v>171</v>
      </c>
      <c r="C719" s="11" t="s">
        <v>496</v>
      </c>
      <c r="D719" s="12">
        <v>125</v>
      </c>
      <c r="E719"/>
      <c r="F719"/>
      <c r="G719"/>
    </row>
    <row r="720" spans="1:7" x14ac:dyDescent="0.25">
      <c r="A720" s="13" t="s">
        <v>351</v>
      </c>
      <c r="B720" s="11" t="s">
        <v>171</v>
      </c>
      <c r="C720" s="11" t="s">
        <v>496</v>
      </c>
      <c r="D720" s="12">
        <v>575</v>
      </c>
      <c r="E720"/>
      <c r="F720"/>
      <c r="G720"/>
    </row>
    <row r="721" spans="1:7" x14ac:dyDescent="0.25">
      <c r="A721" s="13" t="s">
        <v>368</v>
      </c>
      <c r="B721" s="11" t="s">
        <v>171</v>
      </c>
      <c r="C721" s="11" t="s">
        <v>496</v>
      </c>
      <c r="D721" s="12">
        <v>590</v>
      </c>
      <c r="E721"/>
      <c r="F721"/>
      <c r="G721"/>
    </row>
    <row r="722" spans="1:7" x14ac:dyDescent="0.25">
      <c r="A722" s="13" t="s">
        <v>266</v>
      </c>
      <c r="B722" s="11" t="s">
        <v>171</v>
      </c>
      <c r="C722" s="11" t="s">
        <v>496</v>
      </c>
      <c r="D722" s="12">
        <v>295</v>
      </c>
      <c r="E722"/>
      <c r="F722"/>
      <c r="G722"/>
    </row>
    <row r="723" spans="1:7" x14ac:dyDescent="0.25">
      <c r="A723" s="13" t="s">
        <v>268</v>
      </c>
      <c r="B723" s="11" t="s">
        <v>171</v>
      </c>
      <c r="C723" s="11" t="s">
        <v>496</v>
      </c>
      <c r="D723" s="12">
        <v>275</v>
      </c>
      <c r="E723"/>
      <c r="F723"/>
      <c r="G723"/>
    </row>
    <row r="724" spans="1:7" x14ac:dyDescent="0.25">
      <c r="A724" s="13" t="s">
        <v>360</v>
      </c>
      <c r="B724" s="11" t="s">
        <v>171</v>
      </c>
      <c r="C724" s="11" t="s">
        <v>496</v>
      </c>
      <c r="D724" s="12">
        <v>290</v>
      </c>
      <c r="F724"/>
      <c r="G724"/>
    </row>
    <row r="725" spans="1:7" x14ac:dyDescent="0.25">
      <c r="A725" s="13" t="s">
        <v>275</v>
      </c>
      <c r="B725" s="11" t="s">
        <v>171</v>
      </c>
      <c r="C725" s="11" t="s">
        <v>496</v>
      </c>
      <c r="D725" s="12">
        <v>300</v>
      </c>
      <c r="F725"/>
      <c r="G725"/>
    </row>
    <row r="726" spans="1:7" x14ac:dyDescent="0.25">
      <c r="A726" s="13" t="s">
        <v>605</v>
      </c>
      <c r="B726" s="11" t="s">
        <v>171</v>
      </c>
      <c r="C726" s="11" t="s">
        <v>496</v>
      </c>
      <c r="D726" s="12">
        <v>365</v>
      </c>
      <c r="F726"/>
      <c r="G726"/>
    </row>
    <row r="727" spans="1:7" x14ac:dyDescent="0.25">
      <c r="A727" s="13" t="s">
        <v>262</v>
      </c>
      <c r="B727" s="11" t="s">
        <v>171</v>
      </c>
      <c r="C727" s="11" t="s">
        <v>496</v>
      </c>
      <c r="D727" s="12">
        <v>170</v>
      </c>
      <c r="F727"/>
      <c r="G727"/>
    </row>
    <row r="728" spans="1:7" x14ac:dyDescent="0.25">
      <c r="A728" s="13" t="s">
        <v>150</v>
      </c>
      <c r="B728" s="11" t="s">
        <v>171</v>
      </c>
      <c r="C728" s="11" t="s">
        <v>496</v>
      </c>
      <c r="D728" s="12">
        <v>300</v>
      </c>
      <c r="F728"/>
      <c r="G728"/>
    </row>
    <row r="729" spans="1:7" x14ac:dyDescent="0.25">
      <c r="A729" s="13" t="s">
        <v>593</v>
      </c>
      <c r="B729" s="11" t="s">
        <v>171</v>
      </c>
      <c r="C729" s="11" t="s">
        <v>496</v>
      </c>
      <c r="D729" s="12">
        <v>240</v>
      </c>
      <c r="F729"/>
      <c r="G729"/>
    </row>
    <row r="730" spans="1:7" x14ac:dyDescent="0.25">
      <c r="A730" s="13" t="s">
        <v>594</v>
      </c>
      <c r="B730" s="11" t="s">
        <v>171</v>
      </c>
      <c r="C730" s="11" t="s">
        <v>496</v>
      </c>
      <c r="D730" s="12">
        <v>240</v>
      </c>
      <c r="F730"/>
      <c r="G730"/>
    </row>
    <row r="731" spans="1:7" x14ac:dyDescent="0.25">
      <c r="A731" s="13" t="s">
        <v>592</v>
      </c>
      <c r="B731" s="11" t="s">
        <v>171</v>
      </c>
      <c r="C731" s="11" t="s">
        <v>496</v>
      </c>
      <c r="D731" s="12">
        <v>325</v>
      </c>
      <c r="F731"/>
      <c r="G731"/>
    </row>
    <row r="732" spans="1:7" x14ac:dyDescent="0.25">
      <c r="A732" s="13" t="s">
        <v>590</v>
      </c>
      <c r="B732" s="11" t="s">
        <v>171</v>
      </c>
      <c r="C732" s="11" t="s">
        <v>496</v>
      </c>
      <c r="D732" s="12">
        <v>275</v>
      </c>
      <c r="F732"/>
      <c r="G732"/>
    </row>
    <row r="733" spans="1:7" x14ac:dyDescent="0.25">
      <c r="A733" s="13" t="s">
        <v>591</v>
      </c>
      <c r="B733" s="11" t="s">
        <v>171</v>
      </c>
      <c r="C733" s="11" t="s">
        <v>496</v>
      </c>
      <c r="D733" s="12">
        <v>240</v>
      </c>
    </row>
    <row r="734" spans="1:7" x14ac:dyDescent="0.25">
      <c r="A734" s="13" t="s">
        <v>586</v>
      </c>
      <c r="B734" s="11" t="s">
        <v>171</v>
      </c>
      <c r="C734" s="11" t="s">
        <v>496</v>
      </c>
      <c r="D734" s="12">
        <v>315</v>
      </c>
    </row>
    <row r="735" spans="1:7" x14ac:dyDescent="0.25">
      <c r="A735" s="13" t="s">
        <v>585</v>
      </c>
      <c r="B735" s="11" t="s">
        <v>171</v>
      </c>
      <c r="C735" s="11" t="s">
        <v>496</v>
      </c>
      <c r="D735" s="12">
        <v>285</v>
      </c>
    </row>
    <row r="736" spans="1:7" x14ac:dyDescent="0.25">
      <c r="A736" s="13" t="s">
        <v>589</v>
      </c>
      <c r="B736" s="11" t="s">
        <v>171</v>
      </c>
      <c r="C736" s="11" t="s">
        <v>496</v>
      </c>
      <c r="D736" s="12">
        <v>235</v>
      </c>
    </row>
    <row r="737" spans="1:4" x14ac:dyDescent="0.25">
      <c r="A737" s="13" t="s">
        <v>588</v>
      </c>
      <c r="B737" s="11" t="s">
        <v>171</v>
      </c>
      <c r="C737" s="11" t="s">
        <v>496</v>
      </c>
      <c r="D737" s="12">
        <v>235</v>
      </c>
    </row>
    <row r="738" spans="1:4" x14ac:dyDescent="0.25">
      <c r="A738" s="13" t="s">
        <v>587</v>
      </c>
      <c r="B738" s="11" t="s">
        <v>171</v>
      </c>
      <c r="C738" s="11" t="s">
        <v>496</v>
      </c>
      <c r="D738" s="12">
        <v>265</v>
      </c>
    </row>
    <row r="739" spans="1:4" x14ac:dyDescent="0.25">
      <c r="A739" s="13">
        <v>5590</v>
      </c>
      <c r="D739" s="12">
        <v>210</v>
      </c>
    </row>
  </sheetData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horizontalDpi="0" verticalDpi="0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2D90C-DE68-4E0C-8465-FEFF4ED6C231}">
  <dimension ref="A1:I893"/>
  <sheetViews>
    <sheetView workbookViewId="0">
      <selection activeCell="A19" sqref="A19"/>
    </sheetView>
  </sheetViews>
  <sheetFormatPr defaultRowHeight="15.75" x14ac:dyDescent="0.25"/>
  <cols>
    <col min="1" max="1" width="44" style="13" bestFit="1" customWidth="1"/>
    <col min="2" max="2" width="8.42578125" style="11" bestFit="1" customWidth="1"/>
    <col min="3" max="3" width="14.140625" style="11" bestFit="1" customWidth="1"/>
    <col min="4" max="4" width="9" style="12" bestFit="1" customWidth="1"/>
    <col min="5" max="5" width="10.42578125" style="12" bestFit="1" customWidth="1"/>
    <col min="6" max="6" width="11.42578125" style="12" bestFit="1" customWidth="1"/>
    <col min="7" max="7" width="12.42578125" style="12" bestFit="1" customWidth="1"/>
    <col min="8" max="9" width="11.140625" style="12" bestFit="1" customWidth="1"/>
  </cols>
  <sheetData>
    <row r="1" spans="1:9" x14ac:dyDescent="0.25">
      <c r="A1" s="13" t="s">
        <v>696</v>
      </c>
      <c r="B1" s="11" t="s">
        <v>427</v>
      </c>
      <c r="C1" s="11" t="s">
        <v>503</v>
      </c>
      <c r="D1" s="12" t="s">
        <v>432</v>
      </c>
      <c r="E1"/>
      <c r="F1"/>
      <c r="G1"/>
      <c r="H1"/>
      <c r="I1"/>
    </row>
    <row r="2" spans="1:9" x14ac:dyDescent="0.25">
      <c r="A2" s="13">
        <v>120</v>
      </c>
      <c r="B2" s="11" t="s">
        <v>287</v>
      </c>
      <c r="C2" s="11" t="s">
        <v>167</v>
      </c>
      <c r="D2" s="12">
        <v>900</v>
      </c>
      <c r="E2"/>
      <c r="F2"/>
      <c r="G2"/>
      <c r="H2"/>
      <c r="I2"/>
    </row>
    <row r="3" spans="1:9" x14ac:dyDescent="0.25">
      <c r="A3" s="13">
        <v>121</v>
      </c>
      <c r="B3" s="11" t="s">
        <v>287</v>
      </c>
      <c r="C3" s="11" t="s">
        <v>497</v>
      </c>
      <c r="D3" s="12">
        <v>6000</v>
      </c>
      <c r="E3"/>
      <c r="F3"/>
      <c r="G3"/>
      <c r="H3"/>
      <c r="I3"/>
    </row>
    <row r="4" spans="1:9" x14ac:dyDescent="0.25">
      <c r="A4" s="13">
        <v>122</v>
      </c>
      <c r="B4" s="11" t="s">
        <v>287</v>
      </c>
      <c r="C4" s="11" t="s">
        <v>497</v>
      </c>
      <c r="D4" s="12">
        <v>1850</v>
      </c>
      <c r="E4"/>
      <c r="F4"/>
      <c r="G4"/>
      <c r="H4"/>
      <c r="I4"/>
    </row>
    <row r="5" spans="1:9" x14ac:dyDescent="0.25">
      <c r="A5" s="13">
        <v>123</v>
      </c>
      <c r="B5" s="11" t="s">
        <v>287</v>
      </c>
      <c r="C5" s="11" t="s">
        <v>497</v>
      </c>
      <c r="D5" s="12">
        <v>2450</v>
      </c>
      <c r="E5"/>
      <c r="F5"/>
      <c r="G5"/>
      <c r="H5"/>
      <c r="I5"/>
    </row>
    <row r="6" spans="1:9" x14ac:dyDescent="0.25">
      <c r="A6" s="13">
        <v>127</v>
      </c>
      <c r="B6" s="11" t="s">
        <v>287</v>
      </c>
      <c r="C6" s="11" t="s">
        <v>497</v>
      </c>
      <c r="D6" s="12">
        <v>1775</v>
      </c>
      <c r="E6"/>
      <c r="F6"/>
      <c r="G6"/>
      <c r="H6"/>
      <c r="I6"/>
    </row>
    <row r="7" spans="1:9" x14ac:dyDescent="0.25">
      <c r="A7" s="13">
        <v>150</v>
      </c>
      <c r="B7" s="11" t="s">
        <v>287</v>
      </c>
      <c r="C7" s="11" t="s">
        <v>497</v>
      </c>
      <c r="D7" s="12">
        <v>2100</v>
      </c>
      <c r="E7"/>
      <c r="F7"/>
      <c r="G7"/>
      <c r="H7"/>
      <c r="I7"/>
    </row>
    <row r="8" spans="1:9" x14ac:dyDescent="0.25">
      <c r="A8" s="13">
        <v>170</v>
      </c>
      <c r="B8" s="11" t="s">
        <v>287</v>
      </c>
      <c r="C8" s="11" t="s">
        <v>497</v>
      </c>
      <c r="D8" s="12">
        <v>1925</v>
      </c>
      <c r="E8"/>
      <c r="F8"/>
      <c r="G8"/>
      <c r="H8"/>
      <c r="I8"/>
    </row>
    <row r="9" spans="1:9" x14ac:dyDescent="0.25">
      <c r="A9" s="13">
        <v>190</v>
      </c>
      <c r="B9" s="11" t="s">
        <v>287</v>
      </c>
      <c r="C9" s="11" t="s">
        <v>167</v>
      </c>
      <c r="D9" s="12">
        <v>800</v>
      </c>
      <c r="E9"/>
      <c r="F9"/>
      <c r="G9"/>
      <c r="H9"/>
      <c r="I9"/>
    </row>
    <row r="10" spans="1:9" x14ac:dyDescent="0.25">
      <c r="A10" s="13">
        <v>191</v>
      </c>
      <c r="B10" s="11" t="s">
        <v>287</v>
      </c>
      <c r="C10" s="11" t="s">
        <v>700</v>
      </c>
      <c r="D10" s="12">
        <v>1200</v>
      </c>
      <c r="E10"/>
      <c r="F10"/>
      <c r="G10"/>
      <c r="H10"/>
      <c r="I10"/>
    </row>
    <row r="11" spans="1:9" x14ac:dyDescent="0.25">
      <c r="A11" s="13">
        <v>192</v>
      </c>
      <c r="B11" s="11" t="s">
        <v>287</v>
      </c>
      <c r="C11" s="11" t="s">
        <v>167</v>
      </c>
      <c r="D11" s="12">
        <v>825</v>
      </c>
      <c r="E11"/>
      <c r="F11"/>
      <c r="G11"/>
      <c r="H11"/>
      <c r="I11"/>
    </row>
    <row r="12" spans="1:9" x14ac:dyDescent="0.25">
      <c r="A12" s="13">
        <v>193</v>
      </c>
      <c r="B12" s="11" t="s">
        <v>287</v>
      </c>
      <c r="C12" s="11" t="s">
        <v>497</v>
      </c>
      <c r="D12" s="12">
        <v>4500</v>
      </c>
      <c r="E12"/>
      <c r="F12"/>
      <c r="G12"/>
      <c r="H12"/>
      <c r="I12"/>
    </row>
    <row r="13" spans="1:9" x14ac:dyDescent="0.25">
      <c r="A13" s="13">
        <v>194</v>
      </c>
      <c r="B13" s="11" t="s">
        <v>287</v>
      </c>
      <c r="C13" s="11" t="s">
        <v>497</v>
      </c>
      <c r="D13" s="12">
        <v>2025</v>
      </c>
      <c r="E13"/>
      <c r="F13"/>
      <c r="G13"/>
      <c r="H13"/>
      <c r="I13"/>
    </row>
    <row r="14" spans="1:9" x14ac:dyDescent="0.25">
      <c r="A14" s="13">
        <v>275</v>
      </c>
      <c r="B14" s="11" t="s">
        <v>287</v>
      </c>
      <c r="C14" s="11" t="s">
        <v>494</v>
      </c>
      <c r="D14" s="12">
        <v>350</v>
      </c>
      <c r="E14"/>
      <c r="F14"/>
      <c r="G14"/>
      <c r="H14"/>
      <c r="I14"/>
    </row>
    <row r="15" spans="1:9" x14ac:dyDescent="0.25">
      <c r="A15" s="13">
        <v>276</v>
      </c>
      <c r="B15" s="11" t="s">
        <v>287</v>
      </c>
      <c r="C15" s="11" t="s">
        <v>494</v>
      </c>
      <c r="D15" s="12">
        <v>225</v>
      </c>
      <c r="E15"/>
      <c r="F15"/>
      <c r="G15"/>
      <c r="H15"/>
      <c r="I15"/>
    </row>
    <row r="16" spans="1:9" x14ac:dyDescent="0.25">
      <c r="A16" s="13">
        <v>402</v>
      </c>
      <c r="B16" s="11" t="s">
        <v>287</v>
      </c>
      <c r="C16" s="11" t="s">
        <v>500</v>
      </c>
      <c r="D16" s="12">
        <v>350</v>
      </c>
      <c r="E16"/>
      <c r="F16"/>
      <c r="G16"/>
      <c r="H16"/>
      <c r="I16"/>
    </row>
    <row r="17" spans="1:9" x14ac:dyDescent="0.25">
      <c r="A17" s="13">
        <v>406</v>
      </c>
      <c r="B17" s="11" t="s">
        <v>287</v>
      </c>
      <c r="C17" s="11" t="s">
        <v>494</v>
      </c>
      <c r="D17" s="12">
        <v>225</v>
      </c>
      <c r="E17"/>
      <c r="F17"/>
      <c r="G17"/>
      <c r="H17"/>
      <c r="I17"/>
    </row>
    <row r="18" spans="1:9" x14ac:dyDescent="0.25">
      <c r="A18" s="13">
        <v>444</v>
      </c>
      <c r="B18" s="11" t="s">
        <v>287</v>
      </c>
      <c r="C18" s="11" t="s">
        <v>494</v>
      </c>
      <c r="D18" s="12">
        <v>200</v>
      </c>
      <c r="E18"/>
      <c r="F18"/>
      <c r="G18"/>
      <c r="H18"/>
      <c r="I18"/>
    </row>
    <row r="19" spans="1:9" x14ac:dyDescent="0.25">
      <c r="A19" s="13">
        <v>472</v>
      </c>
      <c r="B19" s="11" t="s">
        <v>287</v>
      </c>
      <c r="C19" s="11" t="s">
        <v>494</v>
      </c>
      <c r="D19" s="12">
        <v>325</v>
      </c>
      <c r="E19"/>
      <c r="F19"/>
      <c r="G19"/>
      <c r="H19"/>
      <c r="I19"/>
    </row>
    <row r="20" spans="1:9" x14ac:dyDescent="0.25">
      <c r="A20" s="13">
        <v>550</v>
      </c>
      <c r="B20" s="11" t="s">
        <v>287</v>
      </c>
      <c r="C20" s="11" t="s">
        <v>494</v>
      </c>
      <c r="D20" s="12">
        <v>475</v>
      </c>
      <c r="E20"/>
      <c r="F20"/>
      <c r="G20"/>
      <c r="H20"/>
      <c r="I20"/>
    </row>
    <row r="21" spans="1:9" x14ac:dyDescent="0.25">
      <c r="A21" s="13">
        <v>555</v>
      </c>
      <c r="B21" s="11" t="s">
        <v>287</v>
      </c>
      <c r="C21" s="11" t="s">
        <v>494</v>
      </c>
      <c r="D21" s="12">
        <v>275</v>
      </c>
      <c r="E21"/>
      <c r="F21"/>
      <c r="G21"/>
      <c r="H21"/>
      <c r="I21"/>
    </row>
    <row r="22" spans="1:9" x14ac:dyDescent="0.25">
      <c r="A22" s="13">
        <v>666</v>
      </c>
      <c r="B22" s="11" t="s">
        <v>287</v>
      </c>
      <c r="C22" s="11" t="s">
        <v>494</v>
      </c>
      <c r="D22" s="12">
        <v>300</v>
      </c>
      <c r="E22"/>
      <c r="F22"/>
      <c r="G22"/>
      <c r="H22"/>
      <c r="I22"/>
    </row>
    <row r="23" spans="1:9" x14ac:dyDescent="0.25">
      <c r="A23" s="13">
        <v>710</v>
      </c>
      <c r="B23" s="11" t="s">
        <v>287</v>
      </c>
      <c r="C23" s="11" t="s">
        <v>699</v>
      </c>
      <c r="D23" s="12">
        <v>625</v>
      </c>
      <c r="E23"/>
      <c r="F23"/>
      <c r="G23"/>
      <c r="H23"/>
      <c r="I23"/>
    </row>
    <row r="24" spans="1:9" x14ac:dyDescent="0.25">
      <c r="A24" s="13">
        <v>747</v>
      </c>
      <c r="B24" s="11" t="s">
        <v>287</v>
      </c>
      <c r="C24" s="11" t="s">
        <v>167</v>
      </c>
      <c r="D24" s="12">
        <v>675</v>
      </c>
      <c r="E24"/>
      <c r="F24"/>
      <c r="G24"/>
      <c r="H24"/>
      <c r="I24"/>
    </row>
    <row r="25" spans="1:9" x14ac:dyDescent="0.25">
      <c r="A25" s="13">
        <v>749</v>
      </c>
      <c r="B25" s="11" t="s">
        <v>287</v>
      </c>
      <c r="C25" s="11" t="s">
        <v>494</v>
      </c>
      <c r="D25" s="12">
        <v>525</v>
      </c>
      <c r="E25"/>
      <c r="F25"/>
      <c r="G25"/>
      <c r="H25"/>
      <c r="I25"/>
    </row>
    <row r="26" spans="1:9" x14ac:dyDescent="0.25">
      <c r="A26" s="13">
        <v>751</v>
      </c>
      <c r="B26" s="11" t="s">
        <v>287</v>
      </c>
      <c r="C26" s="11" t="s">
        <v>494</v>
      </c>
      <c r="D26" s="12">
        <v>425</v>
      </c>
      <c r="E26"/>
      <c r="F26"/>
      <c r="G26"/>
      <c r="H26"/>
      <c r="I26"/>
    </row>
    <row r="27" spans="1:9" x14ac:dyDescent="0.25">
      <c r="A27" s="13">
        <v>761</v>
      </c>
      <c r="B27" s="11" t="s">
        <v>287</v>
      </c>
      <c r="C27" s="11" t="s">
        <v>499</v>
      </c>
      <c r="D27" s="12">
        <v>350</v>
      </c>
      <c r="E27"/>
      <c r="F27"/>
      <c r="G27"/>
      <c r="H27"/>
      <c r="I27"/>
    </row>
    <row r="28" spans="1:9" x14ac:dyDescent="0.25">
      <c r="A28" s="13">
        <v>762</v>
      </c>
      <c r="B28" s="11" t="s">
        <v>287</v>
      </c>
      <c r="C28" s="11" t="s">
        <v>499</v>
      </c>
      <c r="D28" s="12">
        <v>325</v>
      </c>
      <c r="E28"/>
      <c r="F28"/>
      <c r="G28"/>
      <c r="H28"/>
      <c r="I28"/>
    </row>
    <row r="29" spans="1:9" x14ac:dyDescent="0.25">
      <c r="A29" s="13">
        <v>888</v>
      </c>
      <c r="B29" s="11" t="s">
        <v>287</v>
      </c>
      <c r="C29" s="11" t="s">
        <v>494</v>
      </c>
      <c r="D29" s="12">
        <v>425</v>
      </c>
      <c r="E29"/>
      <c r="F29"/>
      <c r="G29"/>
      <c r="H29"/>
      <c r="I29"/>
    </row>
    <row r="30" spans="1:9" x14ac:dyDescent="0.25">
      <c r="A30" s="13">
        <v>910</v>
      </c>
      <c r="B30" s="11" t="s">
        <v>287</v>
      </c>
      <c r="C30" s="11" t="s">
        <v>699</v>
      </c>
      <c r="D30" s="12">
        <v>950</v>
      </c>
      <c r="E30"/>
      <c r="F30"/>
      <c r="G30"/>
      <c r="H30"/>
      <c r="I30"/>
    </row>
    <row r="31" spans="1:9" x14ac:dyDescent="0.25">
      <c r="A31" s="13">
        <v>1000</v>
      </c>
      <c r="B31" s="11" t="s">
        <v>287</v>
      </c>
      <c r="C31" s="11" t="s">
        <v>699</v>
      </c>
      <c r="D31" s="12">
        <v>1125</v>
      </c>
      <c r="E31"/>
      <c r="F31"/>
      <c r="G31"/>
      <c r="H31"/>
      <c r="I31"/>
    </row>
    <row r="32" spans="1:9" x14ac:dyDescent="0.25">
      <c r="A32" s="13">
        <v>1010</v>
      </c>
      <c r="B32" s="11" t="s">
        <v>287</v>
      </c>
      <c r="C32" s="11" t="s">
        <v>699</v>
      </c>
      <c r="D32" s="12">
        <v>900</v>
      </c>
      <c r="E32"/>
      <c r="F32"/>
      <c r="G32"/>
      <c r="H32"/>
      <c r="I32"/>
    </row>
    <row r="33" spans="1:9" x14ac:dyDescent="0.25">
      <c r="A33" s="13">
        <v>1111</v>
      </c>
      <c r="B33" s="11" t="s">
        <v>287</v>
      </c>
      <c r="C33" s="11" t="s">
        <v>494</v>
      </c>
      <c r="D33" s="12">
        <v>525</v>
      </c>
      <c r="E33"/>
      <c r="F33"/>
      <c r="G33"/>
      <c r="H33"/>
      <c r="I33"/>
    </row>
    <row r="34" spans="1:9" x14ac:dyDescent="0.25">
      <c r="A34" s="13">
        <v>1200</v>
      </c>
      <c r="B34" s="11" t="s">
        <v>287</v>
      </c>
      <c r="C34" s="11" t="s">
        <v>167</v>
      </c>
      <c r="D34" s="12">
        <v>1025</v>
      </c>
      <c r="E34"/>
      <c r="F34"/>
      <c r="G34"/>
      <c r="H34"/>
      <c r="I34"/>
    </row>
    <row r="35" spans="1:9" x14ac:dyDescent="0.25">
      <c r="A35" s="13">
        <v>1211</v>
      </c>
      <c r="B35" s="11" t="s">
        <v>287</v>
      </c>
      <c r="C35" s="11" t="s">
        <v>497</v>
      </c>
      <c r="D35" s="12">
        <v>3500</v>
      </c>
      <c r="E35"/>
      <c r="F35"/>
      <c r="G35"/>
      <c r="H35"/>
      <c r="I35"/>
    </row>
    <row r="36" spans="1:9" x14ac:dyDescent="0.25">
      <c r="A36" s="13">
        <v>1212</v>
      </c>
      <c r="B36" s="11" t="s">
        <v>287</v>
      </c>
      <c r="C36" s="11" t="s">
        <v>497</v>
      </c>
      <c r="D36" s="12">
        <v>2250</v>
      </c>
      <c r="E36"/>
      <c r="F36"/>
      <c r="G36"/>
      <c r="H36"/>
      <c r="I36"/>
    </row>
    <row r="37" spans="1:9" x14ac:dyDescent="0.25">
      <c r="A37" s="13">
        <v>1213</v>
      </c>
      <c r="B37" s="11" t="s">
        <v>287</v>
      </c>
      <c r="C37" s="11" t="s">
        <v>497</v>
      </c>
      <c r="D37" s="12">
        <v>3350</v>
      </c>
      <c r="E37"/>
      <c r="F37"/>
      <c r="G37"/>
      <c r="H37"/>
      <c r="I37"/>
    </row>
    <row r="38" spans="1:9" x14ac:dyDescent="0.25">
      <c r="A38" s="13">
        <v>1214</v>
      </c>
      <c r="B38" s="11" t="s">
        <v>680</v>
      </c>
      <c r="C38" s="11" t="s">
        <v>497</v>
      </c>
      <c r="D38" s="12">
        <v>4850</v>
      </c>
      <c r="E38"/>
      <c r="F38"/>
      <c r="G38"/>
      <c r="H38"/>
      <c r="I38"/>
    </row>
    <row r="39" spans="1:9" x14ac:dyDescent="0.25">
      <c r="A39" s="13">
        <v>1400</v>
      </c>
      <c r="B39" s="11" t="s">
        <v>287</v>
      </c>
      <c r="C39" s="11" t="s">
        <v>167</v>
      </c>
      <c r="D39" s="12">
        <v>350</v>
      </c>
      <c r="E39"/>
      <c r="F39"/>
      <c r="G39"/>
      <c r="H39"/>
      <c r="I39"/>
    </row>
    <row r="40" spans="1:9" x14ac:dyDescent="0.25">
      <c r="A40" s="13">
        <v>1600</v>
      </c>
      <c r="B40" s="11" t="s">
        <v>287</v>
      </c>
      <c r="C40" s="11" t="s">
        <v>167</v>
      </c>
      <c r="D40" s="12">
        <v>475</v>
      </c>
      <c r="E40"/>
      <c r="F40"/>
      <c r="G40"/>
      <c r="H40"/>
      <c r="I40"/>
    </row>
    <row r="41" spans="1:9" x14ac:dyDescent="0.25">
      <c r="A41" s="13">
        <v>1651</v>
      </c>
      <c r="B41" s="11" t="s">
        <v>287</v>
      </c>
      <c r="C41" s="11" t="s">
        <v>699</v>
      </c>
      <c r="D41" s="12">
        <v>1450</v>
      </c>
      <c r="E41"/>
      <c r="F41"/>
      <c r="G41"/>
      <c r="H41"/>
      <c r="I41"/>
    </row>
    <row r="42" spans="1:9" x14ac:dyDescent="0.25">
      <c r="A42" s="13">
        <v>1800</v>
      </c>
      <c r="B42" s="11" t="s">
        <v>287</v>
      </c>
      <c r="C42" s="11" t="s">
        <v>167</v>
      </c>
      <c r="D42" s="12">
        <v>725</v>
      </c>
      <c r="E42"/>
      <c r="F42"/>
      <c r="G42"/>
      <c r="H42"/>
      <c r="I42"/>
    </row>
    <row r="43" spans="1:9" x14ac:dyDescent="0.25">
      <c r="A43" s="13">
        <v>2010</v>
      </c>
      <c r="B43" s="11" t="s">
        <v>287</v>
      </c>
      <c r="C43" s="11" t="s">
        <v>167</v>
      </c>
      <c r="D43" s="12">
        <v>900</v>
      </c>
      <c r="E43"/>
      <c r="F43"/>
      <c r="G43"/>
      <c r="H43"/>
      <c r="I43"/>
    </row>
    <row r="44" spans="1:9" x14ac:dyDescent="0.25">
      <c r="A44" s="13">
        <v>2011</v>
      </c>
      <c r="B44" s="11" t="s">
        <v>287</v>
      </c>
      <c r="C44" s="11" t="s">
        <v>167</v>
      </c>
      <c r="D44" s="12">
        <v>900</v>
      </c>
      <c r="E44"/>
      <c r="F44"/>
      <c r="G44"/>
      <c r="H44"/>
      <c r="I44"/>
    </row>
    <row r="45" spans="1:9" x14ac:dyDescent="0.25">
      <c r="A45" s="13">
        <v>2400</v>
      </c>
      <c r="B45" s="11" t="s">
        <v>287</v>
      </c>
      <c r="C45" s="11" t="s">
        <v>699</v>
      </c>
      <c r="D45" s="12">
        <v>1500</v>
      </c>
      <c r="E45"/>
      <c r="F45"/>
      <c r="G45"/>
      <c r="H45"/>
      <c r="I45"/>
    </row>
    <row r="46" spans="1:9" x14ac:dyDescent="0.25">
      <c r="A46" s="13">
        <v>2451</v>
      </c>
      <c r="B46" s="11" t="s">
        <v>287</v>
      </c>
      <c r="C46" s="11" t="s">
        <v>699</v>
      </c>
      <c r="D46" s="12">
        <v>2100</v>
      </c>
      <c r="E46"/>
      <c r="F46"/>
      <c r="G46"/>
      <c r="H46"/>
      <c r="I46"/>
    </row>
    <row r="47" spans="1:9" x14ac:dyDescent="0.25">
      <c r="A47" s="13">
        <v>2751</v>
      </c>
      <c r="B47" s="11" t="s">
        <v>287</v>
      </c>
      <c r="C47" s="11" t="s">
        <v>494</v>
      </c>
      <c r="D47" s="12">
        <v>250</v>
      </c>
      <c r="E47"/>
      <c r="F47"/>
      <c r="G47"/>
      <c r="H47"/>
      <c r="I47"/>
    </row>
    <row r="48" spans="1:9" x14ac:dyDescent="0.25">
      <c r="A48" s="13">
        <v>2752</v>
      </c>
      <c r="B48" s="11" t="s">
        <v>287</v>
      </c>
      <c r="C48" s="11" t="s">
        <v>494</v>
      </c>
      <c r="D48" s="12">
        <v>300</v>
      </c>
      <c r="E48"/>
      <c r="F48"/>
      <c r="G48"/>
      <c r="H48"/>
      <c r="I48"/>
    </row>
    <row r="49" spans="1:9" x14ac:dyDescent="0.25">
      <c r="A49" s="13">
        <v>2753</v>
      </c>
      <c r="B49" s="11" t="s">
        <v>287</v>
      </c>
      <c r="C49" s="11" t="s">
        <v>494</v>
      </c>
      <c r="D49" s="12">
        <v>425</v>
      </c>
      <c r="E49"/>
      <c r="F49"/>
      <c r="G49"/>
      <c r="H49"/>
      <c r="I49"/>
    </row>
    <row r="50" spans="1:9" x14ac:dyDescent="0.25">
      <c r="A50" s="13">
        <v>2754</v>
      </c>
      <c r="B50" s="11" t="s">
        <v>287</v>
      </c>
      <c r="C50" s="11" t="s">
        <v>494</v>
      </c>
      <c r="D50" s="12">
        <v>250</v>
      </c>
      <c r="E50"/>
      <c r="F50"/>
      <c r="G50"/>
      <c r="H50"/>
      <c r="I50"/>
    </row>
    <row r="51" spans="1:9" x14ac:dyDescent="0.25">
      <c r="A51" s="13">
        <v>2755</v>
      </c>
      <c r="B51" s="11" t="s">
        <v>287</v>
      </c>
      <c r="C51" s="11" t="s">
        <v>494</v>
      </c>
      <c r="D51" s="12">
        <v>250</v>
      </c>
      <c r="E51"/>
      <c r="F51"/>
      <c r="G51"/>
      <c r="H51"/>
      <c r="I51"/>
    </row>
    <row r="52" spans="1:9" x14ac:dyDescent="0.25">
      <c r="A52" s="13">
        <v>2756</v>
      </c>
      <c r="B52" s="11" t="s">
        <v>287</v>
      </c>
      <c r="C52" s="11" t="s">
        <v>494</v>
      </c>
      <c r="D52" s="12">
        <v>200</v>
      </c>
      <c r="E52"/>
      <c r="F52"/>
      <c r="G52"/>
      <c r="H52"/>
      <c r="I52"/>
    </row>
    <row r="53" spans="1:9" x14ac:dyDescent="0.25">
      <c r="A53" s="13">
        <v>2757</v>
      </c>
      <c r="B53" s="11" t="s">
        <v>287</v>
      </c>
      <c r="C53" s="11" t="s">
        <v>494</v>
      </c>
      <c r="D53" s="12">
        <v>200</v>
      </c>
      <c r="E53"/>
      <c r="F53"/>
      <c r="G53"/>
      <c r="H53"/>
      <c r="I53"/>
    </row>
    <row r="54" spans="1:9" x14ac:dyDescent="0.25">
      <c r="A54" s="13">
        <v>2758</v>
      </c>
      <c r="B54" s="11" t="s">
        <v>287</v>
      </c>
      <c r="C54" s="11" t="s">
        <v>494</v>
      </c>
      <c r="D54" s="12">
        <v>175</v>
      </c>
      <c r="E54"/>
      <c r="F54"/>
      <c r="G54"/>
      <c r="H54"/>
      <c r="I54"/>
    </row>
    <row r="55" spans="1:9" x14ac:dyDescent="0.25">
      <c r="A55" s="13">
        <v>2759</v>
      </c>
      <c r="B55" s="11" t="s">
        <v>287</v>
      </c>
      <c r="C55" s="11" t="s">
        <v>494</v>
      </c>
      <c r="D55" s="12">
        <v>250</v>
      </c>
      <c r="E55"/>
      <c r="F55"/>
      <c r="G55"/>
      <c r="H55"/>
      <c r="I55"/>
    </row>
    <row r="56" spans="1:9" x14ac:dyDescent="0.25">
      <c r="A56" s="13">
        <v>2760</v>
      </c>
      <c r="B56" s="11" t="s">
        <v>287</v>
      </c>
      <c r="C56" s="11" t="s">
        <v>494</v>
      </c>
      <c r="D56" s="12">
        <v>250</v>
      </c>
      <c r="E56"/>
      <c r="F56"/>
      <c r="G56"/>
      <c r="H56"/>
      <c r="I56"/>
    </row>
    <row r="57" spans="1:9" x14ac:dyDescent="0.25">
      <c r="A57" s="13">
        <v>2766</v>
      </c>
      <c r="B57" s="11" t="s">
        <v>287</v>
      </c>
      <c r="C57" s="11" t="s">
        <v>494</v>
      </c>
      <c r="D57" s="12">
        <v>250</v>
      </c>
      <c r="E57"/>
      <c r="F57"/>
      <c r="G57"/>
      <c r="H57"/>
      <c r="I57"/>
    </row>
    <row r="58" spans="1:9" x14ac:dyDescent="0.25">
      <c r="A58" s="13">
        <v>4502</v>
      </c>
      <c r="B58" s="11" t="s">
        <v>287</v>
      </c>
      <c r="C58" s="11" t="s">
        <v>494</v>
      </c>
      <c r="D58" s="12">
        <v>300</v>
      </c>
      <c r="E58"/>
      <c r="F58"/>
      <c r="G58"/>
      <c r="H58"/>
      <c r="I58"/>
    </row>
    <row r="59" spans="1:9" x14ac:dyDescent="0.25">
      <c r="A59" s="13">
        <v>4503</v>
      </c>
      <c r="B59" s="11" t="s">
        <v>287</v>
      </c>
      <c r="C59" s="11" t="s">
        <v>494</v>
      </c>
      <c r="D59" s="12">
        <v>200</v>
      </c>
      <c r="E59"/>
      <c r="F59"/>
      <c r="G59"/>
      <c r="H59"/>
      <c r="I59"/>
    </row>
    <row r="60" spans="1:9" x14ac:dyDescent="0.25">
      <c r="A60" s="13">
        <v>4509</v>
      </c>
      <c r="B60" s="11" t="s">
        <v>287</v>
      </c>
      <c r="C60" s="11" t="s">
        <v>494</v>
      </c>
      <c r="D60" s="12">
        <v>125</v>
      </c>
      <c r="E60"/>
      <c r="F60"/>
      <c r="G60"/>
      <c r="H60"/>
      <c r="I60"/>
    </row>
    <row r="61" spans="1:9" x14ac:dyDescent="0.25">
      <c r="A61" s="13" t="s">
        <v>1018</v>
      </c>
      <c r="B61" s="11" t="s">
        <v>287</v>
      </c>
      <c r="C61" s="11" t="s">
        <v>494</v>
      </c>
      <c r="D61" s="12">
        <v>375</v>
      </c>
      <c r="E61"/>
      <c r="F61"/>
      <c r="G61"/>
      <c r="H61"/>
      <c r="I61"/>
    </row>
    <row r="62" spans="1:9" x14ac:dyDescent="0.25">
      <c r="A62" s="13" t="s">
        <v>763</v>
      </c>
      <c r="B62" s="11" t="s">
        <v>680</v>
      </c>
      <c r="C62" s="11" t="s">
        <v>705</v>
      </c>
      <c r="D62" s="12">
        <v>11800</v>
      </c>
      <c r="E62"/>
      <c r="F62"/>
      <c r="G62"/>
      <c r="H62"/>
      <c r="I62"/>
    </row>
    <row r="63" spans="1:9" x14ac:dyDescent="0.25">
      <c r="A63" s="13" t="s">
        <v>764</v>
      </c>
      <c r="B63" s="11" t="s">
        <v>680</v>
      </c>
      <c r="C63" s="11" t="s">
        <v>705</v>
      </c>
      <c r="D63" s="12">
        <v>12900</v>
      </c>
      <c r="E63"/>
      <c r="F63"/>
      <c r="G63"/>
      <c r="H63"/>
      <c r="I63"/>
    </row>
    <row r="64" spans="1:9" x14ac:dyDescent="0.25">
      <c r="A64" s="13" t="s">
        <v>1017</v>
      </c>
      <c r="B64" s="11" t="s">
        <v>287</v>
      </c>
      <c r="C64" s="11" t="s">
        <v>494</v>
      </c>
      <c r="D64" s="12">
        <v>300</v>
      </c>
      <c r="E64"/>
      <c r="F64"/>
      <c r="G64"/>
      <c r="H64"/>
      <c r="I64"/>
    </row>
    <row r="65" spans="1:9" x14ac:dyDescent="0.25">
      <c r="A65" s="13" t="s">
        <v>1016</v>
      </c>
      <c r="B65" s="11" t="s">
        <v>287</v>
      </c>
      <c r="C65" s="11" t="s">
        <v>494</v>
      </c>
      <c r="D65" s="12">
        <v>325</v>
      </c>
      <c r="E65"/>
      <c r="F65"/>
      <c r="G65"/>
      <c r="H65"/>
      <c r="I65"/>
    </row>
    <row r="66" spans="1:9" x14ac:dyDescent="0.25">
      <c r="A66" s="13" t="s">
        <v>1019</v>
      </c>
      <c r="B66" s="11" t="s">
        <v>287</v>
      </c>
      <c r="C66" s="11" t="s">
        <v>494</v>
      </c>
      <c r="D66" s="12">
        <v>525</v>
      </c>
      <c r="E66"/>
      <c r="F66"/>
      <c r="G66"/>
      <c r="H66"/>
      <c r="I66"/>
    </row>
    <row r="67" spans="1:9" x14ac:dyDescent="0.25">
      <c r="A67" s="13" t="s">
        <v>1023</v>
      </c>
      <c r="B67" s="11" t="s">
        <v>287</v>
      </c>
      <c r="C67" s="11" t="s">
        <v>494</v>
      </c>
      <c r="D67" s="12">
        <v>325</v>
      </c>
      <c r="E67"/>
      <c r="F67"/>
      <c r="G67"/>
      <c r="H67"/>
      <c r="I67"/>
    </row>
    <row r="68" spans="1:9" x14ac:dyDescent="0.25">
      <c r="A68" s="13" t="s">
        <v>553</v>
      </c>
      <c r="B68" s="11" t="s">
        <v>287</v>
      </c>
      <c r="C68" s="11" t="s">
        <v>494</v>
      </c>
      <c r="D68" s="12">
        <v>175</v>
      </c>
      <c r="E68"/>
      <c r="F68"/>
      <c r="G68"/>
      <c r="H68"/>
      <c r="I68"/>
    </row>
    <row r="69" spans="1:9" x14ac:dyDescent="0.25">
      <c r="A69" s="13" t="s">
        <v>554</v>
      </c>
      <c r="B69" s="11" t="s">
        <v>287</v>
      </c>
      <c r="C69" s="11" t="s">
        <v>494</v>
      </c>
      <c r="D69" s="12">
        <v>275</v>
      </c>
      <c r="E69"/>
      <c r="F69"/>
      <c r="G69"/>
      <c r="H69"/>
      <c r="I69"/>
    </row>
    <row r="70" spans="1:9" x14ac:dyDescent="0.25">
      <c r="A70" s="13" t="s">
        <v>555</v>
      </c>
      <c r="B70" s="11" t="s">
        <v>287</v>
      </c>
      <c r="C70" s="11" t="s">
        <v>494</v>
      </c>
      <c r="D70" s="12">
        <v>250</v>
      </c>
      <c r="E70"/>
      <c r="F70"/>
      <c r="G70"/>
      <c r="H70"/>
      <c r="I70"/>
    </row>
    <row r="71" spans="1:9" x14ac:dyDescent="0.25">
      <c r="A71" s="13" t="s">
        <v>557</v>
      </c>
      <c r="B71" s="11" t="s">
        <v>287</v>
      </c>
      <c r="C71" s="11" t="s">
        <v>494</v>
      </c>
      <c r="D71" s="12">
        <v>275</v>
      </c>
      <c r="E71"/>
      <c r="F71"/>
      <c r="G71"/>
      <c r="H71"/>
      <c r="I71"/>
    </row>
    <row r="72" spans="1:9" x14ac:dyDescent="0.25">
      <c r="A72" s="13" t="s">
        <v>556</v>
      </c>
      <c r="B72" s="11" t="s">
        <v>287</v>
      </c>
      <c r="C72" s="11" t="s">
        <v>494</v>
      </c>
      <c r="D72" s="12">
        <v>475</v>
      </c>
      <c r="E72"/>
      <c r="F72"/>
      <c r="G72"/>
      <c r="H72"/>
      <c r="I72"/>
    </row>
    <row r="73" spans="1:9" x14ac:dyDescent="0.25">
      <c r="A73" s="13" t="s">
        <v>558</v>
      </c>
      <c r="B73" s="11" t="s">
        <v>287</v>
      </c>
      <c r="C73" s="11" t="s">
        <v>494</v>
      </c>
      <c r="D73" s="12">
        <v>375</v>
      </c>
      <c r="E73"/>
      <c r="F73"/>
      <c r="G73"/>
      <c r="H73"/>
      <c r="I73"/>
    </row>
    <row r="74" spans="1:9" x14ac:dyDescent="0.25">
      <c r="A74" s="13" t="s">
        <v>559</v>
      </c>
      <c r="B74" s="11" t="s">
        <v>287</v>
      </c>
      <c r="C74" s="11" t="s">
        <v>494</v>
      </c>
      <c r="D74" s="12">
        <v>400</v>
      </c>
      <c r="E74"/>
      <c r="F74"/>
      <c r="G74"/>
      <c r="H74"/>
      <c r="I74"/>
    </row>
    <row r="75" spans="1:9" x14ac:dyDescent="0.25">
      <c r="A75" s="13" t="s">
        <v>1024</v>
      </c>
      <c r="B75" s="11" t="s">
        <v>287</v>
      </c>
      <c r="C75" s="11" t="s">
        <v>494</v>
      </c>
      <c r="D75" s="12">
        <v>325</v>
      </c>
      <c r="E75"/>
      <c r="F75"/>
      <c r="G75"/>
      <c r="H75"/>
      <c r="I75"/>
    </row>
    <row r="76" spans="1:9" x14ac:dyDescent="0.25">
      <c r="A76" s="13" t="s">
        <v>114</v>
      </c>
      <c r="B76" s="11" t="s">
        <v>287</v>
      </c>
      <c r="C76" s="11" t="s">
        <v>494</v>
      </c>
      <c r="D76" s="12">
        <v>525</v>
      </c>
      <c r="E76"/>
      <c r="F76"/>
      <c r="G76"/>
      <c r="H76"/>
      <c r="I76"/>
    </row>
    <row r="77" spans="1:9" x14ac:dyDescent="0.25">
      <c r="A77" s="13" t="s">
        <v>63</v>
      </c>
      <c r="B77" s="11" t="s">
        <v>31</v>
      </c>
      <c r="C77" s="11" t="s">
        <v>31</v>
      </c>
      <c r="D77" s="12">
        <v>175</v>
      </c>
      <c r="E77"/>
      <c r="F77"/>
      <c r="G77"/>
      <c r="H77"/>
      <c r="I77"/>
    </row>
    <row r="78" spans="1:9" x14ac:dyDescent="0.25">
      <c r="A78" s="13">
        <v>847</v>
      </c>
      <c r="B78" s="11" t="s">
        <v>938</v>
      </c>
      <c r="C78" s="11" t="s">
        <v>494</v>
      </c>
      <c r="D78" s="12">
        <v>1400</v>
      </c>
      <c r="E78"/>
      <c r="F78"/>
      <c r="G78"/>
      <c r="H78"/>
      <c r="I78"/>
    </row>
    <row r="79" spans="1:9" x14ac:dyDescent="0.25">
      <c r="A79" s="13" t="s">
        <v>362</v>
      </c>
      <c r="B79" s="11" t="s">
        <v>153</v>
      </c>
      <c r="C79" s="11" t="s">
        <v>31</v>
      </c>
      <c r="D79" s="12">
        <v>400</v>
      </c>
      <c r="E79"/>
      <c r="F79"/>
      <c r="G79"/>
      <c r="H79"/>
      <c r="I79"/>
    </row>
    <row r="80" spans="1:9" x14ac:dyDescent="0.25">
      <c r="A80" s="13" t="s">
        <v>408</v>
      </c>
      <c r="B80" s="11" t="s">
        <v>153</v>
      </c>
      <c r="C80" s="11" t="s">
        <v>496</v>
      </c>
      <c r="D80" s="12">
        <v>650</v>
      </c>
      <c r="E80"/>
      <c r="F80"/>
      <c r="G80"/>
      <c r="H80"/>
      <c r="I80"/>
    </row>
    <row r="81" spans="1:9" x14ac:dyDescent="0.25">
      <c r="A81" s="13" t="s">
        <v>152</v>
      </c>
      <c r="B81" s="11" t="s">
        <v>153</v>
      </c>
      <c r="C81" s="11" t="s">
        <v>496</v>
      </c>
      <c r="D81" s="12">
        <v>475</v>
      </c>
      <c r="E81"/>
      <c r="F81"/>
      <c r="G81"/>
      <c r="H81"/>
      <c r="I81"/>
    </row>
    <row r="82" spans="1:9" x14ac:dyDescent="0.25">
      <c r="A82" s="13" t="s">
        <v>370</v>
      </c>
      <c r="B82" s="11" t="s">
        <v>153</v>
      </c>
      <c r="C82" s="11" t="s">
        <v>496</v>
      </c>
      <c r="D82" s="12">
        <v>525</v>
      </c>
      <c r="E82"/>
      <c r="F82"/>
      <c r="G82"/>
      <c r="H82"/>
      <c r="I82"/>
    </row>
    <row r="83" spans="1:9" x14ac:dyDescent="0.25">
      <c r="A83" s="13" t="s">
        <v>151</v>
      </c>
      <c r="B83" s="11" t="s">
        <v>153</v>
      </c>
      <c r="C83" s="11" t="s">
        <v>496</v>
      </c>
      <c r="D83" s="12">
        <v>550</v>
      </c>
      <c r="E83"/>
      <c r="F83"/>
      <c r="G83"/>
      <c r="H83"/>
      <c r="I83"/>
    </row>
    <row r="84" spans="1:9" x14ac:dyDescent="0.25">
      <c r="A84" s="13">
        <v>5201</v>
      </c>
      <c r="B84" s="11" t="s">
        <v>501</v>
      </c>
      <c r="C84" s="11" t="s">
        <v>494</v>
      </c>
      <c r="D84" s="12">
        <v>350</v>
      </c>
      <c r="E84"/>
      <c r="F84"/>
      <c r="G84"/>
      <c r="H84"/>
      <c r="I84"/>
    </row>
    <row r="85" spans="1:9" x14ac:dyDescent="0.25">
      <c r="A85" s="13">
        <v>101</v>
      </c>
      <c r="B85" s="11" t="s">
        <v>284</v>
      </c>
      <c r="C85" s="11" t="s">
        <v>698</v>
      </c>
      <c r="D85" s="12">
        <v>650</v>
      </c>
      <c r="E85"/>
      <c r="F85"/>
      <c r="G85"/>
      <c r="H85"/>
      <c r="I85"/>
    </row>
    <row r="86" spans="1:9" x14ac:dyDescent="0.25">
      <c r="A86" s="13">
        <v>102</v>
      </c>
      <c r="B86" s="11" t="s">
        <v>284</v>
      </c>
      <c r="C86" s="11" t="s">
        <v>699</v>
      </c>
      <c r="D86" s="12">
        <v>625</v>
      </c>
      <c r="E86"/>
      <c r="F86"/>
      <c r="G86"/>
      <c r="H86"/>
      <c r="I86"/>
    </row>
    <row r="87" spans="1:9" x14ac:dyDescent="0.25">
      <c r="A87" s="13">
        <v>105</v>
      </c>
      <c r="B87" s="11" t="s">
        <v>284</v>
      </c>
      <c r="C87" s="11" t="s">
        <v>497</v>
      </c>
      <c r="D87" s="12">
        <v>22250</v>
      </c>
      <c r="E87"/>
      <c r="F87"/>
      <c r="G87"/>
      <c r="H87"/>
      <c r="I87"/>
    </row>
    <row r="88" spans="1:9" x14ac:dyDescent="0.25">
      <c r="A88" s="13">
        <v>106</v>
      </c>
      <c r="B88" s="11" t="s">
        <v>284</v>
      </c>
      <c r="C88" s="11" t="s">
        <v>497</v>
      </c>
      <c r="D88" s="12">
        <v>15150</v>
      </c>
      <c r="E88"/>
      <c r="F88"/>
      <c r="G88"/>
      <c r="H88"/>
      <c r="I88"/>
    </row>
    <row r="89" spans="1:9" x14ac:dyDescent="0.25">
      <c r="A89" s="13">
        <v>107</v>
      </c>
      <c r="B89" s="11" t="s">
        <v>277</v>
      </c>
      <c r="C89" s="11" t="s">
        <v>497</v>
      </c>
      <c r="D89" s="12">
        <v>4850</v>
      </c>
      <c r="E89"/>
      <c r="F89"/>
      <c r="G89"/>
      <c r="H89"/>
      <c r="I89"/>
    </row>
    <row r="90" spans="1:9" x14ac:dyDescent="0.25">
      <c r="A90" s="13">
        <v>108</v>
      </c>
      <c r="B90" s="11" t="s">
        <v>277</v>
      </c>
      <c r="C90" s="11" t="s">
        <v>497</v>
      </c>
      <c r="D90" s="12">
        <v>6600</v>
      </c>
      <c r="E90"/>
      <c r="F90"/>
      <c r="G90"/>
      <c r="H90"/>
      <c r="I90"/>
    </row>
    <row r="91" spans="1:9" x14ac:dyDescent="0.25">
      <c r="A91" s="13">
        <v>109</v>
      </c>
      <c r="B91" s="11" t="s">
        <v>284</v>
      </c>
      <c r="C91" s="11" t="s">
        <v>497</v>
      </c>
      <c r="D91" s="12">
        <v>15150</v>
      </c>
      <c r="E91"/>
      <c r="F91"/>
      <c r="G91"/>
      <c r="H91"/>
      <c r="I91"/>
    </row>
    <row r="92" spans="1:9" x14ac:dyDescent="0.25">
      <c r="A92" s="13">
        <v>110</v>
      </c>
      <c r="B92" s="11" t="s">
        <v>277</v>
      </c>
      <c r="C92" s="11" t="s">
        <v>497</v>
      </c>
      <c r="D92" s="12">
        <v>6800</v>
      </c>
      <c r="E92"/>
      <c r="F92"/>
      <c r="G92"/>
      <c r="H92"/>
      <c r="I92"/>
    </row>
    <row r="93" spans="1:9" x14ac:dyDescent="0.25">
      <c r="A93" s="13">
        <v>112</v>
      </c>
      <c r="B93" s="11" t="s">
        <v>284</v>
      </c>
      <c r="C93" s="11" t="s">
        <v>497</v>
      </c>
      <c r="D93" s="12">
        <v>8050</v>
      </c>
      <c r="E93"/>
      <c r="F93"/>
      <c r="G93"/>
      <c r="H93"/>
      <c r="I93"/>
    </row>
    <row r="94" spans="1:9" x14ac:dyDescent="0.25">
      <c r="A94" s="13">
        <v>113</v>
      </c>
      <c r="B94" s="11" t="s">
        <v>277</v>
      </c>
      <c r="C94" s="11" t="s">
        <v>497</v>
      </c>
      <c r="D94" s="12">
        <v>9450</v>
      </c>
      <c r="E94"/>
      <c r="F94"/>
      <c r="G94"/>
      <c r="H94"/>
      <c r="I94"/>
    </row>
    <row r="95" spans="1:9" x14ac:dyDescent="0.25">
      <c r="A95" s="13">
        <v>114</v>
      </c>
      <c r="B95" s="11" t="s">
        <v>277</v>
      </c>
      <c r="C95" s="11" t="s">
        <v>494</v>
      </c>
      <c r="D95" s="12">
        <v>550</v>
      </c>
      <c r="E95"/>
      <c r="F95"/>
      <c r="G95"/>
      <c r="H95"/>
      <c r="I95"/>
    </row>
    <row r="96" spans="1:9" x14ac:dyDescent="0.25">
      <c r="A96" s="13">
        <v>115</v>
      </c>
      <c r="B96" s="11" t="s">
        <v>284</v>
      </c>
      <c r="C96" s="11" t="s">
        <v>497</v>
      </c>
      <c r="D96" s="12">
        <v>2200</v>
      </c>
      <c r="E96"/>
      <c r="F96"/>
      <c r="G96"/>
      <c r="H96"/>
      <c r="I96"/>
    </row>
    <row r="97" spans="1:9" x14ac:dyDescent="0.25">
      <c r="A97" s="13">
        <v>116</v>
      </c>
      <c r="B97" s="11" t="s">
        <v>277</v>
      </c>
      <c r="C97" s="11" t="s">
        <v>497</v>
      </c>
      <c r="D97" s="12">
        <v>7500</v>
      </c>
      <c r="E97"/>
      <c r="F97"/>
      <c r="G97"/>
      <c r="H97"/>
      <c r="I97"/>
    </row>
    <row r="98" spans="1:9" x14ac:dyDescent="0.25">
      <c r="A98" s="13">
        <v>117</v>
      </c>
      <c r="B98" s="11" t="s">
        <v>284</v>
      </c>
      <c r="C98" s="11" t="s">
        <v>497</v>
      </c>
      <c r="D98" s="12">
        <v>4050</v>
      </c>
      <c r="E98"/>
      <c r="F98"/>
      <c r="G98"/>
      <c r="H98"/>
      <c r="I98"/>
    </row>
    <row r="99" spans="1:9" x14ac:dyDescent="0.25">
      <c r="A99" s="13">
        <v>118</v>
      </c>
      <c r="B99" s="11" t="s">
        <v>284</v>
      </c>
      <c r="C99" s="11" t="s">
        <v>497</v>
      </c>
      <c r="D99" s="12">
        <v>4950</v>
      </c>
      <c r="E99"/>
      <c r="F99"/>
      <c r="G99"/>
      <c r="H99"/>
      <c r="I99"/>
    </row>
    <row r="100" spans="1:9" x14ac:dyDescent="0.25">
      <c r="A100" s="13">
        <v>119</v>
      </c>
      <c r="B100" s="11" t="s">
        <v>277</v>
      </c>
      <c r="C100" s="11" t="s">
        <v>497</v>
      </c>
      <c r="D100" s="12">
        <v>2050</v>
      </c>
      <c r="E100"/>
      <c r="F100"/>
      <c r="G100"/>
      <c r="H100"/>
      <c r="I100"/>
    </row>
    <row r="101" spans="1:9" x14ac:dyDescent="0.25">
      <c r="A101" s="13">
        <v>124</v>
      </c>
      <c r="B101" s="11" t="s">
        <v>277</v>
      </c>
      <c r="C101" s="11" t="s">
        <v>497</v>
      </c>
      <c r="D101" s="12">
        <v>5350</v>
      </c>
      <c r="E101"/>
      <c r="F101"/>
      <c r="G101"/>
      <c r="H101"/>
      <c r="I101"/>
    </row>
    <row r="102" spans="1:9" x14ac:dyDescent="0.25">
      <c r="A102" s="13">
        <v>125</v>
      </c>
      <c r="B102" s="11" t="s">
        <v>277</v>
      </c>
      <c r="C102" s="11" t="s">
        <v>497</v>
      </c>
      <c r="D102" s="12">
        <v>8550</v>
      </c>
      <c r="E102"/>
      <c r="F102"/>
      <c r="G102"/>
      <c r="H102"/>
      <c r="I102"/>
    </row>
    <row r="103" spans="1:9" x14ac:dyDescent="0.25">
      <c r="A103" s="13">
        <v>126</v>
      </c>
      <c r="B103" s="11" t="s">
        <v>277</v>
      </c>
      <c r="C103" s="11" t="s">
        <v>497</v>
      </c>
      <c r="D103" s="12">
        <v>3600</v>
      </c>
      <c r="E103"/>
      <c r="F103"/>
      <c r="G103"/>
      <c r="H103"/>
      <c r="I103"/>
    </row>
    <row r="104" spans="1:9" x14ac:dyDescent="0.25">
      <c r="A104" s="13">
        <v>128</v>
      </c>
      <c r="B104" s="11" t="s">
        <v>284</v>
      </c>
      <c r="C104" s="11" t="s">
        <v>497</v>
      </c>
      <c r="D104" s="12">
        <v>3750</v>
      </c>
      <c r="E104"/>
      <c r="F104"/>
      <c r="G104"/>
      <c r="H104"/>
      <c r="I104"/>
    </row>
    <row r="105" spans="1:9" x14ac:dyDescent="0.25">
      <c r="A105" s="13">
        <v>129</v>
      </c>
      <c r="B105" s="11" t="s">
        <v>277</v>
      </c>
      <c r="C105" s="11" t="s">
        <v>497</v>
      </c>
      <c r="D105" s="12">
        <v>3750</v>
      </c>
      <c r="E105"/>
      <c r="F105"/>
      <c r="G105"/>
      <c r="H105"/>
      <c r="I105"/>
    </row>
    <row r="106" spans="1:9" x14ac:dyDescent="0.25">
      <c r="A106" s="13">
        <v>130</v>
      </c>
      <c r="B106" s="11" t="s">
        <v>284</v>
      </c>
      <c r="C106" s="11" t="s">
        <v>497</v>
      </c>
      <c r="D106" s="12">
        <v>3250</v>
      </c>
      <c r="E106"/>
      <c r="F106"/>
      <c r="G106"/>
      <c r="H106"/>
      <c r="I106"/>
    </row>
    <row r="107" spans="1:9" x14ac:dyDescent="0.25">
      <c r="A107" s="13">
        <v>131</v>
      </c>
      <c r="B107" s="11" t="s">
        <v>277</v>
      </c>
      <c r="C107" s="11" t="s">
        <v>497</v>
      </c>
      <c r="D107" s="12">
        <v>5350</v>
      </c>
      <c r="E107"/>
      <c r="F107"/>
      <c r="G107"/>
      <c r="H107"/>
      <c r="I107"/>
    </row>
    <row r="108" spans="1:9" x14ac:dyDescent="0.25">
      <c r="A108" s="13">
        <v>132</v>
      </c>
      <c r="B108" s="11" t="s">
        <v>284</v>
      </c>
      <c r="C108" s="11" t="s">
        <v>497</v>
      </c>
      <c r="D108" s="12">
        <v>3050</v>
      </c>
      <c r="E108"/>
      <c r="F108"/>
      <c r="G108"/>
      <c r="H108"/>
      <c r="I108"/>
    </row>
    <row r="109" spans="1:9" x14ac:dyDescent="0.25">
      <c r="A109" s="13">
        <v>133</v>
      </c>
      <c r="B109" s="11" t="s">
        <v>277</v>
      </c>
      <c r="C109" s="11" t="s">
        <v>497</v>
      </c>
      <c r="D109" s="12">
        <v>10650</v>
      </c>
      <c r="E109"/>
      <c r="F109"/>
      <c r="G109"/>
      <c r="H109"/>
      <c r="I109"/>
    </row>
    <row r="110" spans="1:9" x14ac:dyDescent="0.25">
      <c r="A110" s="13">
        <v>134</v>
      </c>
      <c r="B110" s="11" t="s">
        <v>277</v>
      </c>
      <c r="C110" s="11" t="s">
        <v>497</v>
      </c>
      <c r="D110" s="12">
        <v>1450</v>
      </c>
      <c r="E110"/>
      <c r="F110"/>
      <c r="G110"/>
      <c r="H110"/>
      <c r="I110"/>
    </row>
    <row r="111" spans="1:9" x14ac:dyDescent="0.25">
      <c r="A111" s="13">
        <v>135</v>
      </c>
      <c r="B111" s="11" t="s">
        <v>277</v>
      </c>
      <c r="C111" s="11" t="s">
        <v>497</v>
      </c>
      <c r="D111" s="12">
        <v>2400</v>
      </c>
      <c r="E111"/>
      <c r="F111"/>
      <c r="G111"/>
      <c r="H111"/>
      <c r="I111"/>
    </row>
    <row r="112" spans="1:9" x14ac:dyDescent="0.25">
      <c r="A112" s="13">
        <v>136</v>
      </c>
      <c r="B112" s="11" t="s">
        <v>284</v>
      </c>
      <c r="C112" s="11" t="s">
        <v>497</v>
      </c>
      <c r="D112" s="12">
        <v>2200</v>
      </c>
      <c r="E112"/>
      <c r="F112"/>
      <c r="G112"/>
      <c r="H112"/>
      <c r="I112"/>
    </row>
    <row r="113" spans="1:9" x14ac:dyDescent="0.25">
      <c r="A113" s="13">
        <v>137</v>
      </c>
      <c r="B113" s="11" t="s">
        <v>277</v>
      </c>
      <c r="C113" s="11" t="s">
        <v>497</v>
      </c>
      <c r="D113" s="12">
        <v>11550</v>
      </c>
      <c r="E113"/>
      <c r="F113"/>
      <c r="G113"/>
      <c r="H113"/>
      <c r="I113"/>
    </row>
    <row r="114" spans="1:9" x14ac:dyDescent="0.25">
      <c r="A114" s="13">
        <v>138</v>
      </c>
      <c r="B114" s="11" t="s">
        <v>277</v>
      </c>
      <c r="C114" s="11" t="s">
        <v>497</v>
      </c>
      <c r="D114" s="12">
        <v>16000</v>
      </c>
      <c r="E114"/>
      <c r="F114"/>
      <c r="G114"/>
      <c r="H114"/>
      <c r="I114"/>
    </row>
    <row r="115" spans="1:9" x14ac:dyDescent="0.25">
      <c r="A115" s="13">
        <v>139</v>
      </c>
      <c r="B115" s="11" t="s">
        <v>277</v>
      </c>
      <c r="C115" s="11" t="s">
        <v>497</v>
      </c>
      <c r="D115" s="12">
        <v>9150</v>
      </c>
      <c r="E115"/>
      <c r="F115"/>
      <c r="G115"/>
      <c r="H115"/>
      <c r="I115"/>
    </row>
    <row r="116" spans="1:9" x14ac:dyDescent="0.25">
      <c r="A116" s="13">
        <v>140</v>
      </c>
      <c r="B116" s="11" t="s">
        <v>277</v>
      </c>
      <c r="C116" s="11" t="s">
        <v>494</v>
      </c>
      <c r="D116" s="12">
        <v>625</v>
      </c>
      <c r="E116"/>
      <c r="F116"/>
      <c r="G116"/>
      <c r="H116"/>
      <c r="I116"/>
    </row>
    <row r="117" spans="1:9" x14ac:dyDescent="0.25">
      <c r="A117" s="13">
        <v>141</v>
      </c>
      <c r="B117" s="11" t="s">
        <v>277</v>
      </c>
      <c r="C117" s="11" t="s">
        <v>497</v>
      </c>
      <c r="D117" s="12">
        <v>8050</v>
      </c>
      <c r="E117"/>
      <c r="F117"/>
      <c r="G117"/>
      <c r="H117"/>
      <c r="I117"/>
    </row>
    <row r="118" spans="1:9" x14ac:dyDescent="0.25">
      <c r="A118" s="13">
        <v>142</v>
      </c>
      <c r="B118" s="11" t="s">
        <v>284</v>
      </c>
      <c r="C118" s="11" t="s">
        <v>494</v>
      </c>
      <c r="D118" s="12">
        <v>1025</v>
      </c>
      <c r="E118"/>
      <c r="F118"/>
      <c r="G118"/>
      <c r="H118"/>
      <c r="I118"/>
    </row>
    <row r="119" spans="1:9" x14ac:dyDescent="0.25">
      <c r="A119" s="13">
        <v>143</v>
      </c>
      <c r="B119" s="11" t="s">
        <v>284</v>
      </c>
      <c r="C119" s="11" t="s">
        <v>494</v>
      </c>
      <c r="D119" s="12">
        <v>1300</v>
      </c>
      <c r="E119"/>
      <c r="F119"/>
      <c r="G119"/>
      <c r="H119"/>
      <c r="I119"/>
    </row>
    <row r="120" spans="1:9" x14ac:dyDescent="0.25">
      <c r="A120" s="13">
        <v>144</v>
      </c>
      <c r="B120" s="11" t="s">
        <v>277</v>
      </c>
      <c r="C120" s="11" t="s">
        <v>497</v>
      </c>
      <c r="D120" s="12">
        <v>2325</v>
      </c>
      <c r="E120"/>
      <c r="F120"/>
      <c r="G120"/>
      <c r="H120"/>
      <c r="I120"/>
    </row>
    <row r="121" spans="1:9" x14ac:dyDescent="0.25">
      <c r="A121" s="13">
        <v>145</v>
      </c>
      <c r="B121" s="11" t="s">
        <v>277</v>
      </c>
      <c r="C121" s="11" t="s">
        <v>497</v>
      </c>
      <c r="D121" s="12">
        <v>23100</v>
      </c>
      <c r="E121"/>
      <c r="F121"/>
      <c r="G121"/>
      <c r="H121"/>
      <c r="I121"/>
    </row>
    <row r="122" spans="1:9" x14ac:dyDescent="0.25">
      <c r="A122" s="13">
        <v>146</v>
      </c>
      <c r="B122" s="11" t="s">
        <v>277</v>
      </c>
      <c r="C122" s="11" t="s">
        <v>497</v>
      </c>
      <c r="D122" s="12">
        <v>28400</v>
      </c>
      <c r="E122"/>
      <c r="F122"/>
      <c r="G122"/>
      <c r="H122"/>
      <c r="I122"/>
    </row>
    <row r="123" spans="1:9" x14ac:dyDescent="0.25">
      <c r="A123" s="13">
        <v>147</v>
      </c>
      <c r="B123" s="11" t="s">
        <v>284</v>
      </c>
      <c r="C123" s="11" t="s">
        <v>497</v>
      </c>
      <c r="D123" s="12">
        <v>31950</v>
      </c>
      <c r="E123"/>
      <c r="F123"/>
      <c r="G123"/>
      <c r="H123"/>
      <c r="I123"/>
    </row>
    <row r="124" spans="1:9" x14ac:dyDescent="0.25">
      <c r="A124" s="13">
        <v>148</v>
      </c>
      <c r="B124" s="11" t="s">
        <v>284</v>
      </c>
      <c r="C124" s="11" t="s">
        <v>497</v>
      </c>
      <c r="D124" s="12">
        <v>33700</v>
      </c>
      <c r="E124"/>
      <c r="F124"/>
      <c r="G124"/>
      <c r="H124"/>
      <c r="I124"/>
    </row>
    <row r="125" spans="1:9" x14ac:dyDescent="0.25">
      <c r="A125" s="13">
        <v>149</v>
      </c>
      <c r="B125" s="11" t="s">
        <v>284</v>
      </c>
      <c r="C125" s="11" t="s">
        <v>497</v>
      </c>
      <c r="D125" s="12">
        <v>7050</v>
      </c>
      <c r="E125"/>
      <c r="F125"/>
      <c r="G125"/>
      <c r="H125"/>
      <c r="I125"/>
    </row>
    <row r="126" spans="1:9" x14ac:dyDescent="0.25">
      <c r="A126" s="13">
        <v>151</v>
      </c>
      <c r="B126" s="11" t="s">
        <v>284</v>
      </c>
      <c r="C126" s="11" t="s">
        <v>497</v>
      </c>
      <c r="D126" s="12">
        <v>6700</v>
      </c>
      <c r="E126"/>
      <c r="F126"/>
      <c r="G126"/>
      <c r="H126"/>
      <c r="I126"/>
    </row>
    <row r="127" spans="1:9" x14ac:dyDescent="0.25">
      <c r="A127" s="13">
        <v>152</v>
      </c>
      <c r="B127" s="11" t="s">
        <v>284</v>
      </c>
      <c r="C127" s="11" t="s">
        <v>497</v>
      </c>
      <c r="D127" s="12">
        <v>6500</v>
      </c>
      <c r="E127"/>
      <c r="F127"/>
      <c r="G127"/>
      <c r="H127"/>
      <c r="I127"/>
    </row>
    <row r="128" spans="1:9" x14ac:dyDescent="0.25">
      <c r="A128" s="13">
        <v>153</v>
      </c>
      <c r="B128" s="11" t="s">
        <v>284</v>
      </c>
      <c r="C128" s="11" t="s">
        <v>497</v>
      </c>
      <c r="D128" s="12">
        <v>5400</v>
      </c>
      <c r="E128"/>
      <c r="F128"/>
      <c r="G128"/>
      <c r="H128"/>
      <c r="I128"/>
    </row>
    <row r="129" spans="1:9" x14ac:dyDescent="0.25">
      <c r="A129" s="13">
        <v>154</v>
      </c>
      <c r="B129" s="11" t="s">
        <v>284</v>
      </c>
      <c r="C129" s="11" t="s">
        <v>497</v>
      </c>
      <c r="D129" s="12">
        <v>6100</v>
      </c>
      <c r="E129"/>
      <c r="F129"/>
      <c r="G129"/>
      <c r="H129"/>
      <c r="I129"/>
    </row>
    <row r="130" spans="1:9" x14ac:dyDescent="0.25">
      <c r="A130" s="13">
        <v>155</v>
      </c>
      <c r="B130" s="11" t="s">
        <v>284</v>
      </c>
      <c r="C130" s="11" t="s">
        <v>497</v>
      </c>
      <c r="D130" s="12">
        <v>20400</v>
      </c>
      <c r="E130"/>
      <c r="F130"/>
      <c r="G130"/>
      <c r="H130"/>
      <c r="I130"/>
    </row>
    <row r="131" spans="1:9" x14ac:dyDescent="0.25">
      <c r="A131" s="13">
        <v>160</v>
      </c>
      <c r="B131" s="11" t="s">
        <v>284</v>
      </c>
      <c r="C131" s="11" t="s">
        <v>497</v>
      </c>
      <c r="D131" s="12">
        <v>1100</v>
      </c>
      <c r="E131"/>
      <c r="F131"/>
      <c r="G131"/>
      <c r="H131"/>
      <c r="I131"/>
    </row>
    <row r="132" spans="1:9" x14ac:dyDescent="0.25">
      <c r="A132" s="13">
        <v>161</v>
      </c>
      <c r="B132" s="11" t="s">
        <v>284</v>
      </c>
      <c r="C132" s="11" t="s">
        <v>497</v>
      </c>
      <c r="D132" s="12">
        <v>1125</v>
      </c>
      <c r="E132"/>
      <c r="F132"/>
      <c r="G132"/>
      <c r="H132"/>
      <c r="I132"/>
    </row>
    <row r="133" spans="1:9" x14ac:dyDescent="0.25">
      <c r="A133" s="13">
        <v>203</v>
      </c>
      <c r="B133" s="11" t="s">
        <v>284</v>
      </c>
      <c r="C133" s="11" t="s">
        <v>493</v>
      </c>
      <c r="D133" s="12">
        <v>475</v>
      </c>
      <c r="E133"/>
      <c r="F133"/>
      <c r="G133"/>
      <c r="H133"/>
      <c r="I133"/>
    </row>
    <row r="134" spans="1:9" x14ac:dyDescent="0.25">
      <c r="A134" s="13">
        <v>208</v>
      </c>
      <c r="B134" s="11" t="s">
        <v>284</v>
      </c>
      <c r="C134" s="11" t="s">
        <v>493</v>
      </c>
      <c r="D134" s="12">
        <v>575</v>
      </c>
      <c r="E134"/>
      <c r="F134"/>
      <c r="G134"/>
      <c r="H134"/>
      <c r="I134"/>
    </row>
    <row r="135" spans="1:9" x14ac:dyDescent="0.25">
      <c r="A135" s="13">
        <v>215</v>
      </c>
      <c r="B135" s="11" t="s">
        <v>284</v>
      </c>
      <c r="C135" s="11" t="s">
        <v>493</v>
      </c>
      <c r="D135" s="12">
        <v>750</v>
      </c>
      <c r="E135"/>
      <c r="F135"/>
      <c r="G135"/>
      <c r="H135"/>
      <c r="I135"/>
    </row>
    <row r="136" spans="1:9" x14ac:dyDescent="0.25">
      <c r="A136" s="13">
        <v>216</v>
      </c>
      <c r="B136" s="11" t="s">
        <v>284</v>
      </c>
      <c r="C136" s="11" t="s">
        <v>493</v>
      </c>
      <c r="D136" s="12">
        <v>675</v>
      </c>
      <c r="E136"/>
      <c r="F136"/>
      <c r="G136"/>
      <c r="H136"/>
      <c r="I136"/>
    </row>
    <row r="137" spans="1:9" x14ac:dyDescent="0.25">
      <c r="A137" s="13">
        <v>221</v>
      </c>
      <c r="B137" s="11" t="s">
        <v>277</v>
      </c>
      <c r="C137" s="11" t="s">
        <v>497</v>
      </c>
      <c r="D137" s="12">
        <v>500</v>
      </c>
      <c r="E137"/>
      <c r="F137"/>
      <c r="G137"/>
      <c r="H137"/>
      <c r="I137"/>
    </row>
    <row r="138" spans="1:9" x14ac:dyDescent="0.25">
      <c r="A138" s="13">
        <v>223</v>
      </c>
      <c r="B138" s="11" t="s">
        <v>277</v>
      </c>
      <c r="C138" s="11" t="s">
        <v>494</v>
      </c>
      <c r="D138" s="12">
        <v>375</v>
      </c>
      <c r="E138"/>
      <c r="F138"/>
      <c r="G138"/>
      <c r="H138"/>
      <c r="I138"/>
    </row>
    <row r="139" spans="1:9" x14ac:dyDescent="0.25">
      <c r="A139" s="13">
        <v>224</v>
      </c>
      <c r="B139" s="11" t="s">
        <v>277</v>
      </c>
      <c r="C139" s="11" t="s">
        <v>497</v>
      </c>
      <c r="D139" s="12">
        <v>1550</v>
      </c>
      <c r="E139"/>
      <c r="F139"/>
      <c r="G139"/>
      <c r="H139"/>
      <c r="I139"/>
    </row>
    <row r="140" spans="1:9" x14ac:dyDescent="0.25">
      <c r="A140" s="13">
        <v>225</v>
      </c>
      <c r="B140" s="11" t="s">
        <v>277</v>
      </c>
      <c r="C140" s="11" t="s">
        <v>497</v>
      </c>
      <c r="D140" s="12">
        <v>700</v>
      </c>
      <c r="E140"/>
      <c r="F140"/>
      <c r="G140"/>
      <c r="H140"/>
      <c r="I140"/>
    </row>
    <row r="141" spans="1:9" x14ac:dyDescent="0.25">
      <c r="A141" s="13">
        <v>226</v>
      </c>
      <c r="B141" s="11" t="s">
        <v>277</v>
      </c>
      <c r="C141" s="11" t="s">
        <v>167</v>
      </c>
      <c r="D141" s="12">
        <v>650</v>
      </c>
      <c r="E141"/>
      <c r="F141"/>
      <c r="G141"/>
      <c r="H141"/>
      <c r="I141"/>
    </row>
    <row r="142" spans="1:9" x14ac:dyDescent="0.25">
      <c r="A142" s="13">
        <v>227</v>
      </c>
      <c r="B142" s="11" t="s">
        <v>284</v>
      </c>
      <c r="C142" s="11" t="s">
        <v>497</v>
      </c>
      <c r="D142" s="12">
        <v>600</v>
      </c>
      <c r="E142"/>
      <c r="F142"/>
      <c r="G142"/>
      <c r="H142"/>
      <c r="I142"/>
    </row>
    <row r="143" spans="1:9" x14ac:dyDescent="0.25">
      <c r="A143" s="13">
        <v>228</v>
      </c>
      <c r="B143" s="11" t="s">
        <v>277</v>
      </c>
      <c r="C143" s="11" t="s">
        <v>494</v>
      </c>
      <c r="D143" s="12">
        <v>500</v>
      </c>
      <c r="E143"/>
      <c r="F143"/>
      <c r="G143"/>
      <c r="H143"/>
      <c r="I143"/>
    </row>
    <row r="144" spans="1:9" x14ac:dyDescent="0.25">
      <c r="A144" s="13">
        <v>229</v>
      </c>
      <c r="B144" s="11" t="s">
        <v>277</v>
      </c>
      <c r="C144" s="11" t="s">
        <v>494</v>
      </c>
      <c r="D144" s="12">
        <v>475</v>
      </c>
      <c r="E144"/>
      <c r="F144"/>
      <c r="G144"/>
      <c r="H144"/>
      <c r="I144"/>
    </row>
    <row r="145" spans="1:9" x14ac:dyDescent="0.25">
      <c r="A145" s="13">
        <v>231</v>
      </c>
      <c r="B145" s="11" t="s">
        <v>277</v>
      </c>
      <c r="C145" s="11" t="s">
        <v>494</v>
      </c>
      <c r="D145" s="12">
        <v>400</v>
      </c>
      <c r="E145"/>
      <c r="F145"/>
      <c r="G145"/>
      <c r="H145"/>
      <c r="I145"/>
    </row>
    <row r="146" spans="1:9" x14ac:dyDescent="0.25">
      <c r="A146" s="13">
        <v>232</v>
      </c>
      <c r="B146" s="11" t="s">
        <v>277</v>
      </c>
      <c r="C146" s="11" t="s">
        <v>494</v>
      </c>
      <c r="D146" s="12">
        <v>525</v>
      </c>
      <c r="E146"/>
      <c r="F146"/>
      <c r="G146"/>
      <c r="H146"/>
      <c r="I146"/>
    </row>
    <row r="147" spans="1:9" x14ac:dyDescent="0.25">
      <c r="A147" s="13">
        <v>233</v>
      </c>
      <c r="B147" s="11" t="s">
        <v>277</v>
      </c>
      <c r="C147" s="11" t="s">
        <v>494</v>
      </c>
      <c r="D147" s="12">
        <v>500</v>
      </c>
      <c r="E147"/>
      <c r="F147"/>
      <c r="G147"/>
      <c r="H147"/>
      <c r="I147"/>
    </row>
    <row r="148" spans="1:9" x14ac:dyDescent="0.25">
      <c r="A148" s="13">
        <v>234</v>
      </c>
      <c r="B148" s="11" t="s">
        <v>277</v>
      </c>
      <c r="C148" s="11" t="s">
        <v>494</v>
      </c>
      <c r="D148" s="12">
        <v>375</v>
      </c>
      <c r="E148"/>
      <c r="F148"/>
      <c r="G148"/>
      <c r="H148"/>
      <c r="I148"/>
    </row>
    <row r="149" spans="1:9" x14ac:dyDescent="0.25">
      <c r="A149" s="13">
        <v>235</v>
      </c>
      <c r="B149" s="11" t="s">
        <v>277</v>
      </c>
      <c r="C149" s="11" t="s">
        <v>494</v>
      </c>
      <c r="D149" s="12">
        <v>475</v>
      </c>
      <c r="E149"/>
      <c r="F149"/>
      <c r="G149"/>
      <c r="H149"/>
      <c r="I149"/>
    </row>
    <row r="150" spans="1:9" x14ac:dyDescent="0.25">
      <c r="A150" s="13">
        <v>236</v>
      </c>
      <c r="B150" s="11" t="s">
        <v>277</v>
      </c>
      <c r="C150" s="11" t="s">
        <v>497</v>
      </c>
      <c r="D150" s="12">
        <v>450</v>
      </c>
      <c r="E150"/>
      <c r="F150"/>
      <c r="G150"/>
      <c r="H150"/>
      <c r="I150"/>
    </row>
    <row r="151" spans="1:9" x14ac:dyDescent="0.25">
      <c r="A151" s="13">
        <v>238</v>
      </c>
      <c r="B151" s="11" t="s">
        <v>277</v>
      </c>
      <c r="C151" s="11" t="s">
        <v>494</v>
      </c>
      <c r="D151" s="12">
        <v>375</v>
      </c>
      <c r="E151"/>
      <c r="F151"/>
      <c r="G151"/>
      <c r="H151"/>
      <c r="I151"/>
    </row>
    <row r="152" spans="1:9" x14ac:dyDescent="0.25">
      <c r="A152" s="13">
        <v>239</v>
      </c>
      <c r="B152" s="11" t="s">
        <v>277</v>
      </c>
      <c r="C152" s="11" t="s">
        <v>497</v>
      </c>
      <c r="D152" s="12">
        <v>725</v>
      </c>
      <c r="E152"/>
      <c r="F152"/>
      <c r="G152"/>
      <c r="H152"/>
      <c r="I152"/>
    </row>
    <row r="153" spans="1:9" x14ac:dyDescent="0.25">
      <c r="A153" s="13">
        <v>240</v>
      </c>
      <c r="B153" s="11" t="s">
        <v>277</v>
      </c>
      <c r="C153" s="11" t="s">
        <v>498</v>
      </c>
      <c r="D153" s="12">
        <v>175</v>
      </c>
      <c r="E153"/>
      <c r="F153"/>
      <c r="G153"/>
      <c r="H153"/>
      <c r="I153"/>
    </row>
    <row r="154" spans="1:9" x14ac:dyDescent="0.25">
      <c r="A154" s="13">
        <v>242</v>
      </c>
      <c r="B154" s="11" t="s">
        <v>284</v>
      </c>
      <c r="C154" s="11" t="s">
        <v>498</v>
      </c>
      <c r="D154" s="12">
        <v>225</v>
      </c>
      <c r="E154"/>
      <c r="F154"/>
      <c r="G154"/>
      <c r="H154"/>
      <c r="I154"/>
    </row>
    <row r="155" spans="1:9" x14ac:dyDescent="0.25">
      <c r="A155" s="13">
        <v>244</v>
      </c>
      <c r="B155" s="11" t="s">
        <v>284</v>
      </c>
      <c r="C155" s="11" t="s">
        <v>538</v>
      </c>
      <c r="D155" s="12">
        <v>525</v>
      </c>
      <c r="E155"/>
      <c r="F155"/>
      <c r="G155"/>
      <c r="H155"/>
      <c r="I155"/>
    </row>
    <row r="156" spans="1:9" x14ac:dyDescent="0.25">
      <c r="A156" s="13">
        <v>245</v>
      </c>
      <c r="B156" s="11" t="s">
        <v>277</v>
      </c>
      <c r="C156" s="11" t="s">
        <v>494</v>
      </c>
      <c r="D156" s="12">
        <v>400</v>
      </c>
      <c r="E156"/>
      <c r="F156"/>
      <c r="G156"/>
      <c r="H156"/>
      <c r="I156"/>
    </row>
    <row r="157" spans="1:9" x14ac:dyDescent="0.25">
      <c r="A157" s="13">
        <v>246</v>
      </c>
      <c r="B157" s="11" t="s">
        <v>277</v>
      </c>
      <c r="C157" s="11" t="s">
        <v>167</v>
      </c>
      <c r="D157" s="12">
        <v>400</v>
      </c>
      <c r="E157"/>
      <c r="F157"/>
      <c r="G157"/>
      <c r="H157"/>
      <c r="I157"/>
    </row>
    <row r="158" spans="1:9" x14ac:dyDescent="0.25">
      <c r="A158" s="13">
        <v>249</v>
      </c>
      <c r="B158" s="11" t="s">
        <v>277</v>
      </c>
      <c r="C158" s="11" t="s">
        <v>494</v>
      </c>
      <c r="D158" s="12">
        <v>400</v>
      </c>
      <c r="E158"/>
      <c r="F158"/>
      <c r="G158"/>
      <c r="H158"/>
      <c r="I158"/>
    </row>
    <row r="159" spans="1:9" x14ac:dyDescent="0.25">
      <c r="A159" s="13">
        <v>250</v>
      </c>
      <c r="B159" s="11" t="s">
        <v>277</v>
      </c>
      <c r="C159" s="11" t="s">
        <v>497</v>
      </c>
      <c r="D159" s="12">
        <v>600</v>
      </c>
      <c r="E159"/>
      <c r="F159"/>
      <c r="G159"/>
      <c r="H159"/>
      <c r="I159"/>
    </row>
    <row r="160" spans="1:9" x14ac:dyDescent="0.25">
      <c r="A160" s="13">
        <v>252</v>
      </c>
      <c r="B160" s="11" t="s">
        <v>277</v>
      </c>
      <c r="C160" s="11" t="s">
        <v>497</v>
      </c>
      <c r="D160" s="12">
        <v>800</v>
      </c>
      <c r="E160"/>
      <c r="F160"/>
      <c r="G160"/>
      <c r="H160"/>
      <c r="I160"/>
    </row>
    <row r="161" spans="1:9" x14ac:dyDescent="0.25">
      <c r="A161" s="13">
        <v>253</v>
      </c>
      <c r="B161" s="11" t="s">
        <v>277</v>
      </c>
      <c r="C161" s="11" t="s">
        <v>497</v>
      </c>
      <c r="D161" s="12">
        <v>575</v>
      </c>
      <c r="E161"/>
      <c r="F161"/>
      <c r="G161"/>
      <c r="H161"/>
      <c r="I161"/>
    </row>
    <row r="162" spans="1:9" x14ac:dyDescent="0.25">
      <c r="A162" s="13">
        <v>254</v>
      </c>
      <c r="B162" s="11" t="s">
        <v>277</v>
      </c>
      <c r="C162" s="11" t="s">
        <v>497</v>
      </c>
      <c r="D162" s="12">
        <v>450</v>
      </c>
      <c r="E162"/>
      <c r="F162"/>
      <c r="G162"/>
      <c r="H162"/>
      <c r="I162"/>
    </row>
    <row r="163" spans="1:9" x14ac:dyDescent="0.25">
      <c r="A163" s="13">
        <v>255</v>
      </c>
      <c r="B163" s="11" t="s">
        <v>277</v>
      </c>
      <c r="C163" s="11" t="s">
        <v>497</v>
      </c>
      <c r="D163" s="12">
        <v>1200</v>
      </c>
      <c r="E163"/>
      <c r="F163"/>
      <c r="G163"/>
      <c r="H163"/>
      <c r="I163"/>
    </row>
    <row r="164" spans="1:9" x14ac:dyDescent="0.25">
      <c r="A164" s="13">
        <v>256</v>
      </c>
      <c r="B164" s="11" t="s">
        <v>277</v>
      </c>
      <c r="C164" s="11" t="s">
        <v>497</v>
      </c>
      <c r="D164" s="12">
        <v>950</v>
      </c>
      <c r="E164"/>
      <c r="F164"/>
      <c r="G164"/>
      <c r="H164"/>
      <c r="I164"/>
    </row>
    <row r="165" spans="1:9" x14ac:dyDescent="0.25">
      <c r="A165" s="13">
        <v>257</v>
      </c>
      <c r="B165" s="11" t="s">
        <v>277</v>
      </c>
      <c r="C165" s="11" t="s">
        <v>497</v>
      </c>
      <c r="D165" s="12">
        <v>725</v>
      </c>
      <c r="E165"/>
      <c r="F165"/>
      <c r="G165"/>
      <c r="H165"/>
      <c r="I165"/>
    </row>
    <row r="166" spans="1:9" x14ac:dyDescent="0.25">
      <c r="A166" s="13">
        <v>258</v>
      </c>
      <c r="B166" s="11" t="s">
        <v>277</v>
      </c>
      <c r="C166" s="11" t="s">
        <v>497</v>
      </c>
      <c r="D166" s="12">
        <v>825</v>
      </c>
      <c r="E166"/>
      <c r="F166"/>
      <c r="G166"/>
      <c r="H166"/>
      <c r="I166"/>
    </row>
    <row r="167" spans="1:9" x14ac:dyDescent="0.25">
      <c r="A167" s="13">
        <v>259</v>
      </c>
      <c r="B167" s="11" t="s">
        <v>277</v>
      </c>
      <c r="C167" s="11" t="s">
        <v>497</v>
      </c>
      <c r="D167" s="12">
        <v>950</v>
      </c>
      <c r="E167"/>
      <c r="F167"/>
      <c r="G167"/>
      <c r="H167"/>
      <c r="I167"/>
    </row>
    <row r="168" spans="1:9" x14ac:dyDescent="0.25">
      <c r="A168" s="13">
        <v>260</v>
      </c>
      <c r="B168" s="11" t="s">
        <v>277</v>
      </c>
      <c r="C168" s="11" t="s">
        <v>497</v>
      </c>
      <c r="D168" s="12">
        <v>750</v>
      </c>
      <c r="E168"/>
      <c r="F168"/>
      <c r="G168"/>
      <c r="H168"/>
      <c r="I168"/>
    </row>
    <row r="169" spans="1:9" x14ac:dyDescent="0.25">
      <c r="A169" s="13">
        <v>261</v>
      </c>
      <c r="B169" s="11" t="s">
        <v>277</v>
      </c>
      <c r="C169" s="11" t="s">
        <v>497</v>
      </c>
      <c r="D169" s="12">
        <v>925</v>
      </c>
      <c r="E169"/>
      <c r="F169"/>
      <c r="G169"/>
      <c r="H169"/>
      <c r="I169"/>
    </row>
    <row r="170" spans="1:9" x14ac:dyDescent="0.25">
      <c r="A170" s="13">
        <v>262</v>
      </c>
      <c r="B170" s="11" t="s">
        <v>277</v>
      </c>
      <c r="C170" s="11" t="s">
        <v>497</v>
      </c>
      <c r="D170" s="12">
        <v>900</v>
      </c>
      <c r="E170"/>
      <c r="F170"/>
      <c r="G170"/>
      <c r="H170"/>
      <c r="I170"/>
    </row>
    <row r="171" spans="1:9" x14ac:dyDescent="0.25">
      <c r="A171" s="13">
        <v>263</v>
      </c>
      <c r="B171" s="11" t="s">
        <v>277</v>
      </c>
      <c r="C171" s="11" t="s">
        <v>497</v>
      </c>
      <c r="D171" s="12">
        <v>1050</v>
      </c>
      <c r="E171"/>
      <c r="F171"/>
      <c r="G171"/>
      <c r="H171"/>
      <c r="I171"/>
    </row>
    <row r="172" spans="1:9" x14ac:dyDescent="0.25">
      <c r="A172" s="13">
        <v>264</v>
      </c>
      <c r="B172" s="11" t="s">
        <v>277</v>
      </c>
      <c r="C172" s="11" t="s">
        <v>497</v>
      </c>
      <c r="D172" s="12">
        <v>800</v>
      </c>
      <c r="E172"/>
      <c r="F172"/>
      <c r="G172"/>
      <c r="H172"/>
      <c r="I172"/>
    </row>
    <row r="173" spans="1:9" x14ac:dyDescent="0.25">
      <c r="A173" s="13">
        <v>266</v>
      </c>
      <c r="B173" s="11" t="s">
        <v>277</v>
      </c>
      <c r="C173" s="11" t="s">
        <v>497</v>
      </c>
      <c r="D173" s="12">
        <v>1000</v>
      </c>
      <c r="E173"/>
      <c r="F173"/>
      <c r="G173"/>
      <c r="H173"/>
      <c r="I173"/>
    </row>
    <row r="174" spans="1:9" x14ac:dyDescent="0.25">
      <c r="A174" s="13">
        <v>267</v>
      </c>
      <c r="B174" s="11" t="s">
        <v>277</v>
      </c>
      <c r="C174" s="11" t="s">
        <v>497</v>
      </c>
      <c r="D174" s="12">
        <v>925</v>
      </c>
      <c r="E174"/>
      <c r="F174"/>
      <c r="G174"/>
      <c r="H174"/>
      <c r="I174"/>
    </row>
    <row r="175" spans="1:9" x14ac:dyDescent="0.25">
      <c r="A175" s="13">
        <v>269</v>
      </c>
      <c r="B175" s="11" t="s">
        <v>277</v>
      </c>
      <c r="C175" s="11" t="s">
        <v>494</v>
      </c>
      <c r="D175" s="12">
        <v>425</v>
      </c>
      <c r="E175"/>
      <c r="F175"/>
      <c r="G175"/>
      <c r="H175"/>
      <c r="I175"/>
    </row>
    <row r="176" spans="1:9" x14ac:dyDescent="0.25">
      <c r="A176" s="13">
        <v>271</v>
      </c>
      <c r="B176" s="11" t="s">
        <v>277</v>
      </c>
      <c r="C176" s="11" t="s">
        <v>494</v>
      </c>
      <c r="D176" s="12">
        <v>500</v>
      </c>
      <c r="E176"/>
      <c r="F176"/>
      <c r="G176"/>
      <c r="H176"/>
      <c r="I176"/>
    </row>
    <row r="177" spans="1:9" x14ac:dyDescent="0.25">
      <c r="A177" s="13">
        <v>272</v>
      </c>
      <c r="B177" s="11" t="s">
        <v>277</v>
      </c>
      <c r="C177" s="11" t="s">
        <v>494</v>
      </c>
      <c r="D177" s="12">
        <v>500</v>
      </c>
      <c r="E177"/>
      <c r="F177"/>
      <c r="G177"/>
      <c r="H177"/>
      <c r="I177"/>
    </row>
    <row r="178" spans="1:9" x14ac:dyDescent="0.25">
      <c r="A178" s="13">
        <v>273</v>
      </c>
      <c r="B178" s="11" t="s">
        <v>277</v>
      </c>
      <c r="C178" s="11" t="s">
        <v>494</v>
      </c>
      <c r="D178" s="12">
        <v>150</v>
      </c>
      <c r="E178"/>
      <c r="F178"/>
      <c r="G178"/>
      <c r="H178"/>
      <c r="I178"/>
    </row>
    <row r="179" spans="1:9" x14ac:dyDescent="0.25">
      <c r="A179" s="13">
        <v>274</v>
      </c>
      <c r="B179" s="11" t="s">
        <v>277</v>
      </c>
      <c r="C179" s="11" t="s">
        <v>494</v>
      </c>
      <c r="D179" s="12">
        <v>175</v>
      </c>
      <c r="E179"/>
      <c r="F179"/>
      <c r="G179"/>
      <c r="H179"/>
      <c r="I179"/>
    </row>
    <row r="180" spans="1:9" x14ac:dyDescent="0.25">
      <c r="A180" s="13">
        <v>280</v>
      </c>
      <c r="B180" s="11" t="s">
        <v>277</v>
      </c>
      <c r="C180" s="11" t="s">
        <v>494</v>
      </c>
      <c r="D180" s="12">
        <v>125</v>
      </c>
      <c r="E180"/>
      <c r="F180"/>
      <c r="G180"/>
      <c r="H180"/>
      <c r="I180"/>
    </row>
    <row r="181" spans="1:9" x14ac:dyDescent="0.25">
      <c r="A181" s="13">
        <v>281</v>
      </c>
      <c r="B181" s="11" t="s">
        <v>277</v>
      </c>
      <c r="C181" s="11" t="s">
        <v>494</v>
      </c>
      <c r="D181" s="12">
        <v>225</v>
      </c>
      <c r="E181"/>
      <c r="F181"/>
      <c r="G181"/>
      <c r="H181"/>
      <c r="I181"/>
    </row>
    <row r="182" spans="1:9" x14ac:dyDescent="0.25">
      <c r="A182" s="13">
        <v>284</v>
      </c>
      <c r="B182" s="11" t="s">
        <v>277</v>
      </c>
      <c r="C182" s="11" t="s">
        <v>494</v>
      </c>
      <c r="D182" s="12">
        <v>175</v>
      </c>
      <c r="E182"/>
      <c r="F182"/>
      <c r="G182"/>
      <c r="H182"/>
      <c r="I182"/>
    </row>
    <row r="183" spans="1:9" x14ac:dyDescent="0.25">
      <c r="A183" s="13">
        <v>286</v>
      </c>
      <c r="B183" s="11" t="s">
        <v>277</v>
      </c>
      <c r="C183" s="11" t="s">
        <v>494</v>
      </c>
      <c r="D183" s="12">
        <v>275</v>
      </c>
      <c r="E183"/>
      <c r="F183"/>
      <c r="G183"/>
      <c r="H183"/>
      <c r="I183"/>
    </row>
    <row r="184" spans="1:9" x14ac:dyDescent="0.25">
      <c r="A184" s="13">
        <v>288</v>
      </c>
      <c r="B184" s="11" t="s">
        <v>277</v>
      </c>
      <c r="C184" s="11" t="s">
        <v>494</v>
      </c>
      <c r="D184" s="12">
        <v>200</v>
      </c>
      <c r="E184"/>
      <c r="F184"/>
      <c r="G184"/>
      <c r="H184"/>
      <c r="I184"/>
    </row>
    <row r="185" spans="1:9" x14ac:dyDescent="0.25">
      <c r="A185" s="13">
        <v>289</v>
      </c>
      <c r="B185" s="11" t="s">
        <v>277</v>
      </c>
      <c r="C185" s="11" t="s">
        <v>494</v>
      </c>
      <c r="D185" s="12">
        <v>200</v>
      </c>
      <c r="E185"/>
      <c r="F185"/>
      <c r="G185"/>
      <c r="H185"/>
      <c r="I185"/>
    </row>
    <row r="186" spans="1:9" x14ac:dyDescent="0.25">
      <c r="A186" s="13">
        <v>291</v>
      </c>
      <c r="B186" s="11" t="s">
        <v>284</v>
      </c>
      <c r="C186" s="11" t="s">
        <v>493</v>
      </c>
      <c r="D186" s="12">
        <v>1050</v>
      </c>
      <c r="E186"/>
      <c r="F186"/>
      <c r="G186"/>
      <c r="H186"/>
      <c r="I186"/>
    </row>
    <row r="187" spans="1:9" x14ac:dyDescent="0.25">
      <c r="A187" s="13">
        <v>292</v>
      </c>
      <c r="B187" s="11" t="s">
        <v>284</v>
      </c>
      <c r="C187" s="11" t="s">
        <v>493</v>
      </c>
      <c r="D187" s="12">
        <v>1050</v>
      </c>
      <c r="E187"/>
      <c r="F187"/>
      <c r="G187"/>
      <c r="H187"/>
      <c r="I187"/>
    </row>
    <row r="188" spans="1:9" x14ac:dyDescent="0.25">
      <c r="A188" s="13">
        <v>333</v>
      </c>
      <c r="B188" s="11" t="s">
        <v>277</v>
      </c>
      <c r="C188" s="11" t="s">
        <v>494</v>
      </c>
      <c r="D188" s="12">
        <v>125</v>
      </c>
      <c r="E188"/>
      <c r="F188"/>
      <c r="G188"/>
      <c r="H188"/>
      <c r="I188"/>
    </row>
    <row r="189" spans="1:9" x14ac:dyDescent="0.25">
      <c r="A189" s="13">
        <v>401</v>
      </c>
      <c r="B189" s="11" t="s">
        <v>277</v>
      </c>
      <c r="C189" s="11" t="s">
        <v>494</v>
      </c>
      <c r="D189" s="12">
        <v>200</v>
      </c>
      <c r="E189"/>
      <c r="F189"/>
      <c r="G189"/>
      <c r="H189"/>
      <c r="I189"/>
    </row>
    <row r="190" spans="1:9" x14ac:dyDescent="0.25">
      <c r="A190" s="13">
        <v>403</v>
      </c>
      <c r="B190" s="11" t="s">
        <v>277</v>
      </c>
      <c r="C190" s="11" t="s">
        <v>494</v>
      </c>
      <c r="D190" s="12">
        <v>225</v>
      </c>
      <c r="E190"/>
      <c r="F190"/>
      <c r="G190"/>
      <c r="H190"/>
      <c r="I190"/>
    </row>
    <row r="191" spans="1:9" x14ac:dyDescent="0.25">
      <c r="A191" s="13">
        <v>404</v>
      </c>
      <c r="B191" s="11" t="s">
        <v>277</v>
      </c>
      <c r="C191" s="11" t="s">
        <v>494</v>
      </c>
      <c r="D191" s="12">
        <v>200</v>
      </c>
      <c r="E191"/>
      <c r="F191"/>
      <c r="G191"/>
      <c r="H191"/>
      <c r="I191"/>
    </row>
    <row r="192" spans="1:9" x14ac:dyDescent="0.25">
      <c r="A192" s="13">
        <v>405</v>
      </c>
      <c r="B192" s="11" t="s">
        <v>277</v>
      </c>
      <c r="C192" s="11" t="s">
        <v>494</v>
      </c>
      <c r="D192" s="12">
        <v>200</v>
      </c>
      <c r="E192"/>
      <c r="F192"/>
      <c r="G192"/>
      <c r="H192"/>
      <c r="I192"/>
    </row>
    <row r="193" spans="1:9" x14ac:dyDescent="0.25">
      <c r="A193" s="13">
        <v>407</v>
      </c>
      <c r="B193" s="11" t="s">
        <v>277</v>
      </c>
      <c r="C193" s="11" t="s">
        <v>494</v>
      </c>
      <c r="D193" s="12">
        <v>300</v>
      </c>
      <c r="E193"/>
      <c r="F193"/>
      <c r="G193"/>
      <c r="H193"/>
      <c r="I193"/>
    </row>
    <row r="194" spans="1:9" x14ac:dyDescent="0.25">
      <c r="A194" s="13">
        <v>408</v>
      </c>
      <c r="B194" s="11" t="s">
        <v>277</v>
      </c>
      <c r="C194" s="11" t="s">
        <v>494</v>
      </c>
      <c r="D194" s="12">
        <v>225</v>
      </c>
      <c r="E194"/>
      <c r="F194"/>
      <c r="G194"/>
      <c r="H194"/>
      <c r="I194"/>
    </row>
    <row r="195" spans="1:9" x14ac:dyDescent="0.25">
      <c r="A195" s="13">
        <v>409</v>
      </c>
      <c r="B195" s="11" t="s">
        <v>277</v>
      </c>
      <c r="C195" s="11" t="s">
        <v>494</v>
      </c>
      <c r="D195" s="12">
        <v>175</v>
      </c>
      <c r="E195"/>
      <c r="F195"/>
      <c r="G195"/>
      <c r="H195"/>
      <c r="I195"/>
    </row>
    <row r="196" spans="1:9" x14ac:dyDescent="0.25">
      <c r="A196" s="13">
        <v>410</v>
      </c>
      <c r="B196" s="11" t="s">
        <v>277</v>
      </c>
      <c r="C196" s="11" t="s">
        <v>494</v>
      </c>
      <c r="D196" s="12">
        <v>250</v>
      </c>
      <c r="E196"/>
      <c r="F196"/>
      <c r="G196"/>
      <c r="H196"/>
      <c r="I196"/>
    </row>
    <row r="197" spans="1:9" x14ac:dyDescent="0.25">
      <c r="A197" s="13">
        <v>411</v>
      </c>
      <c r="B197" s="11" t="s">
        <v>277</v>
      </c>
      <c r="C197" s="11" t="s">
        <v>494</v>
      </c>
      <c r="D197" s="12">
        <v>175</v>
      </c>
      <c r="E197"/>
      <c r="F197"/>
      <c r="G197"/>
      <c r="H197"/>
      <c r="I197"/>
    </row>
    <row r="198" spans="1:9" x14ac:dyDescent="0.25">
      <c r="A198" s="13">
        <v>412</v>
      </c>
      <c r="B198" s="11" t="s">
        <v>277</v>
      </c>
      <c r="C198" s="11" t="s">
        <v>494</v>
      </c>
      <c r="D198" s="12">
        <v>225</v>
      </c>
      <c r="E198"/>
      <c r="F198"/>
      <c r="G198"/>
      <c r="H198"/>
      <c r="I198"/>
    </row>
    <row r="199" spans="1:9" x14ac:dyDescent="0.25">
      <c r="A199" s="13">
        <v>413</v>
      </c>
      <c r="B199" s="11" t="s">
        <v>277</v>
      </c>
      <c r="C199" s="11" t="s">
        <v>494</v>
      </c>
      <c r="D199" s="12">
        <v>175</v>
      </c>
      <c r="E199"/>
      <c r="F199"/>
      <c r="G199"/>
      <c r="H199"/>
      <c r="I199"/>
    </row>
    <row r="200" spans="1:9" x14ac:dyDescent="0.25">
      <c r="A200" s="13">
        <v>414</v>
      </c>
      <c r="B200" s="11" t="s">
        <v>277</v>
      </c>
      <c r="C200" s="11" t="s">
        <v>494</v>
      </c>
      <c r="D200" s="12">
        <v>200</v>
      </c>
      <c r="E200"/>
      <c r="F200"/>
      <c r="G200"/>
      <c r="H200"/>
      <c r="I200"/>
    </row>
    <row r="201" spans="1:9" x14ac:dyDescent="0.25">
      <c r="A201" s="13">
        <v>415</v>
      </c>
      <c r="B201" s="11" t="s">
        <v>277</v>
      </c>
      <c r="C201" s="11" t="s">
        <v>494</v>
      </c>
      <c r="D201" s="12">
        <v>200</v>
      </c>
      <c r="E201"/>
      <c r="F201"/>
      <c r="G201"/>
      <c r="H201"/>
      <c r="I201"/>
    </row>
    <row r="202" spans="1:9" x14ac:dyDescent="0.25">
      <c r="A202" s="13">
        <v>416</v>
      </c>
      <c r="B202" s="11" t="s">
        <v>277</v>
      </c>
      <c r="C202" s="11" t="s">
        <v>494</v>
      </c>
      <c r="D202" s="12">
        <v>175</v>
      </c>
      <c r="E202"/>
      <c r="F202"/>
      <c r="G202"/>
      <c r="H202"/>
      <c r="I202"/>
    </row>
    <row r="203" spans="1:9" x14ac:dyDescent="0.25">
      <c r="A203" s="13">
        <v>417</v>
      </c>
      <c r="B203" s="11" t="s">
        <v>277</v>
      </c>
      <c r="C203" s="11" t="s">
        <v>494</v>
      </c>
      <c r="D203" s="12">
        <v>275</v>
      </c>
      <c r="E203"/>
      <c r="F203"/>
      <c r="G203"/>
      <c r="H203"/>
      <c r="I203"/>
    </row>
    <row r="204" spans="1:9" x14ac:dyDescent="0.25">
      <c r="A204" s="13">
        <v>418</v>
      </c>
      <c r="B204" s="11" t="s">
        <v>284</v>
      </c>
      <c r="C204" s="11" t="s">
        <v>494</v>
      </c>
      <c r="D204" s="12">
        <v>225</v>
      </c>
      <c r="E204"/>
      <c r="F204"/>
      <c r="G204"/>
      <c r="H204"/>
      <c r="I204"/>
    </row>
    <row r="205" spans="1:9" x14ac:dyDescent="0.25">
      <c r="A205" s="13">
        <v>424</v>
      </c>
      <c r="B205" s="11" t="s">
        <v>277</v>
      </c>
      <c r="C205" s="11" t="s">
        <v>494</v>
      </c>
      <c r="D205" s="12">
        <v>300</v>
      </c>
      <c r="E205"/>
      <c r="F205"/>
      <c r="G205"/>
      <c r="H205"/>
      <c r="I205"/>
    </row>
    <row r="206" spans="1:9" x14ac:dyDescent="0.25">
      <c r="A206" s="13">
        <v>426</v>
      </c>
      <c r="B206" s="11" t="s">
        <v>277</v>
      </c>
      <c r="C206" s="11" t="s">
        <v>494</v>
      </c>
      <c r="D206" s="12">
        <v>275</v>
      </c>
      <c r="E206"/>
      <c r="F206"/>
      <c r="G206"/>
      <c r="H206"/>
      <c r="I206"/>
    </row>
    <row r="207" spans="1:9" x14ac:dyDescent="0.25">
      <c r="A207" s="13">
        <v>427</v>
      </c>
      <c r="B207" s="11" t="s">
        <v>277</v>
      </c>
      <c r="C207" s="11" t="s">
        <v>494</v>
      </c>
      <c r="D207" s="12">
        <v>225</v>
      </c>
      <c r="E207"/>
      <c r="F207"/>
      <c r="G207"/>
      <c r="H207"/>
      <c r="I207"/>
    </row>
    <row r="208" spans="1:9" x14ac:dyDescent="0.25">
      <c r="A208" s="13">
        <v>429</v>
      </c>
      <c r="B208" s="11" t="s">
        <v>277</v>
      </c>
      <c r="C208" s="11" t="s">
        <v>494</v>
      </c>
      <c r="D208" s="12">
        <v>200</v>
      </c>
      <c r="E208"/>
      <c r="F208"/>
      <c r="G208"/>
      <c r="H208"/>
      <c r="I208"/>
    </row>
    <row r="209" spans="1:9" x14ac:dyDescent="0.25">
      <c r="A209" s="13">
        <v>430</v>
      </c>
      <c r="B209" s="11" t="s">
        <v>277</v>
      </c>
      <c r="C209" s="11" t="s">
        <v>494</v>
      </c>
      <c r="D209" s="12">
        <v>175</v>
      </c>
      <c r="E209"/>
      <c r="F209"/>
      <c r="G209"/>
      <c r="H209"/>
      <c r="I209"/>
    </row>
    <row r="210" spans="1:9" x14ac:dyDescent="0.25">
      <c r="A210" s="13">
        <v>432</v>
      </c>
      <c r="B210" s="11" t="s">
        <v>277</v>
      </c>
      <c r="C210" s="11" t="s">
        <v>494</v>
      </c>
      <c r="D210" s="12">
        <v>225</v>
      </c>
      <c r="E210"/>
      <c r="F210"/>
      <c r="G210"/>
      <c r="H210"/>
      <c r="I210"/>
    </row>
    <row r="211" spans="1:9" x14ac:dyDescent="0.25">
      <c r="A211" s="13">
        <v>438</v>
      </c>
      <c r="B211" s="11" t="s">
        <v>277</v>
      </c>
      <c r="C211" s="11" t="s">
        <v>494</v>
      </c>
      <c r="D211" s="12">
        <v>275</v>
      </c>
      <c r="E211"/>
      <c r="F211"/>
      <c r="G211"/>
      <c r="H211"/>
      <c r="I211"/>
    </row>
    <row r="212" spans="1:9" x14ac:dyDescent="0.25">
      <c r="A212" s="13">
        <v>442</v>
      </c>
      <c r="B212" s="11" t="s">
        <v>277</v>
      </c>
      <c r="C212" s="11" t="s">
        <v>494</v>
      </c>
      <c r="D212" s="12">
        <v>225</v>
      </c>
      <c r="E212"/>
      <c r="F212"/>
      <c r="G212"/>
      <c r="H212"/>
      <c r="I212"/>
    </row>
    <row r="213" spans="1:9" x14ac:dyDescent="0.25">
      <c r="A213" s="13">
        <v>446</v>
      </c>
      <c r="B213" s="11" t="s">
        <v>277</v>
      </c>
      <c r="C213" s="11" t="s">
        <v>494</v>
      </c>
      <c r="D213" s="12">
        <v>225</v>
      </c>
      <c r="E213"/>
      <c r="F213"/>
      <c r="G213"/>
      <c r="H213"/>
      <c r="I213"/>
    </row>
    <row r="214" spans="1:9" x14ac:dyDescent="0.25">
      <c r="A214" s="13">
        <v>448</v>
      </c>
      <c r="B214" s="11" t="s">
        <v>277</v>
      </c>
      <c r="C214" s="11" t="s">
        <v>494</v>
      </c>
      <c r="D214" s="12">
        <v>300</v>
      </c>
      <c r="E214"/>
      <c r="F214"/>
      <c r="G214"/>
      <c r="H214"/>
      <c r="I214"/>
    </row>
    <row r="215" spans="1:9" x14ac:dyDescent="0.25">
      <c r="A215" s="13">
        <v>449</v>
      </c>
      <c r="B215" s="11" t="s">
        <v>277</v>
      </c>
      <c r="C215" s="11" t="s">
        <v>494</v>
      </c>
      <c r="D215" s="12">
        <v>175</v>
      </c>
      <c r="E215"/>
      <c r="F215"/>
      <c r="G215"/>
      <c r="H215"/>
      <c r="I215"/>
    </row>
    <row r="216" spans="1:9" x14ac:dyDescent="0.25">
      <c r="A216" s="13">
        <v>474</v>
      </c>
      <c r="B216" s="11" t="s">
        <v>277</v>
      </c>
      <c r="C216" s="11" t="s">
        <v>494</v>
      </c>
      <c r="D216" s="12">
        <v>225</v>
      </c>
      <c r="E216"/>
      <c r="F216"/>
      <c r="G216"/>
      <c r="H216"/>
      <c r="I216"/>
    </row>
    <row r="217" spans="1:9" x14ac:dyDescent="0.25">
      <c r="A217" s="13">
        <v>477</v>
      </c>
      <c r="B217" s="11" t="s">
        <v>277</v>
      </c>
      <c r="C217" s="11" t="s">
        <v>494</v>
      </c>
      <c r="D217" s="12">
        <v>125</v>
      </c>
      <c r="E217"/>
      <c r="F217"/>
      <c r="G217"/>
      <c r="H217"/>
      <c r="I217"/>
    </row>
    <row r="218" spans="1:9" x14ac:dyDescent="0.25">
      <c r="A218" s="13">
        <v>480</v>
      </c>
      <c r="B218" s="11" t="s">
        <v>277</v>
      </c>
      <c r="C218" s="11" t="s">
        <v>494</v>
      </c>
      <c r="D218" s="12">
        <v>175</v>
      </c>
      <c r="E218"/>
      <c r="F218"/>
      <c r="G218"/>
      <c r="H218"/>
      <c r="I218"/>
    </row>
    <row r="219" spans="1:9" x14ac:dyDescent="0.25">
      <c r="A219" s="13">
        <v>481</v>
      </c>
      <c r="B219" s="11" t="s">
        <v>277</v>
      </c>
      <c r="C219" s="11" t="s">
        <v>494</v>
      </c>
      <c r="D219" s="12">
        <v>150</v>
      </c>
      <c r="E219"/>
      <c r="F219"/>
      <c r="G219"/>
      <c r="H219"/>
      <c r="I219"/>
    </row>
    <row r="220" spans="1:9" x14ac:dyDescent="0.25">
      <c r="A220" s="13">
        <v>484</v>
      </c>
      <c r="B220" s="11" t="s">
        <v>277</v>
      </c>
      <c r="C220" s="11" t="s">
        <v>494</v>
      </c>
      <c r="D220" s="12">
        <v>275</v>
      </c>
      <c r="E220"/>
      <c r="F220"/>
      <c r="G220"/>
      <c r="H220"/>
      <c r="I220"/>
    </row>
    <row r="221" spans="1:9" x14ac:dyDescent="0.25">
      <c r="A221" s="13">
        <v>491</v>
      </c>
      <c r="B221" s="11" t="s">
        <v>277</v>
      </c>
      <c r="C221" s="11" t="s">
        <v>494</v>
      </c>
      <c r="D221" s="12">
        <v>125</v>
      </c>
      <c r="E221"/>
      <c r="F221"/>
      <c r="G221"/>
      <c r="H221"/>
      <c r="I221"/>
    </row>
    <row r="222" spans="1:9" x14ac:dyDescent="0.25">
      <c r="A222" s="13">
        <v>493</v>
      </c>
      <c r="B222" s="11" t="s">
        <v>277</v>
      </c>
      <c r="C222" s="11" t="s">
        <v>494</v>
      </c>
      <c r="D222" s="12">
        <v>275</v>
      </c>
      <c r="E222"/>
      <c r="F222"/>
      <c r="G222"/>
      <c r="H222"/>
      <c r="I222"/>
    </row>
    <row r="223" spans="1:9" x14ac:dyDescent="0.25">
      <c r="A223" s="13">
        <v>601</v>
      </c>
      <c r="B223" s="11" t="s">
        <v>277</v>
      </c>
      <c r="C223" s="11" t="s">
        <v>494</v>
      </c>
      <c r="D223" s="12">
        <v>725</v>
      </c>
      <c r="E223"/>
      <c r="F223"/>
      <c r="G223"/>
      <c r="H223"/>
      <c r="I223"/>
    </row>
    <row r="224" spans="1:9" x14ac:dyDescent="0.25">
      <c r="A224" s="13">
        <v>602</v>
      </c>
      <c r="B224" s="11" t="s">
        <v>277</v>
      </c>
      <c r="C224" s="11" t="s">
        <v>494</v>
      </c>
      <c r="D224" s="12">
        <v>625</v>
      </c>
      <c r="E224"/>
      <c r="F224"/>
      <c r="G224"/>
      <c r="H224"/>
      <c r="I224"/>
    </row>
    <row r="225" spans="1:9" x14ac:dyDescent="0.25">
      <c r="A225" s="13">
        <v>603</v>
      </c>
      <c r="B225" s="11" t="s">
        <v>277</v>
      </c>
      <c r="C225" s="11" t="s">
        <v>494</v>
      </c>
      <c r="D225" s="12">
        <v>625</v>
      </c>
      <c r="E225"/>
      <c r="F225"/>
      <c r="G225"/>
      <c r="H225"/>
      <c r="I225"/>
    </row>
    <row r="226" spans="1:9" x14ac:dyDescent="0.25">
      <c r="A226" s="13">
        <v>604</v>
      </c>
      <c r="B226" s="11" t="s">
        <v>277</v>
      </c>
      <c r="C226" s="11" t="s">
        <v>494</v>
      </c>
      <c r="D226" s="12">
        <v>725</v>
      </c>
      <c r="E226"/>
      <c r="F226"/>
      <c r="G226"/>
      <c r="H226"/>
      <c r="I226"/>
    </row>
    <row r="227" spans="1:9" x14ac:dyDescent="0.25">
      <c r="A227" s="13">
        <v>605</v>
      </c>
      <c r="B227" s="11" t="s">
        <v>277</v>
      </c>
      <c r="C227" s="11" t="s">
        <v>494</v>
      </c>
      <c r="D227" s="12">
        <v>725</v>
      </c>
      <c r="E227"/>
      <c r="F227"/>
      <c r="G227"/>
      <c r="H227"/>
      <c r="I227"/>
    </row>
    <row r="228" spans="1:9" x14ac:dyDescent="0.25">
      <c r="A228" s="13">
        <v>607</v>
      </c>
      <c r="B228" s="11" t="s">
        <v>277</v>
      </c>
      <c r="C228" s="11" t="s">
        <v>494</v>
      </c>
      <c r="D228" s="12">
        <v>775</v>
      </c>
      <c r="E228"/>
      <c r="F228"/>
      <c r="G228"/>
      <c r="H228"/>
      <c r="I228"/>
    </row>
    <row r="229" spans="1:9" x14ac:dyDescent="0.25">
      <c r="A229" s="13">
        <v>608</v>
      </c>
      <c r="B229" s="11" t="s">
        <v>277</v>
      </c>
      <c r="C229" s="11" t="s">
        <v>494</v>
      </c>
      <c r="D229" s="12">
        <v>725</v>
      </c>
      <c r="E229"/>
      <c r="F229"/>
      <c r="G229"/>
      <c r="H229"/>
      <c r="I229"/>
    </row>
    <row r="230" spans="1:9" x14ac:dyDescent="0.25">
      <c r="A230" s="13">
        <v>609</v>
      </c>
      <c r="B230" s="11" t="s">
        <v>277</v>
      </c>
      <c r="C230" s="11" t="s">
        <v>494</v>
      </c>
      <c r="D230" s="12">
        <v>800</v>
      </c>
      <c r="E230"/>
      <c r="F230"/>
      <c r="G230"/>
      <c r="H230"/>
      <c r="I230"/>
    </row>
    <row r="231" spans="1:9" x14ac:dyDescent="0.25">
      <c r="A231" s="13">
        <v>610</v>
      </c>
      <c r="B231" s="11" t="s">
        <v>277</v>
      </c>
      <c r="C231" s="11" t="s">
        <v>494</v>
      </c>
      <c r="D231" s="12">
        <v>875</v>
      </c>
      <c r="E231"/>
      <c r="F231"/>
      <c r="G231"/>
      <c r="H231"/>
      <c r="I231"/>
    </row>
    <row r="232" spans="1:9" x14ac:dyDescent="0.25">
      <c r="A232" s="13">
        <v>626</v>
      </c>
      <c r="B232" s="11" t="s">
        <v>277</v>
      </c>
      <c r="C232" s="11" t="s">
        <v>494</v>
      </c>
      <c r="D232" s="12">
        <v>1075</v>
      </c>
      <c r="E232"/>
      <c r="F232"/>
      <c r="G232"/>
      <c r="H232"/>
      <c r="I232"/>
    </row>
    <row r="233" spans="1:9" x14ac:dyDescent="0.25">
      <c r="A233" s="13">
        <v>627</v>
      </c>
      <c r="B233" s="11" t="s">
        <v>277</v>
      </c>
      <c r="C233" s="11" t="s">
        <v>494</v>
      </c>
      <c r="D233" s="12">
        <v>1075</v>
      </c>
      <c r="E233"/>
      <c r="F233"/>
      <c r="G233"/>
      <c r="H233"/>
      <c r="I233"/>
    </row>
    <row r="234" spans="1:9" x14ac:dyDescent="0.25">
      <c r="A234" s="13">
        <v>628</v>
      </c>
      <c r="B234" s="11" t="s">
        <v>277</v>
      </c>
      <c r="C234" s="11" t="s">
        <v>494</v>
      </c>
      <c r="D234" s="12">
        <v>875</v>
      </c>
      <c r="E234"/>
      <c r="F234"/>
      <c r="G234"/>
      <c r="H234"/>
      <c r="I234"/>
    </row>
    <row r="235" spans="1:9" x14ac:dyDescent="0.25">
      <c r="A235" s="13">
        <v>629</v>
      </c>
      <c r="B235" s="11" t="s">
        <v>277</v>
      </c>
      <c r="C235" s="11" t="s">
        <v>494</v>
      </c>
      <c r="D235" s="12">
        <v>1025</v>
      </c>
      <c r="E235"/>
      <c r="F235"/>
      <c r="G235"/>
      <c r="H235"/>
      <c r="I235"/>
    </row>
    <row r="236" spans="1:9" x14ac:dyDescent="0.25">
      <c r="A236" s="13">
        <v>630</v>
      </c>
      <c r="B236" s="11" t="s">
        <v>277</v>
      </c>
      <c r="C236" s="11" t="s">
        <v>494</v>
      </c>
      <c r="D236" s="12">
        <v>975</v>
      </c>
      <c r="E236"/>
      <c r="F236"/>
      <c r="G236"/>
      <c r="H236"/>
      <c r="I236"/>
    </row>
    <row r="237" spans="1:9" x14ac:dyDescent="0.25">
      <c r="A237" s="13">
        <v>631</v>
      </c>
      <c r="B237" s="11" t="s">
        <v>284</v>
      </c>
      <c r="C237" s="11" t="s">
        <v>494</v>
      </c>
      <c r="D237" s="12">
        <v>750</v>
      </c>
      <c r="E237"/>
      <c r="F237"/>
      <c r="G237"/>
      <c r="H237"/>
      <c r="I237"/>
    </row>
    <row r="238" spans="1:9" x14ac:dyDescent="0.25">
      <c r="A238" s="13">
        <v>632</v>
      </c>
      <c r="B238" s="11" t="s">
        <v>277</v>
      </c>
      <c r="C238" s="11" t="s">
        <v>494</v>
      </c>
      <c r="D238" s="12">
        <v>700</v>
      </c>
      <c r="E238"/>
      <c r="F238"/>
      <c r="G238"/>
      <c r="H238"/>
      <c r="I238"/>
    </row>
    <row r="239" spans="1:9" x14ac:dyDescent="0.25">
      <c r="A239" s="13">
        <v>745</v>
      </c>
      <c r="B239" s="11" t="s">
        <v>277</v>
      </c>
      <c r="C239" s="11" t="s">
        <v>494</v>
      </c>
      <c r="D239" s="12">
        <v>200</v>
      </c>
      <c r="E239"/>
      <c r="F239"/>
      <c r="G239"/>
      <c r="H239"/>
      <c r="I239"/>
    </row>
    <row r="240" spans="1:9" x14ac:dyDescent="0.25">
      <c r="A240" s="13">
        <v>750</v>
      </c>
      <c r="B240" s="11" t="s">
        <v>277</v>
      </c>
      <c r="C240" s="11" t="s">
        <v>494</v>
      </c>
      <c r="D240" s="12">
        <v>350</v>
      </c>
      <c r="E240"/>
      <c r="F240"/>
      <c r="G240"/>
      <c r="H240"/>
      <c r="I240"/>
    </row>
    <row r="241" spans="1:9" x14ac:dyDescent="0.25">
      <c r="A241" s="13">
        <v>764</v>
      </c>
      <c r="B241" s="11" t="s">
        <v>277</v>
      </c>
      <c r="C241" s="11" t="s">
        <v>494</v>
      </c>
      <c r="D241" s="12">
        <v>325</v>
      </c>
      <c r="E241"/>
      <c r="F241"/>
      <c r="G241"/>
      <c r="H241"/>
      <c r="I241"/>
    </row>
    <row r="242" spans="1:9" x14ac:dyDescent="0.25">
      <c r="A242" s="13">
        <v>765</v>
      </c>
      <c r="B242" s="11" t="s">
        <v>277</v>
      </c>
      <c r="C242" s="11" t="s">
        <v>494</v>
      </c>
      <c r="D242" s="12">
        <v>225</v>
      </c>
      <c r="E242"/>
      <c r="F242"/>
      <c r="G242"/>
      <c r="H242"/>
      <c r="I242"/>
    </row>
    <row r="243" spans="1:9" x14ac:dyDescent="0.25">
      <c r="A243" s="13">
        <v>766</v>
      </c>
      <c r="B243" s="11" t="s">
        <v>277</v>
      </c>
      <c r="C243" s="11" t="s">
        <v>494</v>
      </c>
      <c r="D243" s="12">
        <v>250</v>
      </c>
      <c r="E243"/>
      <c r="F243"/>
      <c r="G243"/>
      <c r="H243"/>
      <c r="I243"/>
    </row>
    <row r="244" spans="1:9" x14ac:dyDescent="0.25">
      <c r="A244" s="13">
        <v>767</v>
      </c>
      <c r="B244" s="11" t="s">
        <v>277</v>
      </c>
      <c r="C244" s="11" t="s">
        <v>494</v>
      </c>
      <c r="D244" s="12">
        <v>450</v>
      </c>
      <c r="E244"/>
      <c r="F244"/>
      <c r="G244"/>
      <c r="H244"/>
      <c r="I244"/>
    </row>
    <row r="245" spans="1:9" x14ac:dyDescent="0.25">
      <c r="A245" s="13">
        <v>772</v>
      </c>
      <c r="B245" s="11" t="s">
        <v>277</v>
      </c>
      <c r="C245" s="11" t="s">
        <v>494</v>
      </c>
      <c r="D245" s="12">
        <v>250</v>
      </c>
      <c r="E245"/>
      <c r="F245"/>
      <c r="G245"/>
      <c r="H245"/>
      <c r="I245"/>
    </row>
    <row r="246" spans="1:9" x14ac:dyDescent="0.25">
      <c r="A246" s="13">
        <v>801</v>
      </c>
      <c r="B246" s="11" t="s">
        <v>277</v>
      </c>
      <c r="C246" s="11" t="s">
        <v>497</v>
      </c>
      <c r="D246" s="12">
        <v>2175</v>
      </c>
      <c r="E246"/>
      <c r="F246"/>
      <c r="G246"/>
      <c r="H246"/>
      <c r="I246"/>
    </row>
    <row r="247" spans="1:9" x14ac:dyDescent="0.25">
      <c r="A247" s="13">
        <v>802</v>
      </c>
      <c r="B247" s="11" t="s">
        <v>277</v>
      </c>
      <c r="C247" s="11" t="s">
        <v>497</v>
      </c>
      <c r="D247" s="12">
        <v>4000</v>
      </c>
      <c r="E247"/>
      <c r="F247"/>
      <c r="G247"/>
      <c r="H247"/>
      <c r="I247"/>
    </row>
    <row r="248" spans="1:9" x14ac:dyDescent="0.25">
      <c r="A248" s="13">
        <v>803</v>
      </c>
      <c r="B248" s="11" t="s">
        <v>277</v>
      </c>
      <c r="C248" s="11" t="s">
        <v>497</v>
      </c>
      <c r="D248" s="12">
        <v>2600</v>
      </c>
      <c r="E248"/>
      <c r="F248"/>
      <c r="G248"/>
      <c r="H248"/>
      <c r="I248"/>
    </row>
    <row r="249" spans="1:9" x14ac:dyDescent="0.25">
      <c r="A249" s="13">
        <v>804</v>
      </c>
      <c r="B249" s="11" t="s">
        <v>277</v>
      </c>
      <c r="C249" s="11" t="s">
        <v>497</v>
      </c>
      <c r="D249" s="12">
        <v>4150</v>
      </c>
      <c r="E249"/>
      <c r="F249"/>
      <c r="G249"/>
      <c r="H249"/>
      <c r="I249"/>
    </row>
    <row r="250" spans="1:9" x14ac:dyDescent="0.25">
      <c r="A250" s="13">
        <v>805</v>
      </c>
      <c r="B250" s="11" t="s">
        <v>277</v>
      </c>
      <c r="C250" s="11" t="s">
        <v>497</v>
      </c>
      <c r="D250" s="12">
        <v>2225</v>
      </c>
      <c r="E250"/>
      <c r="F250"/>
      <c r="G250"/>
      <c r="H250"/>
      <c r="I250"/>
    </row>
    <row r="251" spans="1:9" x14ac:dyDescent="0.25">
      <c r="A251" s="13">
        <v>806</v>
      </c>
      <c r="B251" s="11" t="s">
        <v>277</v>
      </c>
      <c r="C251" s="11" t="s">
        <v>497</v>
      </c>
      <c r="D251" s="12">
        <v>6300</v>
      </c>
      <c r="E251"/>
      <c r="F251"/>
      <c r="G251"/>
      <c r="H251"/>
      <c r="I251"/>
    </row>
    <row r="252" spans="1:9" x14ac:dyDescent="0.25">
      <c r="A252" s="13">
        <v>807</v>
      </c>
      <c r="B252" s="11" t="s">
        <v>277</v>
      </c>
      <c r="C252" s="11" t="s">
        <v>497</v>
      </c>
      <c r="D252" s="12">
        <v>1700</v>
      </c>
      <c r="E252"/>
      <c r="F252"/>
      <c r="G252"/>
      <c r="H252"/>
      <c r="I252"/>
    </row>
    <row r="253" spans="1:9" x14ac:dyDescent="0.25">
      <c r="A253" s="13">
        <v>808</v>
      </c>
      <c r="B253" s="11" t="s">
        <v>277</v>
      </c>
      <c r="C253" s="11" t="s">
        <v>497</v>
      </c>
      <c r="D253" s="12">
        <v>2025</v>
      </c>
      <c r="E253"/>
      <c r="F253"/>
      <c r="G253"/>
      <c r="H253"/>
      <c r="I253"/>
    </row>
    <row r="254" spans="1:9" x14ac:dyDescent="0.25">
      <c r="A254" s="13">
        <v>809</v>
      </c>
      <c r="B254" s="11" t="s">
        <v>277</v>
      </c>
      <c r="C254" s="11" t="s">
        <v>497</v>
      </c>
      <c r="D254" s="12">
        <v>3600</v>
      </c>
      <c r="E254"/>
      <c r="F254"/>
      <c r="G254"/>
      <c r="H254"/>
      <c r="I254"/>
    </row>
    <row r="255" spans="1:9" x14ac:dyDescent="0.25">
      <c r="A255" s="13">
        <v>810</v>
      </c>
      <c r="B255" s="11" t="s">
        <v>277</v>
      </c>
      <c r="C255" s="11" t="s">
        <v>497</v>
      </c>
      <c r="D255" s="12">
        <v>3800</v>
      </c>
      <c r="E255"/>
      <c r="F255"/>
      <c r="G255"/>
      <c r="H255"/>
      <c r="I255"/>
    </row>
    <row r="256" spans="1:9" x14ac:dyDescent="0.25">
      <c r="A256" s="13">
        <v>811</v>
      </c>
      <c r="B256" s="11" t="s">
        <v>277</v>
      </c>
      <c r="C256" s="11" t="s">
        <v>497</v>
      </c>
      <c r="D256" s="12">
        <v>1950</v>
      </c>
      <c r="E256"/>
      <c r="F256"/>
      <c r="G256"/>
      <c r="H256"/>
      <c r="I256"/>
    </row>
    <row r="257" spans="1:9" x14ac:dyDescent="0.25">
      <c r="A257" s="13">
        <v>812</v>
      </c>
      <c r="B257" s="11" t="s">
        <v>277</v>
      </c>
      <c r="C257" s="11" t="s">
        <v>497</v>
      </c>
      <c r="D257" s="12">
        <v>1325</v>
      </c>
      <c r="E257"/>
      <c r="F257"/>
      <c r="G257"/>
      <c r="H257"/>
      <c r="I257"/>
    </row>
    <row r="258" spans="1:9" x14ac:dyDescent="0.25">
      <c r="A258" s="13">
        <v>813</v>
      </c>
      <c r="B258" s="11" t="s">
        <v>277</v>
      </c>
      <c r="C258" s="11" t="s">
        <v>497</v>
      </c>
      <c r="D258" s="12">
        <v>5150</v>
      </c>
      <c r="E258"/>
      <c r="F258"/>
      <c r="G258"/>
      <c r="H258"/>
      <c r="I258"/>
    </row>
    <row r="259" spans="1:9" x14ac:dyDescent="0.25">
      <c r="A259" s="13">
        <v>814</v>
      </c>
      <c r="B259" s="11" t="s">
        <v>277</v>
      </c>
      <c r="C259" s="11" t="s">
        <v>497</v>
      </c>
      <c r="D259" s="12">
        <v>2050</v>
      </c>
      <c r="E259"/>
      <c r="F259"/>
      <c r="G259"/>
      <c r="H259"/>
      <c r="I259"/>
    </row>
    <row r="260" spans="1:9" x14ac:dyDescent="0.25">
      <c r="A260" s="13">
        <v>815</v>
      </c>
      <c r="B260" s="11" t="s">
        <v>277</v>
      </c>
      <c r="C260" s="11" t="s">
        <v>497</v>
      </c>
      <c r="D260" s="12">
        <v>1875</v>
      </c>
      <c r="E260"/>
      <c r="F260"/>
      <c r="G260"/>
      <c r="H260"/>
      <c r="I260"/>
    </row>
    <row r="261" spans="1:9" x14ac:dyDescent="0.25">
      <c r="A261" s="13">
        <v>816</v>
      </c>
      <c r="B261" s="11" t="s">
        <v>284</v>
      </c>
      <c r="C261" s="11" t="s">
        <v>497</v>
      </c>
      <c r="D261" s="12">
        <v>1400</v>
      </c>
      <c r="E261"/>
      <c r="F261"/>
      <c r="G261"/>
      <c r="H261"/>
      <c r="I261"/>
    </row>
    <row r="262" spans="1:9" x14ac:dyDescent="0.25">
      <c r="A262" s="13">
        <v>817</v>
      </c>
      <c r="B262" s="11" t="s">
        <v>277</v>
      </c>
      <c r="C262" s="11" t="s">
        <v>497</v>
      </c>
      <c r="D262" s="12">
        <v>3000</v>
      </c>
      <c r="E262"/>
      <c r="F262"/>
      <c r="G262"/>
      <c r="H262"/>
      <c r="I262"/>
    </row>
    <row r="263" spans="1:9" x14ac:dyDescent="0.25">
      <c r="A263" s="13">
        <v>818</v>
      </c>
      <c r="B263" s="11" t="s">
        <v>277</v>
      </c>
      <c r="C263" s="11" t="s">
        <v>497</v>
      </c>
      <c r="D263" s="12">
        <v>1400</v>
      </c>
      <c r="E263"/>
      <c r="F263"/>
      <c r="G263"/>
      <c r="H263"/>
      <c r="I263"/>
    </row>
    <row r="264" spans="1:9" x14ac:dyDescent="0.25">
      <c r="A264" s="13">
        <v>819</v>
      </c>
      <c r="B264" s="11" t="s">
        <v>277</v>
      </c>
      <c r="C264" s="11" t="s">
        <v>497</v>
      </c>
      <c r="D264" s="12">
        <v>1300</v>
      </c>
      <c r="E264"/>
      <c r="F264"/>
      <c r="G264"/>
      <c r="H264"/>
      <c r="I264"/>
    </row>
    <row r="265" spans="1:9" x14ac:dyDescent="0.25">
      <c r="A265" s="13">
        <v>820</v>
      </c>
      <c r="B265" s="11" t="s">
        <v>277</v>
      </c>
      <c r="C265" s="11" t="s">
        <v>497</v>
      </c>
      <c r="D265" s="12">
        <v>1300</v>
      </c>
      <c r="E265"/>
      <c r="F265"/>
      <c r="G265"/>
      <c r="H265"/>
      <c r="I265"/>
    </row>
    <row r="266" spans="1:9" x14ac:dyDescent="0.25">
      <c r="A266" s="13">
        <v>821</v>
      </c>
      <c r="B266" s="11" t="s">
        <v>277</v>
      </c>
      <c r="C266" s="11" t="s">
        <v>497</v>
      </c>
      <c r="D266" s="12">
        <v>1225</v>
      </c>
      <c r="E266"/>
      <c r="F266"/>
      <c r="G266"/>
      <c r="H266"/>
      <c r="I266"/>
    </row>
    <row r="267" spans="1:9" x14ac:dyDescent="0.25">
      <c r="A267" s="13">
        <v>822</v>
      </c>
      <c r="B267" s="11" t="s">
        <v>277</v>
      </c>
      <c r="C267" s="11" t="s">
        <v>497</v>
      </c>
      <c r="D267" s="12">
        <v>1300</v>
      </c>
      <c r="E267"/>
      <c r="F267"/>
      <c r="G267"/>
      <c r="H267"/>
      <c r="I267"/>
    </row>
    <row r="268" spans="1:9" x14ac:dyDescent="0.25">
      <c r="A268" s="13">
        <v>823</v>
      </c>
      <c r="B268" s="11" t="s">
        <v>277</v>
      </c>
      <c r="C268" s="11" t="s">
        <v>497</v>
      </c>
      <c r="D268" s="12">
        <v>1475</v>
      </c>
      <c r="E268"/>
      <c r="F268"/>
      <c r="G268"/>
      <c r="H268"/>
      <c r="I268"/>
    </row>
    <row r="269" spans="1:9" x14ac:dyDescent="0.25">
      <c r="A269" s="13">
        <v>824</v>
      </c>
      <c r="B269" s="11" t="s">
        <v>277</v>
      </c>
      <c r="C269" s="11" t="s">
        <v>497</v>
      </c>
      <c r="D269" s="12">
        <v>1500</v>
      </c>
      <c r="E269"/>
      <c r="F269"/>
      <c r="G269"/>
      <c r="H269"/>
      <c r="I269"/>
    </row>
    <row r="270" spans="1:9" x14ac:dyDescent="0.25">
      <c r="A270" s="13">
        <v>825</v>
      </c>
      <c r="B270" s="11" t="s">
        <v>277</v>
      </c>
      <c r="C270" s="11" t="s">
        <v>497</v>
      </c>
      <c r="D270" s="12">
        <v>1625</v>
      </c>
      <c r="E270"/>
      <c r="F270"/>
      <c r="G270"/>
      <c r="H270"/>
      <c r="I270"/>
    </row>
    <row r="271" spans="1:9" x14ac:dyDescent="0.25">
      <c r="A271" s="13">
        <v>826</v>
      </c>
      <c r="B271" s="11" t="s">
        <v>277</v>
      </c>
      <c r="C271" s="11" t="s">
        <v>497</v>
      </c>
      <c r="D271" s="12">
        <v>3900</v>
      </c>
      <c r="E271"/>
      <c r="F271"/>
      <c r="G271"/>
      <c r="H271"/>
      <c r="I271"/>
    </row>
    <row r="272" spans="1:9" x14ac:dyDescent="0.25">
      <c r="A272" s="13">
        <v>827</v>
      </c>
      <c r="B272" s="11" t="s">
        <v>277</v>
      </c>
      <c r="C272" s="11" t="s">
        <v>497</v>
      </c>
      <c r="D272" s="12">
        <v>3100</v>
      </c>
      <c r="E272"/>
      <c r="F272"/>
      <c r="G272"/>
      <c r="H272"/>
      <c r="I272"/>
    </row>
    <row r="273" spans="1:9" x14ac:dyDescent="0.25">
      <c r="A273" s="13">
        <v>828</v>
      </c>
      <c r="B273" s="11" t="s">
        <v>277</v>
      </c>
      <c r="C273" s="11" t="s">
        <v>497</v>
      </c>
      <c r="D273" s="12">
        <v>1575</v>
      </c>
      <c r="E273"/>
      <c r="F273"/>
      <c r="G273"/>
      <c r="H273"/>
      <c r="I273"/>
    </row>
    <row r="274" spans="1:9" x14ac:dyDescent="0.25">
      <c r="A274" s="13">
        <v>829</v>
      </c>
      <c r="B274" s="11" t="s">
        <v>277</v>
      </c>
      <c r="C274" s="11" t="s">
        <v>497</v>
      </c>
      <c r="D274" s="12">
        <v>4500</v>
      </c>
      <c r="E274"/>
      <c r="F274"/>
      <c r="G274"/>
      <c r="H274"/>
      <c r="I274"/>
    </row>
    <row r="275" spans="1:9" x14ac:dyDescent="0.25">
      <c r="A275" s="13">
        <v>830</v>
      </c>
      <c r="B275" s="11" t="s">
        <v>277</v>
      </c>
      <c r="C275" s="11" t="s">
        <v>497</v>
      </c>
      <c r="D275" s="12">
        <v>1575</v>
      </c>
      <c r="E275"/>
      <c r="F275"/>
      <c r="G275"/>
      <c r="H275"/>
      <c r="I275"/>
    </row>
    <row r="276" spans="1:9" x14ac:dyDescent="0.25">
      <c r="A276" s="13">
        <v>831</v>
      </c>
      <c r="B276" s="11" t="s">
        <v>277</v>
      </c>
      <c r="C276" s="11" t="s">
        <v>497</v>
      </c>
      <c r="D276" s="12">
        <v>2025</v>
      </c>
      <c r="E276"/>
      <c r="F276"/>
      <c r="G276"/>
      <c r="H276"/>
      <c r="I276"/>
    </row>
    <row r="277" spans="1:9" x14ac:dyDescent="0.25">
      <c r="A277" s="13">
        <v>832</v>
      </c>
      <c r="B277" s="11" t="s">
        <v>277</v>
      </c>
      <c r="C277" s="11" t="s">
        <v>497</v>
      </c>
      <c r="D277" s="12">
        <v>1700</v>
      </c>
      <c r="E277"/>
      <c r="F277"/>
      <c r="G277"/>
      <c r="H277"/>
      <c r="I277"/>
    </row>
    <row r="278" spans="1:9" x14ac:dyDescent="0.25">
      <c r="A278" s="13">
        <v>833</v>
      </c>
      <c r="B278" s="11" t="s">
        <v>277</v>
      </c>
      <c r="C278" s="11" t="s">
        <v>497</v>
      </c>
      <c r="D278" s="12">
        <v>1275</v>
      </c>
      <c r="E278"/>
      <c r="F278"/>
      <c r="G278"/>
      <c r="H278"/>
      <c r="I278"/>
    </row>
    <row r="279" spans="1:9" x14ac:dyDescent="0.25">
      <c r="A279" s="13">
        <v>834</v>
      </c>
      <c r="B279" s="11" t="s">
        <v>277</v>
      </c>
      <c r="C279" s="11" t="s">
        <v>497</v>
      </c>
      <c r="D279" s="12">
        <v>1625</v>
      </c>
      <c r="E279"/>
      <c r="F279"/>
      <c r="G279"/>
      <c r="H279"/>
      <c r="I279"/>
    </row>
    <row r="280" spans="1:9" x14ac:dyDescent="0.25">
      <c r="A280" s="13">
        <v>835</v>
      </c>
      <c r="B280" s="11" t="s">
        <v>277</v>
      </c>
      <c r="C280" s="11" t="s">
        <v>497</v>
      </c>
      <c r="D280" s="12">
        <v>1775</v>
      </c>
      <c r="E280"/>
      <c r="F280"/>
      <c r="G280"/>
      <c r="H280"/>
      <c r="I280"/>
    </row>
    <row r="281" spans="1:9" x14ac:dyDescent="0.25">
      <c r="A281" s="13">
        <v>836</v>
      </c>
      <c r="B281" s="11" t="s">
        <v>277</v>
      </c>
      <c r="C281" s="11" t="s">
        <v>497</v>
      </c>
      <c r="D281" s="12">
        <v>1400</v>
      </c>
      <c r="E281"/>
      <c r="F281"/>
      <c r="G281"/>
      <c r="H281"/>
      <c r="I281"/>
    </row>
    <row r="282" spans="1:9" x14ac:dyDescent="0.25">
      <c r="A282" s="13">
        <v>837</v>
      </c>
      <c r="B282" s="11" t="s">
        <v>277</v>
      </c>
      <c r="C282" s="11" t="s">
        <v>497</v>
      </c>
      <c r="D282" s="12">
        <v>1550</v>
      </c>
      <c r="E282"/>
      <c r="F282"/>
      <c r="G282"/>
      <c r="H282"/>
      <c r="I282"/>
    </row>
    <row r="283" spans="1:9" x14ac:dyDescent="0.25">
      <c r="A283" s="13">
        <v>838</v>
      </c>
      <c r="B283" s="11" t="s">
        <v>277</v>
      </c>
      <c r="C283" s="11" t="s">
        <v>497</v>
      </c>
      <c r="D283" s="12">
        <v>1000</v>
      </c>
      <c r="E283"/>
      <c r="F283"/>
      <c r="G283"/>
      <c r="H283"/>
      <c r="I283"/>
    </row>
    <row r="284" spans="1:9" x14ac:dyDescent="0.25">
      <c r="A284" s="13">
        <v>839</v>
      </c>
      <c r="B284" s="11" t="s">
        <v>277</v>
      </c>
      <c r="C284" s="11" t="s">
        <v>497</v>
      </c>
      <c r="D284" s="12">
        <v>1250</v>
      </c>
      <c r="E284"/>
      <c r="F284"/>
      <c r="G284"/>
      <c r="H284"/>
      <c r="I284"/>
    </row>
    <row r="285" spans="1:9" x14ac:dyDescent="0.25">
      <c r="A285" s="13">
        <v>840</v>
      </c>
      <c r="B285" s="11" t="s">
        <v>277</v>
      </c>
      <c r="C285" s="11" t="s">
        <v>497</v>
      </c>
      <c r="D285" s="12">
        <v>1200</v>
      </c>
      <c r="E285"/>
      <c r="F285"/>
      <c r="G285"/>
      <c r="H285"/>
      <c r="I285"/>
    </row>
    <row r="286" spans="1:9" x14ac:dyDescent="0.25">
      <c r="A286" s="13">
        <v>907</v>
      </c>
      <c r="B286" s="11" t="s">
        <v>277</v>
      </c>
      <c r="C286" s="11" t="s">
        <v>497</v>
      </c>
      <c r="D286" s="12">
        <v>3500</v>
      </c>
      <c r="E286"/>
      <c r="F286"/>
      <c r="G286"/>
      <c r="H286"/>
      <c r="I286"/>
    </row>
    <row r="287" spans="1:9" x14ac:dyDescent="0.25">
      <c r="A287" s="13">
        <v>948</v>
      </c>
      <c r="B287" s="11" t="s">
        <v>284</v>
      </c>
      <c r="C287" s="11" t="s">
        <v>493</v>
      </c>
      <c r="D287" s="12">
        <v>975</v>
      </c>
      <c r="E287"/>
      <c r="F287"/>
      <c r="G287"/>
      <c r="H287"/>
      <c r="I287"/>
    </row>
    <row r="288" spans="1:9" x14ac:dyDescent="0.25">
      <c r="A288" s="13">
        <v>949</v>
      </c>
      <c r="B288" s="11" t="s">
        <v>284</v>
      </c>
      <c r="C288" s="11" t="s">
        <v>493</v>
      </c>
      <c r="D288" s="12">
        <v>1075</v>
      </c>
      <c r="E288"/>
      <c r="F288"/>
      <c r="G288"/>
      <c r="H288"/>
      <c r="I288"/>
    </row>
    <row r="289" spans="1:9" x14ac:dyDescent="0.25">
      <c r="A289" s="13">
        <v>951</v>
      </c>
      <c r="B289" s="11" t="s">
        <v>284</v>
      </c>
      <c r="C289" s="11" t="s">
        <v>493</v>
      </c>
      <c r="D289" s="12">
        <v>1100</v>
      </c>
      <c r="E289"/>
      <c r="F289"/>
      <c r="G289"/>
      <c r="H289"/>
      <c r="I289"/>
    </row>
    <row r="290" spans="1:9" x14ac:dyDescent="0.25">
      <c r="A290" s="13">
        <v>959</v>
      </c>
      <c r="B290" s="11" t="s">
        <v>284</v>
      </c>
      <c r="C290" s="11" t="s">
        <v>493</v>
      </c>
      <c r="D290" s="12">
        <v>1050</v>
      </c>
      <c r="E290"/>
      <c r="F290"/>
      <c r="G290"/>
      <c r="H290"/>
      <c r="I290"/>
    </row>
    <row r="291" spans="1:9" x14ac:dyDescent="0.25">
      <c r="A291" s="13">
        <v>960</v>
      </c>
      <c r="B291" s="11" t="s">
        <v>284</v>
      </c>
      <c r="C291" s="11" t="s">
        <v>493</v>
      </c>
      <c r="D291" s="12">
        <v>1250</v>
      </c>
      <c r="E291"/>
      <c r="F291"/>
      <c r="G291"/>
      <c r="H291"/>
      <c r="I291"/>
    </row>
    <row r="292" spans="1:9" x14ac:dyDescent="0.25">
      <c r="A292" s="13">
        <v>962</v>
      </c>
      <c r="B292" s="11" t="s">
        <v>284</v>
      </c>
      <c r="C292" s="11" t="s">
        <v>493</v>
      </c>
      <c r="D292" s="12">
        <v>1225</v>
      </c>
      <c r="E292"/>
      <c r="F292"/>
      <c r="G292"/>
      <c r="H292"/>
      <c r="I292"/>
    </row>
    <row r="293" spans="1:9" x14ac:dyDescent="0.25">
      <c r="A293" s="13">
        <v>965</v>
      </c>
      <c r="B293" s="11" t="s">
        <v>284</v>
      </c>
      <c r="C293" s="11" t="s">
        <v>493</v>
      </c>
      <c r="D293" s="12">
        <v>875</v>
      </c>
      <c r="E293"/>
      <c r="F293"/>
      <c r="G293"/>
      <c r="H293"/>
      <c r="I293"/>
    </row>
    <row r="294" spans="1:9" x14ac:dyDescent="0.25">
      <c r="A294" s="13">
        <v>968</v>
      </c>
      <c r="B294" s="11" t="s">
        <v>284</v>
      </c>
      <c r="C294" s="11" t="s">
        <v>493</v>
      </c>
      <c r="D294" s="12">
        <v>1225</v>
      </c>
      <c r="E294"/>
      <c r="F294"/>
      <c r="G294"/>
      <c r="H294"/>
      <c r="I294"/>
    </row>
    <row r="295" spans="1:9" x14ac:dyDescent="0.25">
      <c r="A295" s="13">
        <v>969</v>
      </c>
      <c r="B295" s="11" t="s">
        <v>284</v>
      </c>
      <c r="C295" s="11" t="s">
        <v>493</v>
      </c>
      <c r="D295" s="12">
        <v>950</v>
      </c>
      <c r="E295"/>
      <c r="F295"/>
      <c r="G295"/>
      <c r="H295"/>
      <c r="I295"/>
    </row>
    <row r="296" spans="1:9" x14ac:dyDescent="0.25">
      <c r="A296" s="13">
        <v>970</v>
      </c>
      <c r="B296" s="11" t="s">
        <v>284</v>
      </c>
      <c r="C296" s="11" t="s">
        <v>493</v>
      </c>
      <c r="D296" s="12">
        <v>1325</v>
      </c>
      <c r="E296"/>
      <c r="F296"/>
      <c r="G296"/>
      <c r="H296"/>
      <c r="I296"/>
    </row>
    <row r="297" spans="1:9" x14ac:dyDescent="0.25">
      <c r="A297" s="13">
        <v>971</v>
      </c>
      <c r="B297" s="11" t="s">
        <v>284</v>
      </c>
      <c r="C297" s="11" t="s">
        <v>493</v>
      </c>
      <c r="D297" s="12">
        <v>1025</v>
      </c>
      <c r="E297"/>
      <c r="F297"/>
      <c r="G297"/>
      <c r="H297"/>
      <c r="I297"/>
    </row>
    <row r="298" spans="1:9" x14ac:dyDescent="0.25">
      <c r="A298" s="13">
        <v>973</v>
      </c>
      <c r="B298" s="11" t="s">
        <v>284</v>
      </c>
      <c r="C298" s="11" t="s">
        <v>493</v>
      </c>
      <c r="D298" s="12">
        <v>1275</v>
      </c>
      <c r="E298"/>
      <c r="F298"/>
      <c r="G298"/>
      <c r="H298"/>
      <c r="I298"/>
    </row>
    <row r="299" spans="1:9" x14ac:dyDescent="0.25">
      <c r="A299" s="13">
        <v>1004</v>
      </c>
      <c r="B299" s="11" t="s">
        <v>284</v>
      </c>
      <c r="C299" s="11" t="s">
        <v>493</v>
      </c>
      <c r="D299" s="12">
        <v>1125</v>
      </c>
      <c r="E299"/>
      <c r="F299"/>
      <c r="G299"/>
      <c r="H299"/>
      <c r="I299"/>
    </row>
    <row r="300" spans="1:9" x14ac:dyDescent="0.25">
      <c r="A300" s="13">
        <v>1005</v>
      </c>
      <c r="B300" s="11" t="s">
        <v>284</v>
      </c>
      <c r="C300" s="11" t="s">
        <v>493</v>
      </c>
      <c r="D300" s="12">
        <v>1200</v>
      </c>
      <c r="E300"/>
      <c r="F300"/>
      <c r="G300"/>
      <c r="H300"/>
      <c r="I300"/>
    </row>
    <row r="301" spans="1:9" x14ac:dyDescent="0.25">
      <c r="A301" s="13">
        <v>1006</v>
      </c>
      <c r="B301" s="11" t="s">
        <v>284</v>
      </c>
      <c r="C301" s="11" t="s">
        <v>493</v>
      </c>
      <c r="D301" s="12">
        <v>1500</v>
      </c>
      <c r="E301"/>
      <c r="F301"/>
      <c r="G301"/>
      <c r="H301"/>
      <c r="I301"/>
    </row>
    <row r="302" spans="1:9" x14ac:dyDescent="0.25">
      <c r="A302" s="13">
        <v>1007</v>
      </c>
      <c r="B302" s="11" t="s">
        <v>284</v>
      </c>
      <c r="C302" s="11" t="s">
        <v>493</v>
      </c>
      <c r="D302" s="12">
        <v>1225</v>
      </c>
      <c r="E302"/>
      <c r="F302"/>
      <c r="G302"/>
      <c r="H302"/>
      <c r="I302"/>
    </row>
    <row r="303" spans="1:9" x14ac:dyDescent="0.25">
      <c r="A303" s="13">
        <v>1008</v>
      </c>
      <c r="B303" s="11" t="s">
        <v>284</v>
      </c>
      <c r="C303" s="11" t="s">
        <v>493</v>
      </c>
      <c r="D303" s="12">
        <v>1375</v>
      </c>
      <c r="E303"/>
      <c r="F303"/>
      <c r="G303"/>
      <c r="H303"/>
      <c r="I303"/>
    </row>
    <row r="304" spans="1:9" x14ac:dyDescent="0.25">
      <c r="A304" s="13">
        <v>1009</v>
      </c>
      <c r="B304" s="11" t="s">
        <v>284</v>
      </c>
      <c r="C304" s="11" t="s">
        <v>493</v>
      </c>
      <c r="D304" s="12">
        <v>1025</v>
      </c>
      <c r="E304"/>
      <c r="F304"/>
      <c r="G304"/>
      <c r="H304"/>
      <c r="I304"/>
    </row>
    <row r="305" spans="1:9" x14ac:dyDescent="0.25">
      <c r="A305" s="13">
        <v>1011</v>
      </c>
      <c r="B305" s="11" t="s">
        <v>284</v>
      </c>
      <c r="C305" s="11" t="s">
        <v>493</v>
      </c>
      <c r="D305" s="12">
        <v>1200</v>
      </c>
      <c r="E305"/>
      <c r="F305"/>
      <c r="G305"/>
      <c r="H305"/>
      <c r="I305"/>
    </row>
    <row r="306" spans="1:9" x14ac:dyDescent="0.25">
      <c r="A306" s="13">
        <v>1012</v>
      </c>
      <c r="B306" s="11" t="s">
        <v>284</v>
      </c>
      <c r="C306" s="11" t="s">
        <v>493</v>
      </c>
      <c r="D306" s="12">
        <v>1350</v>
      </c>
      <c r="E306"/>
      <c r="F306"/>
      <c r="G306"/>
      <c r="H306"/>
      <c r="I306"/>
    </row>
    <row r="307" spans="1:9" x14ac:dyDescent="0.25">
      <c r="A307" s="13">
        <v>1016</v>
      </c>
      <c r="B307" s="11" t="s">
        <v>284</v>
      </c>
      <c r="C307" s="11" t="s">
        <v>493</v>
      </c>
      <c r="D307" s="12">
        <v>1350</v>
      </c>
      <c r="E307"/>
      <c r="F307"/>
      <c r="G307"/>
      <c r="H307"/>
      <c r="I307"/>
    </row>
    <row r="308" spans="1:9" x14ac:dyDescent="0.25">
      <c r="A308" s="13">
        <v>1017</v>
      </c>
      <c r="B308" s="11" t="s">
        <v>284</v>
      </c>
      <c r="C308" s="11" t="s">
        <v>493</v>
      </c>
      <c r="D308" s="12">
        <v>1025</v>
      </c>
      <c r="E308"/>
      <c r="F308"/>
      <c r="G308"/>
      <c r="H308"/>
      <c r="I308"/>
    </row>
    <row r="309" spans="1:9" x14ac:dyDescent="0.25">
      <c r="A309" s="13">
        <v>1018</v>
      </c>
      <c r="B309" s="11" t="s">
        <v>284</v>
      </c>
      <c r="C309" s="11" t="s">
        <v>493</v>
      </c>
      <c r="D309" s="12">
        <v>950</v>
      </c>
      <c r="E309"/>
      <c r="F309"/>
      <c r="G309"/>
      <c r="H309"/>
      <c r="I309"/>
    </row>
    <row r="310" spans="1:9" x14ac:dyDescent="0.25">
      <c r="A310" s="13">
        <v>1019</v>
      </c>
      <c r="B310" s="11" t="s">
        <v>284</v>
      </c>
      <c r="C310" s="11" t="s">
        <v>493</v>
      </c>
      <c r="D310" s="12">
        <v>975</v>
      </c>
      <c r="E310"/>
      <c r="F310"/>
      <c r="G310"/>
      <c r="H310"/>
      <c r="I310"/>
    </row>
    <row r="311" spans="1:9" x14ac:dyDescent="0.25">
      <c r="A311" s="13">
        <v>1020</v>
      </c>
      <c r="B311" s="11" t="s">
        <v>284</v>
      </c>
      <c r="C311" s="11" t="s">
        <v>493</v>
      </c>
      <c r="D311" s="12">
        <v>1200</v>
      </c>
      <c r="E311"/>
      <c r="F311"/>
      <c r="G311"/>
      <c r="H311"/>
      <c r="I311"/>
    </row>
    <row r="312" spans="1:9" x14ac:dyDescent="0.25">
      <c r="A312" s="13">
        <v>1021</v>
      </c>
      <c r="B312" s="11" t="s">
        <v>284</v>
      </c>
      <c r="C312" s="11" t="s">
        <v>493</v>
      </c>
      <c r="D312" s="12">
        <v>1625</v>
      </c>
      <c r="E312"/>
      <c r="F312"/>
      <c r="G312"/>
      <c r="H312"/>
      <c r="I312"/>
    </row>
    <row r="313" spans="1:9" x14ac:dyDescent="0.25">
      <c r="A313" s="13">
        <v>1030</v>
      </c>
      <c r="B313" s="11" t="s">
        <v>284</v>
      </c>
      <c r="C313" s="11" t="s">
        <v>493</v>
      </c>
      <c r="D313" s="12">
        <v>1100</v>
      </c>
      <c r="E313"/>
      <c r="F313"/>
      <c r="G313"/>
      <c r="H313"/>
      <c r="I313"/>
    </row>
    <row r="314" spans="1:9" x14ac:dyDescent="0.25">
      <c r="A314" s="13">
        <v>2241</v>
      </c>
      <c r="B314" s="11" t="s">
        <v>277</v>
      </c>
      <c r="C314" s="11" t="s">
        <v>497</v>
      </c>
      <c r="D314" s="12">
        <v>1625</v>
      </c>
      <c r="E314"/>
      <c r="F314"/>
      <c r="G314"/>
      <c r="H314"/>
      <c r="I314"/>
    </row>
    <row r="315" spans="1:9" x14ac:dyDescent="0.25">
      <c r="A315" s="13">
        <v>2251</v>
      </c>
      <c r="B315" s="11" t="s">
        <v>284</v>
      </c>
      <c r="C315" s="11" t="s">
        <v>497</v>
      </c>
      <c r="D315" s="12">
        <v>925</v>
      </c>
      <c r="E315"/>
      <c r="F315"/>
      <c r="G315"/>
      <c r="H315"/>
      <c r="I315"/>
    </row>
    <row r="316" spans="1:9" x14ac:dyDescent="0.25">
      <c r="A316" s="13">
        <v>2291</v>
      </c>
      <c r="B316" s="11" t="s">
        <v>277</v>
      </c>
      <c r="C316" s="11" t="s">
        <v>494</v>
      </c>
      <c r="D316" s="12">
        <v>450</v>
      </c>
      <c r="E316"/>
      <c r="F316"/>
      <c r="G316"/>
      <c r="H316"/>
      <c r="I316"/>
    </row>
    <row r="317" spans="1:9" x14ac:dyDescent="0.25">
      <c r="A317" s="13">
        <v>2292</v>
      </c>
      <c r="B317" s="11" t="s">
        <v>277</v>
      </c>
      <c r="C317" s="11" t="s">
        <v>494</v>
      </c>
      <c r="D317" s="12">
        <v>400</v>
      </c>
      <c r="E317"/>
      <c r="F317"/>
      <c r="G317"/>
      <c r="H317"/>
      <c r="I317"/>
    </row>
    <row r="318" spans="1:9" x14ac:dyDescent="0.25">
      <c r="A318" s="13">
        <v>2301</v>
      </c>
      <c r="B318" s="11" t="s">
        <v>277</v>
      </c>
      <c r="C318" s="11" t="s">
        <v>494</v>
      </c>
      <c r="D318" s="12">
        <v>525</v>
      </c>
      <c r="E318"/>
      <c r="F318"/>
      <c r="G318"/>
      <c r="H318"/>
      <c r="I318"/>
    </row>
    <row r="319" spans="1:9" x14ac:dyDescent="0.25">
      <c r="A319" s="13">
        <v>2302</v>
      </c>
      <c r="B319" s="11" t="s">
        <v>277</v>
      </c>
      <c r="C319" s="11" t="s">
        <v>494</v>
      </c>
      <c r="D319" s="12">
        <v>550</v>
      </c>
      <c r="E319"/>
      <c r="F319"/>
      <c r="G319"/>
      <c r="H319"/>
      <c r="I319"/>
    </row>
    <row r="320" spans="1:9" x14ac:dyDescent="0.25">
      <c r="A320" s="13">
        <v>2311</v>
      </c>
      <c r="B320" s="11" t="s">
        <v>277</v>
      </c>
      <c r="C320" s="11" t="s">
        <v>494</v>
      </c>
      <c r="D320" s="12">
        <v>475</v>
      </c>
      <c r="E320"/>
      <c r="F320"/>
      <c r="G320"/>
      <c r="H320"/>
      <c r="I320"/>
    </row>
    <row r="321" spans="1:9" x14ac:dyDescent="0.25">
      <c r="A321" s="13">
        <v>2312</v>
      </c>
      <c r="B321" s="11" t="s">
        <v>277</v>
      </c>
      <c r="C321" s="11" t="s">
        <v>494</v>
      </c>
      <c r="D321" s="12">
        <v>900</v>
      </c>
      <c r="E321"/>
      <c r="F321"/>
      <c r="G321"/>
      <c r="H321"/>
      <c r="I321"/>
    </row>
    <row r="322" spans="1:9" x14ac:dyDescent="0.25">
      <c r="A322" s="13">
        <v>2313</v>
      </c>
      <c r="B322" s="11" t="s">
        <v>277</v>
      </c>
      <c r="C322" s="11" t="s">
        <v>494</v>
      </c>
      <c r="D322" s="12">
        <v>575</v>
      </c>
      <c r="E322"/>
      <c r="F322"/>
      <c r="G322"/>
      <c r="H322"/>
      <c r="I322"/>
    </row>
    <row r="323" spans="1:9" x14ac:dyDescent="0.25">
      <c r="A323" s="13">
        <v>2314</v>
      </c>
      <c r="B323" s="11" t="s">
        <v>277</v>
      </c>
      <c r="C323" s="11" t="s">
        <v>494</v>
      </c>
      <c r="D323" s="12">
        <v>525</v>
      </c>
      <c r="E323"/>
      <c r="F323"/>
      <c r="G323"/>
      <c r="H323"/>
      <c r="I323"/>
    </row>
    <row r="324" spans="1:9" x14ac:dyDescent="0.25">
      <c r="A324" s="13">
        <v>2315</v>
      </c>
      <c r="B324" s="11" t="s">
        <v>277</v>
      </c>
      <c r="C324" s="11" t="s">
        <v>494</v>
      </c>
      <c r="D324" s="12">
        <v>600</v>
      </c>
      <c r="E324"/>
      <c r="F324"/>
      <c r="G324"/>
      <c r="H324"/>
      <c r="I324"/>
    </row>
    <row r="325" spans="1:9" x14ac:dyDescent="0.25">
      <c r="A325" s="13">
        <v>2316</v>
      </c>
      <c r="B325" s="11" t="s">
        <v>277</v>
      </c>
      <c r="C325" s="11" t="s">
        <v>494</v>
      </c>
      <c r="D325" s="12">
        <v>725</v>
      </c>
      <c r="E325"/>
      <c r="F325"/>
      <c r="G325"/>
      <c r="H325"/>
      <c r="I325"/>
    </row>
    <row r="326" spans="1:9" x14ac:dyDescent="0.25">
      <c r="A326" s="13">
        <v>2317</v>
      </c>
      <c r="B326" s="11" t="s">
        <v>277</v>
      </c>
      <c r="C326" s="11" t="s">
        <v>494</v>
      </c>
      <c r="D326" s="12">
        <v>700</v>
      </c>
      <c r="E326"/>
      <c r="F326"/>
      <c r="G326"/>
      <c r="H326"/>
      <c r="I326"/>
    </row>
    <row r="327" spans="1:9" x14ac:dyDescent="0.25">
      <c r="A327" s="13">
        <v>2318</v>
      </c>
      <c r="B327" s="11" t="s">
        <v>277</v>
      </c>
      <c r="C327" s="11" t="s">
        <v>494</v>
      </c>
      <c r="D327" s="12">
        <v>700</v>
      </c>
      <c r="E327"/>
      <c r="F327"/>
      <c r="G327"/>
      <c r="H327"/>
      <c r="I327"/>
    </row>
    <row r="328" spans="1:9" x14ac:dyDescent="0.25">
      <c r="A328" s="13">
        <v>2320</v>
      </c>
      <c r="B328" s="11" t="s">
        <v>277</v>
      </c>
      <c r="C328" s="11" t="s">
        <v>494</v>
      </c>
      <c r="D328" s="12">
        <v>625</v>
      </c>
      <c r="E328"/>
      <c r="F328"/>
      <c r="G328"/>
      <c r="H328"/>
      <c r="I328"/>
    </row>
    <row r="329" spans="1:9" x14ac:dyDescent="0.25">
      <c r="A329" s="13">
        <v>2331</v>
      </c>
      <c r="B329" s="11" t="s">
        <v>277</v>
      </c>
      <c r="C329" s="11" t="s">
        <v>494</v>
      </c>
      <c r="D329" s="12">
        <v>425</v>
      </c>
      <c r="E329"/>
      <c r="F329"/>
      <c r="G329"/>
      <c r="H329"/>
      <c r="I329"/>
    </row>
    <row r="330" spans="1:9" x14ac:dyDescent="0.25">
      <c r="A330" s="13">
        <v>2332</v>
      </c>
      <c r="B330" s="11" t="s">
        <v>277</v>
      </c>
      <c r="C330" s="11" t="s">
        <v>494</v>
      </c>
      <c r="D330" s="12">
        <v>500</v>
      </c>
      <c r="E330"/>
      <c r="F330"/>
      <c r="G330"/>
      <c r="H330"/>
      <c r="I330"/>
    </row>
    <row r="331" spans="1:9" x14ac:dyDescent="0.25">
      <c r="A331" s="13">
        <v>2334</v>
      </c>
      <c r="B331" s="11" t="s">
        <v>277</v>
      </c>
      <c r="C331" s="11" t="s">
        <v>494</v>
      </c>
      <c r="D331" s="12">
        <v>625</v>
      </c>
      <c r="E331"/>
      <c r="F331"/>
      <c r="G331"/>
      <c r="H331"/>
      <c r="I331"/>
    </row>
    <row r="332" spans="1:9" x14ac:dyDescent="0.25">
      <c r="A332" s="13">
        <v>2335</v>
      </c>
      <c r="B332" s="11" t="s">
        <v>277</v>
      </c>
      <c r="C332" s="11" t="s">
        <v>494</v>
      </c>
      <c r="D332" s="12">
        <v>375</v>
      </c>
      <c r="E332"/>
      <c r="F332"/>
      <c r="G332"/>
      <c r="H332"/>
      <c r="I332"/>
    </row>
    <row r="333" spans="1:9" x14ac:dyDescent="0.25">
      <c r="A333" s="13">
        <v>2336</v>
      </c>
      <c r="B333" s="11" t="s">
        <v>284</v>
      </c>
      <c r="C333" s="11" t="s">
        <v>494</v>
      </c>
      <c r="D333" s="12">
        <v>725</v>
      </c>
      <c r="E333"/>
      <c r="F333"/>
      <c r="G333"/>
      <c r="H333"/>
      <c r="I333"/>
    </row>
    <row r="334" spans="1:9" x14ac:dyDescent="0.25">
      <c r="A334" s="13">
        <v>2337</v>
      </c>
      <c r="B334" s="11" t="s">
        <v>277</v>
      </c>
      <c r="C334" s="11" t="s">
        <v>494</v>
      </c>
      <c r="D334" s="12">
        <v>650</v>
      </c>
      <c r="E334"/>
      <c r="F334"/>
      <c r="G334"/>
      <c r="H334"/>
      <c r="I334"/>
    </row>
    <row r="335" spans="1:9" x14ac:dyDescent="0.25">
      <c r="A335" s="13">
        <v>2351</v>
      </c>
      <c r="B335" s="11" t="s">
        <v>277</v>
      </c>
      <c r="C335" s="11" t="s">
        <v>494</v>
      </c>
      <c r="D335" s="12">
        <v>550</v>
      </c>
      <c r="E335"/>
      <c r="F335"/>
      <c r="G335"/>
      <c r="H335"/>
      <c r="I335"/>
    </row>
    <row r="336" spans="1:9" x14ac:dyDescent="0.25">
      <c r="A336" s="13">
        <v>2391</v>
      </c>
      <c r="B336" s="11" t="s">
        <v>277</v>
      </c>
      <c r="C336" s="11" t="s">
        <v>497</v>
      </c>
      <c r="D336" s="12">
        <v>1175</v>
      </c>
      <c r="E336"/>
      <c r="F336"/>
      <c r="G336"/>
      <c r="H336"/>
      <c r="I336"/>
    </row>
    <row r="337" spans="1:9" x14ac:dyDescent="0.25">
      <c r="A337" s="13">
        <v>2392</v>
      </c>
      <c r="B337" s="11" t="s">
        <v>277</v>
      </c>
      <c r="C337" s="11" t="s">
        <v>497</v>
      </c>
      <c r="D337" s="12">
        <v>1175</v>
      </c>
      <c r="E337"/>
      <c r="F337"/>
      <c r="G337"/>
      <c r="H337"/>
      <c r="I337"/>
    </row>
    <row r="338" spans="1:9" x14ac:dyDescent="0.25">
      <c r="A338" s="13">
        <v>2393</v>
      </c>
      <c r="B338" s="11" t="s">
        <v>277</v>
      </c>
      <c r="C338" s="11" t="s">
        <v>497</v>
      </c>
      <c r="D338" s="12">
        <v>900</v>
      </c>
      <c r="E338"/>
      <c r="F338"/>
      <c r="G338"/>
      <c r="H338"/>
      <c r="I338"/>
    </row>
    <row r="339" spans="1:9" x14ac:dyDescent="0.25">
      <c r="A339" s="13">
        <v>2394</v>
      </c>
      <c r="B339" s="11" t="s">
        <v>277</v>
      </c>
      <c r="C339" s="11" t="s">
        <v>497</v>
      </c>
      <c r="D339" s="12">
        <v>900</v>
      </c>
      <c r="E339"/>
      <c r="F339"/>
      <c r="G339"/>
      <c r="H339"/>
      <c r="I339"/>
    </row>
    <row r="340" spans="1:9" x14ac:dyDescent="0.25">
      <c r="A340" s="13">
        <v>2395</v>
      </c>
      <c r="B340" s="11" t="s">
        <v>277</v>
      </c>
      <c r="C340" s="11" t="s">
        <v>497</v>
      </c>
      <c r="D340" s="12">
        <v>900</v>
      </c>
      <c r="E340"/>
      <c r="F340"/>
      <c r="G340"/>
      <c r="H340"/>
      <c r="I340"/>
    </row>
    <row r="341" spans="1:9" x14ac:dyDescent="0.25">
      <c r="A341" s="13">
        <v>2396</v>
      </c>
      <c r="B341" s="11" t="s">
        <v>277</v>
      </c>
      <c r="C341" s="11" t="s">
        <v>497</v>
      </c>
      <c r="D341" s="12">
        <v>750</v>
      </c>
      <c r="E341"/>
      <c r="F341"/>
      <c r="G341"/>
      <c r="H341"/>
      <c r="I341"/>
    </row>
    <row r="342" spans="1:9" x14ac:dyDescent="0.25">
      <c r="A342" s="13">
        <v>2397</v>
      </c>
      <c r="B342" s="11" t="s">
        <v>277</v>
      </c>
      <c r="C342" s="11" t="s">
        <v>497</v>
      </c>
      <c r="D342" s="12">
        <v>575</v>
      </c>
      <c r="E342"/>
      <c r="F342"/>
      <c r="G342"/>
      <c r="H342"/>
      <c r="I342"/>
    </row>
    <row r="343" spans="1:9" x14ac:dyDescent="0.25">
      <c r="A343" s="13">
        <v>2398</v>
      </c>
      <c r="B343" s="11" t="s">
        <v>277</v>
      </c>
      <c r="C343" s="11" t="s">
        <v>497</v>
      </c>
      <c r="D343" s="12">
        <v>900</v>
      </c>
      <c r="E343"/>
      <c r="F343"/>
      <c r="G343"/>
      <c r="H343"/>
      <c r="I343"/>
    </row>
    <row r="344" spans="1:9" x14ac:dyDescent="0.25">
      <c r="A344" s="13">
        <v>2399</v>
      </c>
      <c r="B344" s="11" t="s">
        <v>277</v>
      </c>
      <c r="C344" s="11" t="s">
        <v>497</v>
      </c>
      <c r="D344" s="12">
        <v>900</v>
      </c>
      <c r="E344"/>
      <c r="F344"/>
      <c r="G344"/>
      <c r="H344"/>
      <c r="I344"/>
    </row>
    <row r="345" spans="1:9" x14ac:dyDescent="0.25">
      <c r="A345" s="13">
        <v>2401</v>
      </c>
      <c r="B345" s="11" t="s">
        <v>277</v>
      </c>
      <c r="C345" s="11" t="s">
        <v>498</v>
      </c>
      <c r="D345" s="12">
        <v>225</v>
      </c>
      <c r="E345"/>
      <c r="F345"/>
      <c r="G345"/>
      <c r="H345"/>
      <c r="I345"/>
    </row>
    <row r="346" spans="1:9" x14ac:dyDescent="0.25">
      <c r="A346" s="13">
        <v>2402</v>
      </c>
      <c r="B346" s="11" t="s">
        <v>277</v>
      </c>
      <c r="C346" s="11" t="s">
        <v>498</v>
      </c>
      <c r="D346" s="12">
        <v>175</v>
      </c>
      <c r="E346"/>
      <c r="F346"/>
      <c r="G346"/>
      <c r="H346"/>
      <c r="I346"/>
    </row>
    <row r="347" spans="1:9" x14ac:dyDescent="0.25">
      <c r="A347" s="13">
        <v>2403</v>
      </c>
      <c r="B347" s="11" t="s">
        <v>277</v>
      </c>
      <c r="C347" s="11" t="s">
        <v>498</v>
      </c>
      <c r="D347" s="12">
        <v>200</v>
      </c>
      <c r="E347"/>
      <c r="F347"/>
      <c r="G347"/>
      <c r="H347"/>
      <c r="I347"/>
    </row>
    <row r="348" spans="1:9" x14ac:dyDescent="0.25">
      <c r="A348" s="13">
        <v>2404</v>
      </c>
      <c r="B348" s="11" t="s">
        <v>277</v>
      </c>
      <c r="C348" s="11" t="s">
        <v>498</v>
      </c>
      <c r="D348" s="12">
        <v>200</v>
      </c>
      <c r="E348"/>
      <c r="F348"/>
      <c r="G348"/>
      <c r="H348"/>
      <c r="I348"/>
    </row>
    <row r="349" spans="1:9" x14ac:dyDescent="0.25">
      <c r="A349" s="13">
        <v>2405</v>
      </c>
      <c r="B349" s="11" t="s">
        <v>277</v>
      </c>
      <c r="C349" s="11" t="s">
        <v>498</v>
      </c>
      <c r="D349" s="12">
        <v>250</v>
      </c>
      <c r="E349"/>
      <c r="F349"/>
      <c r="G349"/>
      <c r="H349"/>
      <c r="I349"/>
    </row>
    <row r="350" spans="1:9" x14ac:dyDescent="0.25">
      <c r="A350" s="13">
        <v>2406</v>
      </c>
      <c r="B350" s="11" t="s">
        <v>277</v>
      </c>
      <c r="C350" s="11" t="s">
        <v>498</v>
      </c>
      <c r="D350" s="12">
        <v>300</v>
      </c>
      <c r="E350"/>
      <c r="F350"/>
      <c r="G350"/>
      <c r="H350"/>
      <c r="I350"/>
    </row>
    <row r="351" spans="1:9" x14ac:dyDescent="0.25">
      <c r="A351" s="13">
        <v>2407</v>
      </c>
      <c r="B351" s="11" t="s">
        <v>277</v>
      </c>
      <c r="C351" s="11" t="s">
        <v>498</v>
      </c>
      <c r="D351" s="12">
        <v>225</v>
      </c>
      <c r="E351"/>
      <c r="F351"/>
      <c r="G351"/>
      <c r="H351"/>
      <c r="I351"/>
    </row>
    <row r="352" spans="1:9" x14ac:dyDescent="0.25">
      <c r="A352" s="13">
        <v>2408</v>
      </c>
      <c r="B352" s="11" t="s">
        <v>277</v>
      </c>
      <c r="C352" s="11" t="s">
        <v>498</v>
      </c>
      <c r="D352" s="12">
        <v>250</v>
      </c>
      <c r="E352"/>
      <c r="F352"/>
      <c r="G352"/>
      <c r="H352"/>
      <c r="I352"/>
    </row>
    <row r="353" spans="1:9" x14ac:dyDescent="0.25">
      <c r="A353" s="13">
        <v>2409</v>
      </c>
      <c r="B353" s="11" t="s">
        <v>277</v>
      </c>
      <c r="C353" s="11" t="s">
        <v>498</v>
      </c>
      <c r="D353" s="12">
        <v>250</v>
      </c>
      <c r="E353"/>
      <c r="F353"/>
      <c r="G353"/>
      <c r="H353"/>
      <c r="I353"/>
    </row>
    <row r="354" spans="1:9" x14ac:dyDescent="0.25">
      <c r="A354" s="13">
        <v>2410</v>
      </c>
      <c r="B354" s="11" t="s">
        <v>277</v>
      </c>
      <c r="C354" s="11" t="s">
        <v>498</v>
      </c>
      <c r="D354" s="12">
        <v>175</v>
      </c>
      <c r="E354"/>
      <c r="F354"/>
      <c r="G354"/>
      <c r="H354"/>
      <c r="I354"/>
    </row>
    <row r="355" spans="1:9" x14ac:dyDescent="0.25">
      <c r="A355" s="13">
        <v>2411</v>
      </c>
      <c r="B355" s="11" t="s">
        <v>277</v>
      </c>
      <c r="C355" s="11" t="s">
        <v>498</v>
      </c>
      <c r="D355" s="12">
        <v>150</v>
      </c>
      <c r="E355"/>
      <c r="F355"/>
      <c r="G355"/>
      <c r="H355"/>
      <c r="I355"/>
    </row>
    <row r="356" spans="1:9" x14ac:dyDescent="0.25">
      <c r="A356" s="13">
        <v>2412</v>
      </c>
      <c r="B356" s="11" t="s">
        <v>277</v>
      </c>
      <c r="C356" s="11" t="s">
        <v>498</v>
      </c>
      <c r="D356" s="12">
        <v>200</v>
      </c>
      <c r="E356"/>
      <c r="F356"/>
      <c r="G356"/>
      <c r="H356"/>
      <c r="I356"/>
    </row>
    <row r="357" spans="1:9" x14ac:dyDescent="0.25">
      <c r="A357" s="13">
        <v>2413</v>
      </c>
      <c r="B357" s="11" t="s">
        <v>277</v>
      </c>
      <c r="C357" s="11" t="s">
        <v>498</v>
      </c>
      <c r="D357" s="12">
        <v>150</v>
      </c>
      <c r="E357"/>
      <c r="F357"/>
      <c r="G357"/>
      <c r="H357"/>
      <c r="I357"/>
    </row>
    <row r="358" spans="1:9" x14ac:dyDescent="0.25">
      <c r="A358" s="13">
        <v>2414</v>
      </c>
      <c r="B358" s="11" t="s">
        <v>277</v>
      </c>
      <c r="C358" s="11" t="s">
        <v>498</v>
      </c>
      <c r="D358" s="12">
        <v>175</v>
      </c>
      <c r="E358"/>
      <c r="F358"/>
      <c r="G358"/>
      <c r="H358"/>
      <c r="I358"/>
    </row>
    <row r="359" spans="1:9" x14ac:dyDescent="0.25">
      <c r="A359" s="13">
        <v>2415</v>
      </c>
      <c r="B359" s="11" t="s">
        <v>284</v>
      </c>
      <c r="C359" s="11" t="s">
        <v>498</v>
      </c>
      <c r="D359" s="12">
        <v>350</v>
      </c>
      <c r="E359"/>
      <c r="F359"/>
      <c r="G359"/>
      <c r="H359"/>
      <c r="I359"/>
    </row>
    <row r="360" spans="1:9" x14ac:dyDescent="0.25">
      <c r="A360" s="13">
        <v>2421</v>
      </c>
      <c r="B360" s="11" t="s">
        <v>284</v>
      </c>
      <c r="C360" s="11" t="s">
        <v>498</v>
      </c>
      <c r="D360" s="12">
        <v>200</v>
      </c>
      <c r="E360"/>
      <c r="F360"/>
      <c r="G360"/>
      <c r="H360"/>
      <c r="I360"/>
    </row>
    <row r="361" spans="1:9" x14ac:dyDescent="0.25">
      <c r="A361" s="13">
        <v>2422</v>
      </c>
      <c r="B361" s="11" t="s">
        <v>284</v>
      </c>
      <c r="C361" s="11" t="s">
        <v>498</v>
      </c>
      <c r="D361" s="12">
        <v>200</v>
      </c>
      <c r="E361"/>
      <c r="F361"/>
      <c r="G361"/>
      <c r="H361"/>
      <c r="I361"/>
    </row>
    <row r="362" spans="1:9" x14ac:dyDescent="0.25">
      <c r="A362" s="13">
        <v>2423</v>
      </c>
      <c r="B362" s="11" t="s">
        <v>284</v>
      </c>
      <c r="C362" s="11" t="s">
        <v>498</v>
      </c>
      <c r="D362" s="12">
        <v>200</v>
      </c>
      <c r="E362"/>
      <c r="F362"/>
      <c r="G362"/>
      <c r="H362"/>
      <c r="I362"/>
    </row>
    <row r="363" spans="1:9" x14ac:dyDescent="0.25">
      <c r="A363" s="13">
        <v>2424</v>
      </c>
      <c r="B363" s="11" t="s">
        <v>284</v>
      </c>
      <c r="C363" s="11" t="s">
        <v>498</v>
      </c>
      <c r="D363" s="12">
        <v>175</v>
      </c>
      <c r="E363"/>
      <c r="F363"/>
      <c r="G363"/>
      <c r="H363"/>
      <c r="I363"/>
    </row>
    <row r="364" spans="1:9" x14ac:dyDescent="0.25">
      <c r="A364" s="13">
        <v>2425</v>
      </c>
      <c r="B364" s="11" t="s">
        <v>284</v>
      </c>
      <c r="C364" s="11" t="s">
        <v>498</v>
      </c>
      <c r="D364" s="12">
        <v>175</v>
      </c>
      <c r="E364"/>
      <c r="F364"/>
      <c r="G364"/>
      <c r="H364"/>
      <c r="I364"/>
    </row>
    <row r="365" spans="1:9" x14ac:dyDescent="0.25">
      <c r="A365" s="13">
        <v>2426</v>
      </c>
      <c r="B365" s="11" t="s">
        <v>284</v>
      </c>
      <c r="C365" s="11" t="s">
        <v>498</v>
      </c>
      <c r="D365" s="12">
        <v>200</v>
      </c>
      <c r="E365"/>
      <c r="F365"/>
      <c r="G365"/>
      <c r="H365"/>
      <c r="I365"/>
    </row>
    <row r="366" spans="1:9" x14ac:dyDescent="0.25">
      <c r="A366" s="13">
        <v>2427</v>
      </c>
      <c r="B366" s="11" t="s">
        <v>284</v>
      </c>
      <c r="C366" s="11" t="s">
        <v>498</v>
      </c>
      <c r="D366" s="12">
        <v>200</v>
      </c>
      <c r="E366"/>
      <c r="F366"/>
      <c r="G366"/>
      <c r="H366"/>
      <c r="I366"/>
    </row>
    <row r="367" spans="1:9" x14ac:dyDescent="0.25">
      <c r="A367" s="13">
        <v>2428</v>
      </c>
      <c r="B367" s="11" t="s">
        <v>284</v>
      </c>
      <c r="C367" s="11" t="s">
        <v>498</v>
      </c>
      <c r="D367" s="12">
        <v>200</v>
      </c>
      <c r="E367"/>
      <c r="F367"/>
      <c r="G367"/>
      <c r="H367"/>
      <c r="I367"/>
    </row>
    <row r="368" spans="1:9" x14ac:dyDescent="0.25">
      <c r="A368" s="13">
        <v>2441</v>
      </c>
      <c r="B368" s="11" t="s">
        <v>277</v>
      </c>
      <c r="C368" s="11" t="s">
        <v>498</v>
      </c>
      <c r="D368" s="12">
        <v>200</v>
      </c>
      <c r="E368"/>
      <c r="F368"/>
      <c r="G368"/>
      <c r="H368"/>
      <c r="I368"/>
    </row>
    <row r="369" spans="1:9" x14ac:dyDescent="0.25">
      <c r="A369" s="13">
        <v>2442</v>
      </c>
      <c r="B369" s="11" t="s">
        <v>277</v>
      </c>
      <c r="C369" s="11" t="s">
        <v>498</v>
      </c>
      <c r="D369" s="12">
        <v>200</v>
      </c>
      <c r="E369"/>
      <c r="F369"/>
      <c r="G369"/>
      <c r="H369"/>
      <c r="I369"/>
    </row>
    <row r="370" spans="1:9" x14ac:dyDescent="0.25">
      <c r="A370" s="13">
        <v>2443</v>
      </c>
      <c r="B370" s="11" t="s">
        <v>277</v>
      </c>
      <c r="C370" s="11" t="s">
        <v>498</v>
      </c>
      <c r="D370" s="12">
        <v>200</v>
      </c>
      <c r="E370"/>
      <c r="F370"/>
      <c r="G370"/>
      <c r="H370"/>
      <c r="I370"/>
    </row>
    <row r="371" spans="1:9" x14ac:dyDescent="0.25">
      <c r="A371" s="13">
        <v>2444</v>
      </c>
      <c r="B371" s="11" t="s">
        <v>277</v>
      </c>
      <c r="C371" s="11" t="s">
        <v>498</v>
      </c>
      <c r="D371" s="12">
        <v>300</v>
      </c>
      <c r="E371"/>
      <c r="F371"/>
      <c r="G371"/>
      <c r="H371"/>
      <c r="I371"/>
    </row>
    <row r="372" spans="1:9" x14ac:dyDescent="0.25">
      <c r="A372" s="13">
        <v>2445</v>
      </c>
      <c r="B372" s="11" t="s">
        <v>277</v>
      </c>
      <c r="C372" s="11" t="s">
        <v>498</v>
      </c>
      <c r="D372" s="12">
        <v>275</v>
      </c>
      <c r="E372"/>
      <c r="F372"/>
      <c r="G372"/>
      <c r="H372"/>
      <c r="I372"/>
    </row>
    <row r="373" spans="1:9" x14ac:dyDescent="0.25">
      <c r="A373" s="13">
        <v>2452</v>
      </c>
      <c r="B373" s="11" t="s">
        <v>277</v>
      </c>
      <c r="C373" s="11" t="s">
        <v>167</v>
      </c>
      <c r="D373" s="12">
        <v>500</v>
      </c>
      <c r="E373"/>
      <c r="F373"/>
      <c r="G373"/>
      <c r="H373"/>
      <c r="I373"/>
    </row>
    <row r="374" spans="1:9" x14ac:dyDescent="0.25">
      <c r="A374" s="13">
        <v>2461</v>
      </c>
      <c r="B374" s="11" t="s">
        <v>277</v>
      </c>
      <c r="C374" s="11" t="s">
        <v>167</v>
      </c>
      <c r="D374" s="12">
        <v>350</v>
      </c>
      <c r="E374"/>
      <c r="F374"/>
      <c r="G374"/>
      <c r="H374"/>
      <c r="I374"/>
    </row>
    <row r="375" spans="1:9" x14ac:dyDescent="0.25">
      <c r="A375" s="13">
        <v>2462</v>
      </c>
      <c r="B375" s="11" t="s">
        <v>277</v>
      </c>
      <c r="C375" s="11" t="s">
        <v>167</v>
      </c>
      <c r="D375" s="12">
        <v>325</v>
      </c>
      <c r="E375"/>
      <c r="F375"/>
      <c r="G375"/>
      <c r="H375"/>
      <c r="I375"/>
    </row>
    <row r="376" spans="1:9" x14ac:dyDescent="0.25">
      <c r="A376" s="13">
        <v>2463</v>
      </c>
      <c r="B376" s="11" t="s">
        <v>277</v>
      </c>
      <c r="C376" s="11" t="s">
        <v>167</v>
      </c>
      <c r="D376" s="12">
        <v>300</v>
      </c>
      <c r="E376"/>
      <c r="F376"/>
      <c r="G376"/>
      <c r="H376"/>
      <c r="I376"/>
    </row>
    <row r="377" spans="1:9" x14ac:dyDescent="0.25">
      <c r="A377" s="13">
        <v>2492</v>
      </c>
      <c r="B377" s="11" t="s">
        <v>277</v>
      </c>
      <c r="C377" s="11" t="s">
        <v>494</v>
      </c>
      <c r="D377" s="12">
        <v>350</v>
      </c>
      <c r="E377"/>
      <c r="F377"/>
      <c r="G377"/>
      <c r="H377"/>
      <c r="I377"/>
    </row>
    <row r="378" spans="1:9" x14ac:dyDescent="0.25">
      <c r="A378" s="13">
        <v>2571</v>
      </c>
      <c r="B378" s="11" t="s">
        <v>277</v>
      </c>
      <c r="C378" s="11" t="s">
        <v>497</v>
      </c>
      <c r="D378" s="12">
        <v>825</v>
      </c>
      <c r="E378"/>
      <c r="F378"/>
      <c r="G378"/>
      <c r="H378"/>
      <c r="I378"/>
    </row>
    <row r="379" spans="1:9" x14ac:dyDescent="0.25">
      <c r="A379" s="13">
        <v>2572</v>
      </c>
      <c r="B379" s="11" t="s">
        <v>277</v>
      </c>
      <c r="C379" s="11" t="s">
        <v>497</v>
      </c>
      <c r="D379" s="12">
        <v>750</v>
      </c>
      <c r="E379"/>
      <c r="F379"/>
      <c r="G379"/>
      <c r="H379"/>
      <c r="I379"/>
    </row>
    <row r="380" spans="1:9" x14ac:dyDescent="0.25">
      <c r="A380" s="13">
        <v>2573</v>
      </c>
      <c r="B380" s="11" t="s">
        <v>277</v>
      </c>
      <c r="C380" s="11" t="s">
        <v>497</v>
      </c>
      <c r="D380" s="12">
        <v>750</v>
      </c>
      <c r="E380"/>
      <c r="F380"/>
      <c r="G380"/>
      <c r="H380"/>
      <c r="I380"/>
    </row>
    <row r="381" spans="1:9" x14ac:dyDescent="0.25">
      <c r="A381" s="13">
        <v>2574</v>
      </c>
      <c r="B381" s="11" t="s">
        <v>277</v>
      </c>
      <c r="C381" s="11" t="s">
        <v>497</v>
      </c>
      <c r="D381" s="12">
        <v>675</v>
      </c>
      <c r="E381"/>
      <c r="F381"/>
      <c r="G381"/>
      <c r="H381"/>
      <c r="I381"/>
    </row>
    <row r="382" spans="1:9" x14ac:dyDescent="0.25">
      <c r="A382" s="13">
        <v>2575</v>
      </c>
      <c r="B382" s="11" t="s">
        <v>277</v>
      </c>
      <c r="C382" s="11" t="s">
        <v>497</v>
      </c>
      <c r="D382" s="12">
        <v>975</v>
      </c>
      <c r="E382"/>
      <c r="F382"/>
      <c r="G382"/>
      <c r="H382"/>
      <c r="I382"/>
    </row>
    <row r="383" spans="1:9" x14ac:dyDescent="0.25">
      <c r="A383" s="13">
        <v>2576</v>
      </c>
      <c r="B383" s="11" t="s">
        <v>277</v>
      </c>
      <c r="C383" s="11" t="s">
        <v>497</v>
      </c>
      <c r="D383" s="12">
        <v>650</v>
      </c>
      <c r="E383"/>
      <c r="F383"/>
      <c r="G383"/>
      <c r="H383"/>
      <c r="I383"/>
    </row>
    <row r="384" spans="1:9" x14ac:dyDescent="0.25">
      <c r="A384" s="13">
        <v>2577</v>
      </c>
      <c r="B384" s="11" t="s">
        <v>277</v>
      </c>
      <c r="C384" s="11" t="s">
        <v>497</v>
      </c>
      <c r="D384" s="12">
        <v>1125</v>
      </c>
      <c r="E384"/>
      <c r="F384"/>
      <c r="G384"/>
      <c r="H384"/>
      <c r="I384"/>
    </row>
    <row r="385" spans="1:9" x14ac:dyDescent="0.25">
      <c r="A385" s="13">
        <v>2578</v>
      </c>
      <c r="B385" s="11" t="s">
        <v>277</v>
      </c>
      <c r="C385" s="11" t="s">
        <v>497</v>
      </c>
      <c r="D385" s="12">
        <v>1375</v>
      </c>
      <c r="E385"/>
      <c r="F385"/>
      <c r="G385"/>
      <c r="H385"/>
      <c r="I385"/>
    </row>
    <row r="386" spans="1:9" x14ac:dyDescent="0.25">
      <c r="A386" s="13">
        <v>2579</v>
      </c>
      <c r="B386" s="11" t="s">
        <v>277</v>
      </c>
      <c r="C386" s="11" t="s">
        <v>497</v>
      </c>
      <c r="D386" s="12">
        <v>1375</v>
      </c>
      <c r="E386"/>
      <c r="F386"/>
      <c r="G386"/>
      <c r="H386"/>
      <c r="I386"/>
    </row>
    <row r="387" spans="1:9" x14ac:dyDescent="0.25">
      <c r="A387" s="13">
        <v>2621</v>
      </c>
      <c r="B387" s="11" t="s">
        <v>277</v>
      </c>
      <c r="C387" s="11" t="s">
        <v>497</v>
      </c>
      <c r="D387" s="12">
        <v>1000</v>
      </c>
      <c r="E387"/>
      <c r="F387"/>
      <c r="G387"/>
      <c r="H387"/>
      <c r="I387"/>
    </row>
    <row r="388" spans="1:9" x14ac:dyDescent="0.25">
      <c r="A388" s="13">
        <v>2622</v>
      </c>
      <c r="B388" s="11" t="s">
        <v>277</v>
      </c>
      <c r="C388" s="11" t="s">
        <v>497</v>
      </c>
      <c r="D388" s="12">
        <v>1375</v>
      </c>
      <c r="E388"/>
      <c r="F388"/>
      <c r="G388"/>
      <c r="H388"/>
      <c r="I388"/>
    </row>
    <row r="389" spans="1:9" x14ac:dyDescent="0.25">
      <c r="A389" s="13">
        <v>2623</v>
      </c>
      <c r="B389" s="11" t="s">
        <v>277</v>
      </c>
      <c r="C389" s="11" t="s">
        <v>497</v>
      </c>
      <c r="D389" s="12">
        <v>1500</v>
      </c>
      <c r="E389"/>
      <c r="F389"/>
      <c r="G389"/>
      <c r="H389"/>
      <c r="I389"/>
    </row>
    <row r="390" spans="1:9" x14ac:dyDescent="0.25">
      <c r="A390" s="13">
        <v>2624</v>
      </c>
      <c r="B390" s="11" t="s">
        <v>277</v>
      </c>
      <c r="C390" s="11" t="s">
        <v>497</v>
      </c>
      <c r="D390" s="12">
        <v>1500</v>
      </c>
      <c r="E390"/>
      <c r="F390"/>
      <c r="G390"/>
      <c r="H390"/>
      <c r="I390"/>
    </row>
    <row r="391" spans="1:9" x14ac:dyDescent="0.25">
      <c r="A391" s="13">
        <v>2625</v>
      </c>
      <c r="B391" s="11" t="s">
        <v>277</v>
      </c>
      <c r="C391" s="11" t="s">
        <v>497</v>
      </c>
      <c r="D391" s="12">
        <v>1350</v>
      </c>
      <c r="E391"/>
      <c r="F391"/>
      <c r="G391"/>
      <c r="H391"/>
      <c r="I391"/>
    </row>
    <row r="392" spans="1:9" x14ac:dyDescent="0.25">
      <c r="A392" s="13">
        <v>2626</v>
      </c>
      <c r="B392" s="11" t="s">
        <v>277</v>
      </c>
      <c r="C392" s="11" t="s">
        <v>497</v>
      </c>
      <c r="D392" s="12">
        <v>750</v>
      </c>
      <c r="E392"/>
      <c r="F392"/>
      <c r="G392"/>
      <c r="H392"/>
      <c r="I392"/>
    </row>
    <row r="393" spans="1:9" x14ac:dyDescent="0.25">
      <c r="A393" s="13">
        <v>2731</v>
      </c>
      <c r="B393" s="11" t="s">
        <v>277</v>
      </c>
      <c r="C393" s="11" t="s">
        <v>494</v>
      </c>
      <c r="D393" s="12">
        <v>125</v>
      </c>
      <c r="E393"/>
      <c r="F393"/>
      <c r="G393"/>
      <c r="H393"/>
      <c r="I393"/>
    </row>
    <row r="394" spans="1:9" x14ac:dyDescent="0.25">
      <c r="A394" s="13">
        <v>2732</v>
      </c>
      <c r="B394" s="11" t="s">
        <v>277</v>
      </c>
      <c r="C394" s="11" t="s">
        <v>494</v>
      </c>
      <c r="D394" s="12">
        <v>200</v>
      </c>
      <c r="E394"/>
      <c r="F394"/>
      <c r="G394"/>
      <c r="H394"/>
      <c r="I394"/>
    </row>
    <row r="395" spans="1:9" x14ac:dyDescent="0.25">
      <c r="A395" s="13">
        <v>2733</v>
      </c>
      <c r="B395" s="11" t="s">
        <v>277</v>
      </c>
      <c r="C395" s="11" t="s">
        <v>494</v>
      </c>
      <c r="D395" s="12">
        <v>150</v>
      </c>
      <c r="E395"/>
      <c r="F395"/>
      <c r="G395"/>
      <c r="H395"/>
      <c r="I395"/>
    </row>
    <row r="396" spans="1:9" x14ac:dyDescent="0.25">
      <c r="A396" s="13">
        <v>2734</v>
      </c>
      <c r="B396" s="11" t="s">
        <v>277</v>
      </c>
      <c r="C396" s="11" t="s">
        <v>494</v>
      </c>
      <c r="D396" s="12">
        <v>275</v>
      </c>
      <c r="E396"/>
      <c r="F396"/>
      <c r="G396"/>
      <c r="H396"/>
      <c r="I396"/>
    </row>
    <row r="397" spans="1:9" x14ac:dyDescent="0.25">
      <c r="A397" s="13">
        <v>2735</v>
      </c>
      <c r="B397" s="11" t="s">
        <v>277</v>
      </c>
      <c r="C397" s="11" t="s">
        <v>494</v>
      </c>
      <c r="D397" s="12">
        <v>275</v>
      </c>
      <c r="E397"/>
      <c r="F397"/>
      <c r="G397"/>
      <c r="H397"/>
      <c r="I397"/>
    </row>
    <row r="398" spans="1:9" x14ac:dyDescent="0.25">
      <c r="A398" s="13">
        <v>2736</v>
      </c>
      <c r="B398" s="11" t="s">
        <v>277</v>
      </c>
      <c r="C398" s="11" t="s">
        <v>494</v>
      </c>
      <c r="D398" s="12">
        <v>250</v>
      </c>
      <c r="E398"/>
      <c r="F398"/>
      <c r="G398"/>
      <c r="H398"/>
      <c r="I398"/>
    </row>
    <row r="399" spans="1:9" x14ac:dyDescent="0.25">
      <c r="A399" s="13">
        <v>2737</v>
      </c>
      <c r="B399" s="11" t="s">
        <v>277</v>
      </c>
      <c r="C399" s="11" t="s">
        <v>494</v>
      </c>
      <c r="D399" s="12">
        <v>200</v>
      </c>
      <c r="E399"/>
      <c r="F399"/>
      <c r="G399"/>
      <c r="H399"/>
      <c r="I399"/>
    </row>
    <row r="400" spans="1:9" x14ac:dyDescent="0.25">
      <c r="A400" s="13">
        <v>2738</v>
      </c>
      <c r="B400" s="11" t="s">
        <v>277</v>
      </c>
      <c r="C400" s="11" t="s">
        <v>494</v>
      </c>
      <c r="D400" s="12">
        <v>175</v>
      </c>
      <c r="E400"/>
      <c r="F400"/>
      <c r="G400"/>
      <c r="H400"/>
      <c r="I400"/>
    </row>
    <row r="401" spans="1:9" x14ac:dyDescent="0.25">
      <c r="A401" s="13">
        <v>2739</v>
      </c>
      <c r="B401" s="11" t="s">
        <v>277</v>
      </c>
      <c r="C401" s="11" t="s">
        <v>494</v>
      </c>
      <c r="D401" s="12">
        <v>150</v>
      </c>
      <c r="E401"/>
      <c r="F401"/>
      <c r="G401"/>
      <c r="H401"/>
      <c r="I401"/>
    </row>
    <row r="402" spans="1:9" x14ac:dyDescent="0.25">
      <c r="A402" s="13">
        <v>2740</v>
      </c>
      <c r="B402" s="11" t="s">
        <v>277</v>
      </c>
      <c r="C402" s="11" t="s">
        <v>494</v>
      </c>
      <c r="D402" s="12">
        <v>225</v>
      </c>
      <c r="E402"/>
      <c r="F402"/>
      <c r="G402"/>
      <c r="H402"/>
      <c r="I402"/>
    </row>
    <row r="403" spans="1:9" x14ac:dyDescent="0.25">
      <c r="A403" s="13">
        <v>2741</v>
      </c>
      <c r="B403" s="11" t="s">
        <v>277</v>
      </c>
      <c r="C403" s="11" t="s">
        <v>494</v>
      </c>
      <c r="D403" s="12">
        <v>125</v>
      </c>
      <c r="E403"/>
      <c r="F403"/>
      <c r="G403"/>
      <c r="H403"/>
      <c r="I403"/>
    </row>
    <row r="404" spans="1:9" x14ac:dyDescent="0.25">
      <c r="A404" s="13">
        <v>2742</v>
      </c>
      <c r="B404" s="11" t="s">
        <v>277</v>
      </c>
      <c r="C404" s="11" t="s">
        <v>494</v>
      </c>
      <c r="D404" s="12">
        <v>350</v>
      </c>
      <c r="E404"/>
      <c r="F404"/>
      <c r="G404"/>
      <c r="H404"/>
      <c r="I404"/>
    </row>
    <row r="405" spans="1:9" x14ac:dyDescent="0.25">
      <c r="A405" s="13">
        <v>2743</v>
      </c>
      <c r="B405" s="11" t="s">
        <v>277</v>
      </c>
      <c r="C405" s="11" t="s">
        <v>494</v>
      </c>
      <c r="D405" s="12">
        <v>300</v>
      </c>
      <c r="E405"/>
      <c r="F405"/>
      <c r="G405"/>
      <c r="H405"/>
      <c r="I405"/>
    </row>
    <row r="406" spans="1:9" x14ac:dyDescent="0.25">
      <c r="A406" s="13">
        <v>2744</v>
      </c>
      <c r="B406" s="11" t="s">
        <v>277</v>
      </c>
      <c r="C406" s="11" t="s">
        <v>494</v>
      </c>
      <c r="D406" s="12">
        <v>150</v>
      </c>
      <c r="E406"/>
      <c r="F406"/>
      <c r="G406"/>
      <c r="H406"/>
      <c r="I406"/>
    </row>
    <row r="407" spans="1:9" x14ac:dyDescent="0.25">
      <c r="A407" s="13">
        <v>2745</v>
      </c>
      <c r="B407" s="11" t="s">
        <v>277</v>
      </c>
      <c r="C407" s="11" t="s">
        <v>494</v>
      </c>
      <c r="D407" s="12">
        <v>150</v>
      </c>
      <c r="E407"/>
      <c r="F407"/>
      <c r="G407"/>
      <c r="H407"/>
      <c r="I407"/>
    </row>
    <row r="408" spans="1:9" x14ac:dyDescent="0.25">
      <c r="A408" s="13">
        <v>2746</v>
      </c>
      <c r="B408" s="11" t="s">
        <v>277</v>
      </c>
      <c r="C408" s="11" t="s">
        <v>494</v>
      </c>
      <c r="D408" s="12">
        <v>150</v>
      </c>
      <c r="E408"/>
      <c r="F408"/>
      <c r="G408"/>
      <c r="H408"/>
      <c r="I408"/>
    </row>
    <row r="409" spans="1:9" x14ac:dyDescent="0.25">
      <c r="A409" s="13">
        <v>2747</v>
      </c>
      <c r="B409" s="11" t="s">
        <v>277</v>
      </c>
      <c r="C409" s="11" t="s">
        <v>494</v>
      </c>
      <c r="D409" s="12">
        <v>300</v>
      </c>
      <c r="E409"/>
      <c r="F409"/>
      <c r="G409"/>
      <c r="H409"/>
      <c r="I409"/>
    </row>
    <row r="410" spans="1:9" x14ac:dyDescent="0.25">
      <c r="A410" s="13">
        <v>2748</v>
      </c>
      <c r="B410" s="11" t="s">
        <v>277</v>
      </c>
      <c r="C410" s="11" t="s">
        <v>494</v>
      </c>
      <c r="D410" s="12">
        <v>225</v>
      </c>
      <c r="E410"/>
      <c r="F410"/>
      <c r="G410"/>
      <c r="H410"/>
      <c r="I410"/>
    </row>
    <row r="411" spans="1:9" x14ac:dyDescent="0.25">
      <c r="A411" s="13">
        <v>2749</v>
      </c>
      <c r="B411" s="11" t="s">
        <v>277</v>
      </c>
      <c r="C411" s="11" t="s">
        <v>494</v>
      </c>
      <c r="D411" s="12">
        <v>250</v>
      </c>
      <c r="E411"/>
      <c r="F411"/>
      <c r="G411"/>
      <c r="H411"/>
      <c r="I411"/>
    </row>
    <row r="412" spans="1:9" x14ac:dyDescent="0.25">
      <c r="A412" s="13">
        <v>2761</v>
      </c>
      <c r="B412" s="11" t="s">
        <v>284</v>
      </c>
      <c r="C412" s="11" t="s">
        <v>494</v>
      </c>
      <c r="D412" s="12">
        <v>125</v>
      </c>
      <c r="E412"/>
      <c r="F412"/>
      <c r="G412"/>
      <c r="H412"/>
      <c r="I412"/>
    </row>
    <row r="413" spans="1:9" x14ac:dyDescent="0.25">
      <c r="A413" s="13">
        <v>2762</v>
      </c>
      <c r="B413" s="11" t="s">
        <v>284</v>
      </c>
      <c r="C413" s="11" t="s">
        <v>494</v>
      </c>
      <c r="D413" s="12">
        <v>200</v>
      </c>
      <c r="E413"/>
      <c r="F413"/>
      <c r="G413"/>
      <c r="H413"/>
      <c r="I413"/>
    </row>
    <row r="414" spans="1:9" x14ac:dyDescent="0.25">
      <c r="A414" s="13">
        <v>2763</v>
      </c>
      <c r="B414" s="11" t="s">
        <v>284</v>
      </c>
      <c r="C414" s="11" t="s">
        <v>494</v>
      </c>
      <c r="D414" s="12">
        <v>150</v>
      </c>
      <c r="E414"/>
      <c r="F414"/>
      <c r="G414"/>
      <c r="H414"/>
      <c r="I414"/>
    </row>
    <row r="415" spans="1:9" x14ac:dyDescent="0.25">
      <c r="A415" s="13">
        <v>2764</v>
      </c>
      <c r="B415" s="11" t="s">
        <v>284</v>
      </c>
      <c r="C415" s="11" t="s">
        <v>494</v>
      </c>
      <c r="D415" s="12">
        <v>200</v>
      </c>
      <c r="E415"/>
      <c r="F415"/>
      <c r="G415"/>
      <c r="H415"/>
      <c r="I415"/>
    </row>
    <row r="416" spans="1:9" x14ac:dyDescent="0.25">
      <c r="A416" s="13">
        <v>2765</v>
      </c>
      <c r="B416" s="11" t="s">
        <v>284</v>
      </c>
      <c r="C416" s="11" t="s">
        <v>494</v>
      </c>
      <c r="D416" s="12">
        <v>225</v>
      </c>
      <c r="E416"/>
      <c r="F416"/>
      <c r="G416"/>
      <c r="H416"/>
      <c r="I416"/>
    </row>
    <row r="417" spans="1:9" x14ac:dyDescent="0.25">
      <c r="A417" s="13">
        <v>2767</v>
      </c>
      <c r="B417" s="11" t="s">
        <v>284</v>
      </c>
      <c r="C417" s="11" t="s">
        <v>494</v>
      </c>
      <c r="D417" s="12">
        <v>150</v>
      </c>
      <c r="E417"/>
      <c r="F417"/>
      <c r="G417"/>
      <c r="H417"/>
      <c r="I417"/>
    </row>
    <row r="418" spans="1:9" x14ac:dyDescent="0.25">
      <c r="A418" s="13">
        <v>2768</v>
      </c>
      <c r="B418" s="11" t="s">
        <v>284</v>
      </c>
      <c r="C418" s="11" t="s">
        <v>494</v>
      </c>
      <c r="D418" s="12">
        <v>125</v>
      </c>
      <c r="E418"/>
      <c r="F418"/>
      <c r="G418"/>
      <c r="H418"/>
      <c r="I418"/>
    </row>
    <row r="419" spans="1:9" x14ac:dyDescent="0.25">
      <c r="A419" s="13">
        <v>2769</v>
      </c>
      <c r="B419" s="11" t="s">
        <v>284</v>
      </c>
      <c r="C419" s="11" t="s">
        <v>494</v>
      </c>
      <c r="D419" s="12">
        <v>150</v>
      </c>
      <c r="E419"/>
      <c r="F419"/>
      <c r="G419"/>
      <c r="H419"/>
      <c r="I419"/>
    </row>
    <row r="420" spans="1:9" x14ac:dyDescent="0.25">
      <c r="A420" s="13">
        <v>2770</v>
      </c>
      <c r="B420" s="11" t="s">
        <v>284</v>
      </c>
      <c r="C420" s="11" t="s">
        <v>494</v>
      </c>
      <c r="D420" s="12">
        <v>225</v>
      </c>
      <c r="E420"/>
      <c r="F420"/>
      <c r="G420"/>
      <c r="H420"/>
      <c r="I420"/>
    </row>
    <row r="421" spans="1:9" x14ac:dyDescent="0.25">
      <c r="A421" s="13">
        <v>2771</v>
      </c>
      <c r="B421" s="11" t="s">
        <v>284</v>
      </c>
      <c r="C421" s="11" t="s">
        <v>494</v>
      </c>
      <c r="D421" s="12">
        <v>200</v>
      </c>
      <c r="E421"/>
      <c r="F421"/>
      <c r="G421"/>
      <c r="H421"/>
      <c r="I421"/>
    </row>
    <row r="422" spans="1:9" x14ac:dyDescent="0.25">
      <c r="A422" s="13">
        <v>2772</v>
      </c>
      <c r="B422" s="11" t="s">
        <v>284</v>
      </c>
      <c r="C422" s="11" t="s">
        <v>494</v>
      </c>
      <c r="D422" s="12">
        <v>200</v>
      </c>
      <c r="E422"/>
      <c r="F422"/>
      <c r="G422"/>
      <c r="H422"/>
      <c r="I422"/>
    </row>
    <row r="423" spans="1:9" x14ac:dyDescent="0.25">
      <c r="A423" s="13">
        <v>2773</v>
      </c>
      <c r="B423" s="11" t="s">
        <v>284</v>
      </c>
      <c r="C423" s="11" t="s">
        <v>494</v>
      </c>
      <c r="D423" s="12">
        <v>200</v>
      </c>
      <c r="E423"/>
      <c r="F423"/>
      <c r="G423"/>
      <c r="H423"/>
      <c r="I423"/>
    </row>
    <row r="424" spans="1:9" x14ac:dyDescent="0.25">
      <c r="A424" s="13">
        <v>2774</v>
      </c>
      <c r="B424" s="11" t="s">
        <v>284</v>
      </c>
      <c r="C424" s="11" t="s">
        <v>494</v>
      </c>
      <c r="D424" s="12">
        <v>150</v>
      </c>
      <c r="E424"/>
      <c r="F424"/>
      <c r="G424"/>
      <c r="H424"/>
      <c r="I424"/>
    </row>
    <row r="425" spans="1:9" x14ac:dyDescent="0.25">
      <c r="A425" s="13">
        <v>2775</v>
      </c>
      <c r="B425" s="11" t="s">
        <v>277</v>
      </c>
      <c r="C425" s="11" t="s">
        <v>494</v>
      </c>
      <c r="D425" s="12">
        <v>175</v>
      </c>
      <c r="E425"/>
      <c r="F425"/>
      <c r="G425"/>
      <c r="H425"/>
      <c r="I425"/>
    </row>
    <row r="426" spans="1:9" x14ac:dyDescent="0.25">
      <c r="A426" s="13">
        <v>2801</v>
      </c>
      <c r="B426" s="11" t="s">
        <v>277</v>
      </c>
      <c r="C426" s="11" t="s">
        <v>494</v>
      </c>
      <c r="D426" s="12">
        <v>175</v>
      </c>
      <c r="E426"/>
      <c r="F426"/>
      <c r="G426"/>
      <c r="H426"/>
      <c r="I426"/>
    </row>
    <row r="427" spans="1:9" x14ac:dyDescent="0.25">
      <c r="A427" s="13">
        <v>2802</v>
      </c>
      <c r="B427" s="11" t="s">
        <v>277</v>
      </c>
      <c r="C427" s="11" t="s">
        <v>494</v>
      </c>
      <c r="D427" s="12">
        <v>175</v>
      </c>
      <c r="E427"/>
      <c r="F427"/>
      <c r="G427"/>
      <c r="H427"/>
      <c r="I427"/>
    </row>
    <row r="428" spans="1:9" x14ac:dyDescent="0.25">
      <c r="A428" s="13">
        <v>2803</v>
      </c>
      <c r="B428" s="11" t="s">
        <v>277</v>
      </c>
      <c r="C428" s="11" t="s">
        <v>494</v>
      </c>
      <c r="D428" s="12">
        <v>200</v>
      </c>
      <c r="E428"/>
      <c r="F428"/>
      <c r="G428"/>
      <c r="H428"/>
      <c r="I428"/>
    </row>
    <row r="429" spans="1:9" x14ac:dyDescent="0.25">
      <c r="A429" s="13">
        <v>2804</v>
      </c>
      <c r="B429" s="11" t="s">
        <v>277</v>
      </c>
      <c r="C429" s="11" t="s">
        <v>494</v>
      </c>
      <c r="D429" s="12">
        <v>200</v>
      </c>
      <c r="E429"/>
      <c r="F429"/>
      <c r="G429"/>
      <c r="H429"/>
      <c r="I429"/>
    </row>
    <row r="430" spans="1:9" x14ac:dyDescent="0.25">
      <c r="A430" s="13">
        <v>2805</v>
      </c>
      <c r="B430" s="11" t="s">
        <v>277</v>
      </c>
      <c r="C430" s="11" t="s">
        <v>494</v>
      </c>
      <c r="D430" s="12">
        <v>200</v>
      </c>
      <c r="E430"/>
      <c r="F430"/>
      <c r="G430"/>
      <c r="H430"/>
      <c r="I430"/>
    </row>
    <row r="431" spans="1:9" x14ac:dyDescent="0.25">
      <c r="A431" s="13">
        <v>2806</v>
      </c>
      <c r="B431" s="11" t="s">
        <v>277</v>
      </c>
      <c r="C431" s="11" t="s">
        <v>494</v>
      </c>
      <c r="D431" s="12">
        <v>225</v>
      </c>
      <c r="E431"/>
      <c r="F431"/>
      <c r="G431"/>
      <c r="H431"/>
      <c r="I431"/>
    </row>
    <row r="432" spans="1:9" x14ac:dyDescent="0.25">
      <c r="A432" s="13">
        <v>2807</v>
      </c>
      <c r="B432" s="11" t="s">
        <v>277</v>
      </c>
      <c r="C432" s="11" t="s">
        <v>494</v>
      </c>
      <c r="D432" s="12">
        <v>200</v>
      </c>
      <c r="E432"/>
      <c r="F432"/>
      <c r="G432"/>
      <c r="H432"/>
      <c r="I432"/>
    </row>
    <row r="433" spans="1:9" x14ac:dyDescent="0.25">
      <c r="A433" s="13">
        <v>2808</v>
      </c>
      <c r="B433" s="11" t="s">
        <v>277</v>
      </c>
      <c r="C433" s="11" t="s">
        <v>494</v>
      </c>
      <c r="D433" s="12">
        <v>200</v>
      </c>
      <c r="E433"/>
      <c r="F433"/>
      <c r="G433"/>
      <c r="H433"/>
      <c r="I433"/>
    </row>
    <row r="434" spans="1:9" x14ac:dyDescent="0.25">
      <c r="A434" s="13">
        <v>2809</v>
      </c>
      <c r="B434" s="11" t="s">
        <v>277</v>
      </c>
      <c r="C434" s="11" t="s">
        <v>494</v>
      </c>
      <c r="D434" s="12">
        <v>175</v>
      </c>
      <c r="E434"/>
      <c r="F434"/>
      <c r="G434"/>
      <c r="H434"/>
      <c r="I434"/>
    </row>
    <row r="435" spans="1:9" x14ac:dyDescent="0.25">
      <c r="A435" s="13">
        <v>2810</v>
      </c>
      <c r="B435" s="11" t="s">
        <v>277</v>
      </c>
      <c r="C435" s="11" t="s">
        <v>494</v>
      </c>
      <c r="D435" s="12">
        <v>225</v>
      </c>
      <c r="E435"/>
      <c r="F435"/>
      <c r="G435"/>
      <c r="H435"/>
      <c r="I435"/>
    </row>
    <row r="436" spans="1:9" x14ac:dyDescent="0.25">
      <c r="A436" s="13">
        <v>2811</v>
      </c>
      <c r="B436" s="11" t="s">
        <v>277</v>
      </c>
      <c r="C436" s="11" t="s">
        <v>494</v>
      </c>
      <c r="D436" s="12">
        <v>225</v>
      </c>
      <c r="E436"/>
      <c r="F436"/>
      <c r="G436"/>
      <c r="H436"/>
      <c r="I436"/>
    </row>
    <row r="437" spans="1:9" x14ac:dyDescent="0.25">
      <c r="A437" s="13">
        <v>2812</v>
      </c>
      <c r="B437" s="11" t="s">
        <v>277</v>
      </c>
      <c r="C437" s="11" t="s">
        <v>494</v>
      </c>
      <c r="D437" s="12">
        <v>225</v>
      </c>
      <c r="E437"/>
      <c r="F437"/>
      <c r="G437"/>
      <c r="H437"/>
      <c r="I437"/>
    </row>
    <row r="438" spans="1:9" x14ac:dyDescent="0.25">
      <c r="A438" s="13">
        <v>2813</v>
      </c>
      <c r="B438" s="11" t="s">
        <v>277</v>
      </c>
      <c r="C438" s="11" t="s">
        <v>494</v>
      </c>
      <c r="D438" s="12">
        <v>225</v>
      </c>
      <c r="E438"/>
      <c r="F438"/>
      <c r="G438"/>
      <c r="H438"/>
      <c r="I438"/>
    </row>
    <row r="439" spans="1:9" x14ac:dyDescent="0.25">
      <c r="A439" s="13">
        <v>4501</v>
      </c>
      <c r="B439" s="11" t="s">
        <v>277</v>
      </c>
      <c r="C439" s="11" t="s">
        <v>494</v>
      </c>
      <c r="D439" s="12">
        <v>325</v>
      </c>
      <c r="E439"/>
      <c r="F439"/>
      <c r="G439"/>
      <c r="H439"/>
      <c r="I439"/>
    </row>
    <row r="440" spans="1:9" x14ac:dyDescent="0.25">
      <c r="A440" s="13">
        <v>4504</v>
      </c>
      <c r="B440" s="11" t="s">
        <v>277</v>
      </c>
      <c r="C440" s="11" t="s">
        <v>494</v>
      </c>
      <c r="D440" s="12">
        <v>150</v>
      </c>
      <c r="E440"/>
      <c r="F440"/>
      <c r="G440"/>
      <c r="H440"/>
      <c r="I440"/>
    </row>
    <row r="441" spans="1:9" x14ac:dyDescent="0.25">
      <c r="A441" s="13">
        <v>4505</v>
      </c>
      <c r="B441" s="11" t="s">
        <v>277</v>
      </c>
      <c r="C441" s="11" t="s">
        <v>494</v>
      </c>
      <c r="D441" s="12">
        <v>175</v>
      </c>
      <c r="E441"/>
      <c r="F441"/>
      <c r="G441"/>
      <c r="H441"/>
      <c r="I441"/>
    </row>
    <row r="442" spans="1:9" x14ac:dyDescent="0.25">
      <c r="A442" s="13">
        <v>4506</v>
      </c>
      <c r="B442" s="11" t="s">
        <v>277</v>
      </c>
      <c r="C442" s="11" t="s">
        <v>494</v>
      </c>
      <c r="D442" s="12">
        <v>175</v>
      </c>
      <c r="E442"/>
      <c r="F442"/>
      <c r="G442"/>
      <c r="H442"/>
      <c r="I442"/>
    </row>
    <row r="443" spans="1:9" x14ac:dyDescent="0.25">
      <c r="A443" s="13">
        <v>4507</v>
      </c>
      <c r="B443" s="11" t="s">
        <v>277</v>
      </c>
      <c r="C443" s="11" t="s">
        <v>494</v>
      </c>
      <c r="D443" s="12">
        <v>150</v>
      </c>
      <c r="E443"/>
      <c r="F443"/>
      <c r="G443"/>
      <c r="H443"/>
      <c r="I443"/>
    </row>
    <row r="444" spans="1:9" x14ac:dyDescent="0.25">
      <c r="A444" s="13">
        <v>4508</v>
      </c>
      <c r="B444" s="11" t="s">
        <v>277</v>
      </c>
      <c r="C444" s="11" t="s">
        <v>494</v>
      </c>
      <c r="D444" s="12">
        <v>125</v>
      </c>
      <c r="E444"/>
      <c r="F444"/>
      <c r="G444"/>
      <c r="H444"/>
      <c r="I444"/>
    </row>
    <row r="445" spans="1:9" x14ac:dyDescent="0.25">
      <c r="A445" s="13">
        <v>4510</v>
      </c>
      <c r="B445" s="11" t="s">
        <v>277</v>
      </c>
      <c r="C445" s="11" t="s">
        <v>494</v>
      </c>
      <c r="D445" s="12">
        <v>100</v>
      </c>
      <c r="E445"/>
      <c r="F445"/>
      <c r="G445"/>
      <c r="H445"/>
      <c r="I445"/>
    </row>
    <row r="446" spans="1:9" x14ac:dyDescent="0.25">
      <c r="A446" s="13">
        <v>4711</v>
      </c>
      <c r="B446" s="11" t="s">
        <v>277</v>
      </c>
      <c r="C446" s="11" t="s">
        <v>494</v>
      </c>
      <c r="D446" s="12">
        <v>75</v>
      </c>
      <c r="E446"/>
      <c r="F446"/>
      <c r="G446"/>
      <c r="H446"/>
      <c r="I446"/>
    </row>
    <row r="447" spans="1:9" x14ac:dyDescent="0.25">
      <c r="A447" s="13">
        <v>4712</v>
      </c>
      <c r="B447" s="11" t="s">
        <v>277</v>
      </c>
      <c r="C447" s="11" t="s">
        <v>494</v>
      </c>
      <c r="D447" s="12">
        <v>75</v>
      </c>
      <c r="E447"/>
      <c r="F447"/>
      <c r="G447"/>
      <c r="H447"/>
      <c r="I447"/>
    </row>
    <row r="448" spans="1:9" x14ac:dyDescent="0.25">
      <c r="A448" s="13">
        <v>6011</v>
      </c>
      <c r="B448" s="11" t="s">
        <v>277</v>
      </c>
      <c r="C448" s="11" t="s">
        <v>494</v>
      </c>
      <c r="D448" s="12">
        <v>675</v>
      </c>
      <c r="E448"/>
      <c r="F448"/>
      <c r="G448"/>
      <c r="H448"/>
      <c r="I448"/>
    </row>
    <row r="449" spans="1:9" x14ac:dyDescent="0.25">
      <c r="A449" s="13">
        <v>6021</v>
      </c>
      <c r="B449" s="11" t="s">
        <v>277</v>
      </c>
      <c r="C449" s="11" t="s">
        <v>494</v>
      </c>
      <c r="D449" s="12">
        <v>625</v>
      </c>
      <c r="E449"/>
      <c r="F449"/>
      <c r="G449"/>
      <c r="H449"/>
      <c r="I449"/>
    </row>
    <row r="450" spans="1:9" x14ac:dyDescent="0.25">
      <c r="A450" s="13">
        <v>6051</v>
      </c>
      <c r="B450" s="11" t="s">
        <v>277</v>
      </c>
      <c r="C450" s="11" t="s">
        <v>494</v>
      </c>
      <c r="D450" s="12">
        <v>650</v>
      </c>
      <c r="E450"/>
      <c r="F450"/>
      <c r="G450"/>
      <c r="H450"/>
      <c r="I450"/>
    </row>
    <row r="451" spans="1:9" x14ac:dyDescent="0.25">
      <c r="A451" s="13">
        <v>6101</v>
      </c>
      <c r="B451" s="11" t="s">
        <v>277</v>
      </c>
      <c r="C451" s="11" t="s">
        <v>494</v>
      </c>
      <c r="D451" s="12">
        <v>725</v>
      </c>
      <c r="E451"/>
      <c r="F451"/>
      <c r="G451"/>
      <c r="H451"/>
      <c r="I451"/>
    </row>
    <row r="452" spans="1:9" x14ac:dyDescent="0.25">
      <c r="A452" s="13">
        <v>6102</v>
      </c>
      <c r="B452" s="11" t="s">
        <v>277</v>
      </c>
      <c r="C452" s="11" t="s">
        <v>494</v>
      </c>
      <c r="D452" s="12">
        <v>700</v>
      </c>
      <c r="E452"/>
      <c r="F452"/>
      <c r="G452"/>
      <c r="H452"/>
      <c r="I452"/>
    </row>
    <row r="453" spans="1:9" x14ac:dyDescent="0.25">
      <c r="A453" s="13">
        <v>6103</v>
      </c>
      <c r="B453" s="11" t="s">
        <v>277</v>
      </c>
      <c r="C453" s="11" t="s">
        <v>494</v>
      </c>
      <c r="D453" s="12">
        <v>600</v>
      </c>
      <c r="E453"/>
      <c r="F453"/>
      <c r="G453"/>
      <c r="H453"/>
      <c r="I453"/>
    </row>
    <row r="454" spans="1:9" x14ac:dyDescent="0.25">
      <c r="A454" s="13">
        <v>6104</v>
      </c>
      <c r="B454" s="11" t="s">
        <v>277</v>
      </c>
      <c r="C454" s="11" t="s">
        <v>494</v>
      </c>
      <c r="D454" s="12">
        <v>600</v>
      </c>
      <c r="E454"/>
      <c r="F454"/>
      <c r="G454"/>
      <c r="H454"/>
      <c r="I454"/>
    </row>
    <row r="455" spans="1:9" x14ac:dyDescent="0.25">
      <c r="A455" s="13">
        <v>6105</v>
      </c>
      <c r="B455" s="11" t="s">
        <v>277</v>
      </c>
      <c r="C455" s="11" t="s">
        <v>494</v>
      </c>
      <c r="D455" s="12">
        <v>575</v>
      </c>
      <c r="E455"/>
      <c r="F455"/>
      <c r="G455"/>
      <c r="H455"/>
      <c r="I455"/>
    </row>
    <row r="456" spans="1:9" x14ac:dyDescent="0.25">
      <c r="A456" s="13">
        <v>6106</v>
      </c>
      <c r="B456" s="11" t="s">
        <v>277</v>
      </c>
      <c r="C456" s="11" t="s">
        <v>494</v>
      </c>
      <c r="D456" s="12">
        <v>575</v>
      </c>
      <c r="E456"/>
      <c r="F456"/>
      <c r="G456"/>
      <c r="H456"/>
      <c r="I456"/>
    </row>
    <row r="457" spans="1:9" x14ac:dyDescent="0.25">
      <c r="A457" s="13">
        <v>6107</v>
      </c>
      <c r="B457" s="11" t="s">
        <v>277</v>
      </c>
      <c r="C457" s="11" t="s">
        <v>494</v>
      </c>
      <c r="D457" s="12">
        <v>575</v>
      </c>
      <c r="E457"/>
      <c r="F457"/>
      <c r="G457"/>
      <c r="H457"/>
      <c r="I457"/>
    </row>
    <row r="458" spans="1:9" x14ac:dyDescent="0.25">
      <c r="A458" s="13">
        <v>6108</v>
      </c>
      <c r="B458" s="11" t="s">
        <v>277</v>
      </c>
      <c r="C458" s="11" t="s">
        <v>494</v>
      </c>
      <c r="D458" s="12">
        <v>575</v>
      </c>
      <c r="E458"/>
      <c r="F458"/>
      <c r="G458"/>
      <c r="H458"/>
      <c r="I458"/>
    </row>
    <row r="459" spans="1:9" x14ac:dyDescent="0.25">
      <c r="A459" s="13">
        <v>6109</v>
      </c>
      <c r="B459" s="11" t="s">
        <v>277</v>
      </c>
      <c r="C459" s="11" t="s">
        <v>494</v>
      </c>
      <c r="D459" s="12">
        <v>575</v>
      </c>
      <c r="E459"/>
      <c r="F459"/>
      <c r="G459"/>
      <c r="H459"/>
      <c r="I459"/>
    </row>
    <row r="460" spans="1:9" x14ac:dyDescent="0.25">
      <c r="A460" s="13">
        <v>6110</v>
      </c>
      <c r="B460" s="11" t="s">
        <v>277</v>
      </c>
      <c r="C460" s="11" t="s">
        <v>494</v>
      </c>
      <c r="D460" s="12">
        <v>575</v>
      </c>
      <c r="E460"/>
      <c r="F460"/>
      <c r="G460"/>
      <c r="H460"/>
      <c r="I460"/>
    </row>
    <row r="461" spans="1:9" x14ac:dyDescent="0.25">
      <c r="A461" s="13">
        <v>6111</v>
      </c>
      <c r="B461" s="11" t="s">
        <v>277</v>
      </c>
      <c r="C461" s="11" t="s">
        <v>494</v>
      </c>
      <c r="D461" s="12">
        <v>575</v>
      </c>
      <c r="E461"/>
      <c r="F461"/>
      <c r="G461"/>
      <c r="H461"/>
      <c r="I461"/>
    </row>
    <row r="462" spans="1:9" x14ac:dyDescent="0.25">
      <c r="A462" s="13">
        <v>6112</v>
      </c>
      <c r="B462" s="11" t="s">
        <v>277</v>
      </c>
      <c r="C462" s="11" t="s">
        <v>494</v>
      </c>
      <c r="D462" s="12">
        <v>550</v>
      </c>
      <c r="E462"/>
      <c r="F462"/>
      <c r="G462"/>
      <c r="H462"/>
      <c r="I462"/>
    </row>
    <row r="463" spans="1:9" x14ac:dyDescent="0.25">
      <c r="A463" s="13">
        <v>6113</v>
      </c>
      <c r="B463" s="11" t="s">
        <v>277</v>
      </c>
      <c r="C463" s="11" t="s">
        <v>494</v>
      </c>
      <c r="D463" s="12">
        <v>875</v>
      </c>
      <c r="E463"/>
      <c r="F463"/>
      <c r="G463"/>
      <c r="H463"/>
      <c r="I463"/>
    </row>
    <row r="464" spans="1:9" x14ac:dyDescent="0.25">
      <c r="A464" s="13">
        <v>6114</v>
      </c>
      <c r="B464" s="11" t="s">
        <v>277</v>
      </c>
      <c r="C464" s="11" t="s">
        <v>494</v>
      </c>
      <c r="D464" s="12">
        <v>550</v>
      </c>
      <c r="E464"/>
      <c r="F464"/>
      <c r="G464"/>
      <c r="H464"/>
      <c r="I464"/>
    </row>
    <row r="465" spans="1:9" x14ac:dyDescent="0.25">
      <c r="A465" s="13">
        <v>6115</v>
      </c>
      <c r="B465" s="11" t="s">
        <v>277</v>
      </c>
      <c r="C465" s="11" t="s">
        <v>494</v>
      </c>
      <c r="D465" s="12">
        <v>550</v>
      </c>
      <c r="E465"/>
      <c r="F465"/>
      <c r="G465"/>
      <c r="H465"/>
      <c r="I465"/>
    </row>
    <row r="466" spans="1:9" x14ac:dyDescent="0.25">
      <c r="A466" s="13">
        <v>6116</v>
      </c>
      <c r="B466" s="11" t="s">
        <v>277</v>
      </c>
      <c r="C466" s="11" t="s">
        <v>494</v>
      </c>
      <c r="D466" s="12">
        <v>550</v>
      </c>
      <c r="E466"/>
      <c r="F466"/>
      <c r="G466"/>
      <c r="H466"/>
      <c r="I466"/>
    </row>
    <row r="467" spans="1:9" x14ac:dyDescent="0.25">
      <c r="A467" s="13">
        <v>6117</v>
      </c>
      <c r="B467" s="11" t="s">
        <v>277</v>
      </c>
      <c r="C467" s="11" t="s">
        <v>494</v>
      </c>
      <c r="D467" s="12">
        <v>575</v>
      </c>
      <c r="E467"/>
      <c r="F467"/>
      <c r="G467"/>
      <c r="H467"/>
      <c r="I467"/>
    </row>
    <row r="468" spans="1:9" x14ac:dyDescent="0.25">
      <c r="A468" s="13">
        <v>6118</v>
      </c>
      <c r="B468" s="11" t="s">
        <v>277</v>
      </c>
      <c r="C468" s="11" t="s">
        <v>494</v>
      </c>
      <c r="D468" s="12">
        <v>525</v>
      </c>
      <c r="E468"/>
      <c r="F468"/>
      <c r="G468"/>
      <c r="H468"/>
      <c r="I468"/>
    </row>
    <row r="469" spans="1:9" x14ac:dyDescent="0.25">
      <c r="A469" s="13">
        <v>6119</v>
      </c>
      <c r="B469" s="11" t="s">
        <v>277</v>
      </c>
      <c r="C469" s="11" t="s">
        <v>494</v>
      </c>
      <c r="D469" s="12">
        <v>575</v>
      </c>
      <c r="E469"/>
      <c r="F469"/>
      <c r="G469"/>
      <c r="H469"/>
      <c r="I469"/>
    </row>
    <row r="470" spans="1:9" x14ac:dyDescent="0.25">
      <c r="A470" s="13">
        <v>6120</v>
      </c>
      <c r="B470" s="11" t="s">
        <v>277</v>
      </c>
      <c r="C470" s="11" t="s">
        <v>494</v>
      </c>
      <c r="D470" s="12">
        <v>550</v>
      </c>
      <c r="E470"/>
      <c r="F470"/>
      <c r="G470"/>
      <c r="H470"/>
      <c r="I470"/>
    </row>
    <row r="471" spans="1:9" x14ac:dyDescent="0.25">
      <c r="A471" s="13">
        <v>6121</v>
      </c>
      <c r="B471" s="11" t="s">
        <v>277</v>
      </c>
      <c r="C471" s="11" t="s">
        <v>494</v>
      </c>
      <c r="D471" s="12">
        <v>575</v>
      </c>
      <c r="E471"/>
      <c r="F471"/>
      <c r="G471"/>
      <c r="H471"/>
      <c r="I471"/>
    </row>
    <row r="472" spans="1:9" x14ac:dyDescent="0.25">
      <c r="A472" s="13">
        <v>6122</v>
      </c>
      <c r="B472" s="11" t="s">
        <v>277</v>
      </c>
      <c r="C472" s="11" t="s">
        <v>494</v>
      </c>
      <c r="D472" s="12">
        <v>575</v>
      </c>
      <c r="E472"/>
      <c r="F472"/>
      <c r="G472"/>
      <c r="H472"/>
      <c r="I472"/>
    </row>
    <row r="473" spans="1:9" x14ac:dyDescent="0.25">
      <c r="A473" s="13">
        <v>6123</v>
      </c>
      <c r="B473" s="11" t="s">
        <v>277</v>
      </c>
      <c r="C473" s="11" t="s">
        <v>494</v>
      </c>
      <c r="D473" s="12">
        <v>575</v>
      </c>
      <c r="E473"/>
      <c r="F473"/>
      <c r="G473"/>
      <c r="H473"/>
      <c r="I473"/>
    </row>
    <row r="474" spans="1:9" x14ac:dyDescent="0.25">
      <c r="A474" s="13">
        <v>8011</v>
      </c>
      <c r="B474" s="11" t="s">
        <v>277</v>
      </c>
      <c r="C474" s="11" t="s">
        <v>497</v>
      </c>
      <c r="D474" s="12">
        <v>3000</v>
      </c>
      <c r="E474"/>
      <c r="F474"/>
      <c r="G474"/>
      <c r="H474"/>
      <c r="I474"/>
    </row>
    <row r="475" spans="1:9" x14ac:dyDescent="0.25">
      <c r="A475" s="13">
        <v>8031</v>
      </c>
      <c r="B475" s="11" t="s">
        <v>277</v>
      </c>
      <c r="C475" s="11" t="s">
        <v>497</v>
      </c>
      <c r="D475" s="12">
        <v>7950</v>
      </c>
      <c r="E475"/>
      <c r="F475"/>
      <c r="G475"/>
      <c r="H475"/>
      <c r="I475"/>
    </row>
    <row r="476" spans="1:9" x14ac:dyDescent="0.25">
      <c r="A476" s="13">
        <v>8032</v>
      </c>
      <c r="B476" s="11" t="s">
        <v>277</v>
      </c>
      <c r="C476" s="11" t="s">
        <v>497</v>
      </c>
      <c r="D476" s="12">
        <v>3500</v>
      </c>
      <c r="E476"/>
      <c r="F476"/>
      <c r="G476"/>
      <c r="H476"/>
      <c r="I476"/>
    </row>
    <row r="477" spans="1:9" x14ac:dyDescent="0.25">
      <c r="A477" s="13">
        <v>8033</v>
      </c>
      <c r="B477" s="11" t="s">
        <v>277</v>
      </c>
      <c r="C477" s="11" t="s">
        <v>497</v>
      </c>
      <c r="D477" s="12">
        <v>8750</v>
      </c>
      <c r="E477"/>
      <c r="F477"/>
      <c r="G477"/>
      <c r="H477"/>
      <c r="I477"/>
    </row>
    <row r="478" spans="1:9" x14ac:dyDescent="0.25">
      <c r="A478" s="13">
        <v>8034</v>
      </c>
      <c r="B478" s="11" t="s">
        <v>277</v>
      </c>
      <c r="C478" s="11" t="s">
        <v>497</v>
      </c>
      <c r="D478" s="12">
        <v>2225</v>
      </c>
      <c r="E478"/>
      <c r="F478"/>
      <c r="G478"/>
      <c r="H478"/>
      <c r="I478"/>
    </row>
    <row r="479" spans="1:9" x14ac:dyDescent="0.25">
      <c r="A479" s="13">
        <v>8035</v>
      </c>
      <c r="B479" s="11" t="s">
        <v>277</v>
      </c>
      <c r="C479" s="11" t="s">
        <v>497</v>
      </c>
      <c r="D479" s="12">
        <v>5250</v>
      </c>
      <c r="E479"/>
      <c r="F479"/>
      <c r="G479"/>
      <c r="H479"/>
      <c r="I479"/>
    </row>
    <row r="480" spans="1:9" x14ac:dyDescent="0.25">
      <c r="A480" s="13">
        <v>8036</v>
      </c>
      <c r="B480" s="11" t="s">
        <v>277</v>
      </c>
      <c r="C480" s="11" t="s">
        <v>497</v>
      </c>
      <c r="D480" s="12">
        <v>4250</v>
      </c>
      <c r="E480"/>
      <c r="F480"/>
      <c r="G480"/>
      <c r="H480"/>
      <c r="I480"/>
    </row>
    <row r="481" spans="1:9" x14ac:dyDescent="0.25">
      <c r="A481" s="13">
        <v>8037</v>
      </c>
      <c r="B481" s="11" t="s">
        <v>277</v>
      </c>
      <c r="C481" s="11" t="s">
        <v>497</v>
      </c>
      <c r="D481" s="12">
        <v>2175</v>
      </c>
      <c r="E481"/>
      <c r="F481"/>
      <c r="G481"/>
      <c r="H481"/>
      <c r="I481"/>
    </row>
    <row r="482" spans="1:9" x14ac:dyDescent="0.25">
      <c r="A482" s="13">
        <v>8061</v>
      </c>
      <c r="B482" s="11" t="s">
        <v>277</v>
      </c>
      <c r="C482" s="11" t="s">
        <v>497</v>
      </c>
      <c r="D482" s="12">
        <v>3500</v>
      </c>
      <c r="E482"/>
      <c r="F482"/>
      <c r="G482"/>
      <c r="H482"/>
      <c r="I482"/>
    </row>
    <row r="483" spans="1:9" x14ac:dyDescent="0.25">
      <c r="A483" s="13">
        <v>8062</v>
      </c>
      <c r="B483" s="11" t="s">
        <v>277</v>
      </c>
      <c r="C483" s="11" t="s">
        <v>497</v>
      </c>
      <c r="D483" s="12">
        <v>2150</v>
      </c>
      <c r="E483"/>
      <c r="F483"/>
      <c r="G483"/>
      <c r="H483"/>
      <c r="I483"/>
    </row>
    <row r="484" spans="1:9" x14ac:dyDescent="0.25">
      <c r="A484" s="13">
        <v>8063</v>
      </c>
      <c r="B484" s="11" t="s">
        <v>277</v>
      </c>
      <c r="C484" s="11" t="s">
        <v>497</v>
      </c>
      <c r="D484" s="12">
        <v>3500</v>
      </c>
      <c r="E484"/>
      <c r="F484"/>
      <c r="G484"/>
      <c r="H484"/>
      <c r="I484"/>
    </row>
    <row r="485" spans="1:9" x14ac:dyDescent="0.25">
      <c r="A485" s="13">
        <v>8064</v>
      </c>
      <c r="B485" s="11" t="s">
        <v>277</v>
      </c>
      <c r="C485" s="11" t="s">
        <v>497</v>
      </c>
      <c r="D485" s="12">
        <v>3500</v>
      </c>
      <c r="E485"/>
      <c r="F485"/>
      <c r="G485"/>
      <c r="H485"/>
      <c r="I485"/>
    </row>
    <row r="486" spans="1:9" x14ac:dyDescent="0.25">
      <c r="A486" s="13">
        <v>8065</v>
      </c>
      <c r="B486" s="11" t="s">
        <v>277</v>
      </c>
      <c r="C486" s="11" t="s">
        <v>497</v>
      </c>
      <c r="D486" s="12">
        <v>1750</v>
      </c>
      <c r="E486"/>
      <c r="F486"/>
      <c r="G486"/>
      <c r="H486"/>
      <c r="I486"/>
    </row>
    <row r="487" spans="1:9" x14ac:dyDescent="0.25">
      <c r="A487" s="13">
        <v>8066</v>
      </c>
      <c r="B487" s="11" t="s">
        <v>277</v>
      </c>
      <c r="C487" s="11" t="s">
        <v>497</v>
      </c>
      <c r="D487" s="12">
        <v>2150</v>
      </c>
      <c r="E487"/>
      <c r="F487"/>
      <c r="G487"/>
      <c r="H487"/>
      <c r="I487"/>
    </row>
    <row r="488" spans="1:9" x14ac:dyDescent="0.25">
      <c r="A488" s="13">
        <v>8067</v>
      </c>
      <c r="B488" s="11" t="s">
        <v>277</v>
      </c>
      <c r="C488" s="11" t="s">
        <v>497</v>
      </c>
      <c r="D488" s="12">
        <v>2300</v>
      </c>
      <c r="E488"/>
      <c r="F488"/>
      <c r="G488"/>
      <c r="H488"/>
      <c r="I488"/>
    </row>
    <row r="489" spans="1:9" x14ac:dyDescent="0.25">
      <c r="A489" s="13">
        <v>8068</v>
      </c>
      <c r="B489" s="11" t="s">
        <v>277</v>
      </c>
      <c r="C489" s="11" t="s">
        <v>497</v>
      </c>
      <c r="D489" s="12">
        <v>3950</v>
      </c>
      <c r="E489"/>
      <c r="F489"/>
      <c r="G489"/>
      <c r="H489"/>
      <c r="I489"/>
    </row>
    <row r="490" spans="1:9" x14ac:dyDescent="0.25">
      <c r="A490" s="13">
        <v>8069</v>
      </c>
      <c r="B490" s="11" t="s">
        <v>277</v>
      </c>
      <c r="C490" s="11" t="s">
        <v>497</v>
      </c>
      <c r="D490" s="12">
        <v>3600</v>
      </c>
      <c r="E490"/>
      <c r="F490"/>
      <c r="G490"/>
      <c r="H490"/>
      <c r="I490"/>
    </row>
    <row r="491" spans="1:9" x14ac:dyDescent="0.25">
      <c r="A491" s="13">
        <v>8081</v>
      </c>
      <c r="B491" s="11" t="s">
        <v>277</v>
      </c>
      <c r="C491" s="11" t="s">
        <v>497</v>
      </c>
      <c r="D491" s="12">
        <v>950</v>
      </c>
      <c r="E491"/>
      <c r="F491"/>
      <c r="G491"/>
      <c r="H491"/>
      <c r="I491"/>
    </row>
    <row r="492" spans="1:9" x14ac:dyDescent="0.25">
      <c r="A492" s="13">
        <v>8121</v>
      </c>
      <c r="B492" s="11" t="s">
        <v>277</v>
      </c>
      <c r="C492" s="11" t="s">
        <v>497</v>
      </c>
      <c r="D492" s="12">
        <v>1525</v>
      </c>
      <c r="E492"/>
      <c r="F492"/>
      <c r="G492"/>
      <c r="H492"/>
      <c r="I492"/>
    </row>
    <row r="493" spans="1:9" x14ac:dyDescent="0.25">
      <c r="A493" s="13">
        <v>8122</v>
      </c>
      <c r="B493" s="11" t="s">
        <v>277</v>
      </c>
      <c r="C493" s="11" t="s">
        <v>497</v>
      </c>
      <c r="D493" s="12">
        <v>2175</v>
      </c>
      <c r="E493"/>
      <c r="F493"/>
      <c r="G493"/>
      <c r="H493"/>
      <c r="I493"/>
    </row>
    <row r="494" spans="1:9" x14ac:dyDescent="0.25">
      <c r="A494" s="13">
        <v>8123</v>
      </c>
      <c r="B494" s="11" t="s">
        <v>277</v>
      </c>
      <c r="C494" s="11" t="s">
        <v>497</v>
      </c>
      <c r="D494" s="12">
        <v>1025</v>
      </c>
      <c r="E494"/>
      <c r="F494"/>
      <c r="G494"/>
      <c r="H494"/>
      <c r="I494"/>
    </row>
    <row r="495" spans="1:9" x14ac:dyDescent="0.25">
      <c r="A495" s="13">
        <v>8321</v>
      </c>
      <c r="B495" s="11" t="s">
        <v>277</v>
      </c>
      <c r="C495" s="11" t="s">
        <v>497</v>
      </c>
      <c r="D495" s="12">
        <v>2025</v>
      </c>
      <c r="E495"/>
      <c r="F495"/>
      <c r="G495"/>
      <c r="H495"/>
      <c r="I495"/>
    </row>
    <row r="496" spans="1:9" x14ac:dyDescent="0.25">
      <c r="A496" s="13">
        <v>9062</v>
      </c>
      <c r="B496" s="11" t="s">
        <v>277</v>
      </c>
      <c r="C496" s="11" t="s">
        <v>497</v>
      </c>
      <c r="D496" s="12">
        <v>2600</v>
      </c>
      <c r="E496"/>
      <c r="F496"/>
      <c r="G496"/>
      <c r="H496"/>
      <c r="I496"/>
    </row>
    <row r="497" spans="1:9" x14ac:dyDescent="0.25">
      <c r="A497" s="13">
        <v>9063</v>
      </c>
      <c r="B497" s="11" t="s">
        <v>277</v>
      </c>
      <c r="C497" s="11" t="s">
        <v>497</v>
      </c>
      <c r="D497" s="12">
        <v>2225</v>
      </c>
      <c r="E497"/>
      <c r="F497"/>
      <c r="G497"/>
      <c r="H497"/>
      <c r="I497"/>
    </row>
    <row r="498" spans="1:9" x14ac:dyDescent="0.25">
      <c r="A498" s="13">
        <v>9065</v>
      </c>
      <c r="B498" s="11" t="s">
        <v>277</v>
      </c>
      <c r="C498" s="11" t="s">
        <v>497</v>
      </c>
      <c r="D498" s="12">
        <v>2350</v>
      </c>
      <c r="E498"/>
      <c r="F498"/>
      <c r="G498"/>
      <c r="H498"/>
      <c r="I498"/>
    </row>
    <row r="499" spans="1:9" x14ac:dyDescent="0.25">
      <c r="A499" s="13">
        <v>9068</v>
      </c>
      <c r="B499" s="11" t="s">
        <v>277</v>
      </c>
      <c r="C499" s="11" t="s">
        <v>497</v>
      </c>
      <c r="D499" s="12">
        <v>3100</v>
      </c>
      <c r="E499"/>
      <c r="F499"/>
      <c r="G499"/>
      <c r="H499"/>
      <c r="I499"/>
    </row>
    <row r="500" spans="1:9" x14ac:dyDescent="0.25">
      <c r="A500" s="13">
        <v>9069</v>
      </c>
      <c r="B500" s="11" t="s">
        <v>277</v>
      </c>
      <c r="C500" s="11" t="s">
        <v>497</v>
      </c>
      <c r="D500" s="12">
        <v>2600</v>
      </c>
      <c r="E500"/>
      <c r="F500"/>
      <c r="G500"/>
      <c r="H500"/>
      <c r="I500"/>
    </row>
    <row r="501" spans="1:9" x14ac:dyDescent="0.25">
      <c r="A501" s="13">
        <v>9071</v>
      </c>
      <c r="B501" s="11" t="s">
        <v>277</v>
      </c>
      <c r="C501" s="11" t="s">
        <v>497</v>
      </c>
      <c r="D501" s="12">
        <v>2150</v>
      </c>
      <c r="E501"/>
      <c r="F501"/>
      <c r="G501"/>
      <c r="H501"/>
      <c r="I501"/>
    </row>
    <row r="502" spans="1:9" x14ac:dyDescent="0.25">
      <c r="A502" s="13">
        <v>9072</v>
      </c>
      <c r="B502" s="11" t="s">
        <v>277</v>
      </c>
      <c r="C502" s="11" t="s">
        <v>497</v>
      </c>
      <c r="D502" s="12">
        <v>6800</v>
      </c>
      <c r="E502"/>
      <c r="F502"/>
      <c r="G502"/>
      <c r="H502"/>
      <c r="I502"/>
    </row>
    <row r="503" spans="1:9" x14ac:dyDescent="0.25">
      <c r="A503" s="13">
        <v>9073</v>
      </c>
      <c r="B503" s="11" t="s">
        <v>277</v>
      </c>
      <c r="C503" s="11" t="s">
        <v>497</v>
      </c>
      <c r="D503" s="12">
        <v>6250</v>
      </c>
      <c r="E503"/>
      <c r="F503"/>
      <c r="G503"/>
      <c r="H503"/>
      <c r="I503"/>
    </row>
    <row r="504" spans="1:9" x14ac:dyDescent="0.25">
      <c r="A504" s="13">
        <v>9074</v>
      </c>
      <c r="B504" s="11" t="s">
        <v>277</v>
      </c>
      <c r="C504" s="11" t="s">
        <v>497</v>
      </c>
      <c r="D504" s="12">
        <v>4450</v>
      </c>
      <c r="E504"/>
      <c r="F504"/>
      <c r="G504"/>
      <c r="H504"/>
      <c r="I504"/>
    </row>
    <row r="505" spans="1:9" x14ac:dyDescent="0.25">
      <c r="A505" s="13">
        <v>9075</v>
      </c>
      <c r="B505" s="11" t="s">
        <v>277</v>
      </c>
      <c r="C505" s="11" t="s">
        <v>497</v>
      </c>
      <c r="D505" s="12">
        <v>7650</v>
      </c>
      <c r="E505"/>
      <c r="F505"/>
      <c r="G505"/>
      <c r="H505"/>
      <c r="I505"/>
    </row>
    <row r="506" spans="1:9" x14ac:dyDescent="0.25">
      <c r="A506" s="13">
        <v>9076</v>
      </c>
      <c r="B506" s="11" t="s">
        <v>277</v>
      </c>
      <c r="C506" s="11" t="s">
        <v>497</v>
      </c>
      <c r="D506" s="12">
        <v>2325</v>
      </c>
      <c r="E506"/>
      <c r="F506"/>
      <c r="G506"/>
      <c r="H506"/>
      <c r="I506"/>
    </row>
    <row r="507" spans="1:9" x14ac:dyDescent="0.25">
      <c r="A507" s="13" t="s">
        <v>755</v>
      </c>
      <c r="B507" s="11" t="s">
        <v>284</v>
      </c>
      <c r="C507" s="11" t="s">
        <v>705</v>
      </c>
      <c r="D507" s="12">
        <v>6500</v>
      </c>
      <c r="E507"/>
      <c r="F507"/>
      <c r="G507"/>
      <c r="H507"/>
      <c r="I507"/>
    </row>
    <row r="508" spans="1:9" x14ac:dyDescent="0.25">
      <c r="A508" s="13" t="s">
        <v>760</v>
      </c>
      <c r="B508" s="11" t="s">
        <v>284</v>
      </c>
      <c r="C508" s="11" t="s">
        <v>705</v>
      </c>
      <c r="D508" s="12">
        <v>9700</v>
      </c>
      <c r="E508"/>
      <c r="F508"/>
      <c r="G508"/>
      <c r="H508"/>
      <c r="I508"/>
    </row>
    <row r="509" spans="1:9" x14ac:dyDescent="0.25">
      <c r="A509" s="13" t="s">
        <v>835</v>
      </c>
      <c r="B509" s="11" t="s">
        <v>277</v>
      </c>
      <c r="C509" s="11" t="s">
        <v>494</v>
      </c>
      <c r="D509" s="12">
        <v>125</v>
      </c>
      <c r="E509"/>
      <c r="F509"/>
      <c r="G509"/>
      <c r="H509"/>
      <c r="I509"/>
    </row>
    <row r="510" spans="1:9" x14ac:dyDescent="0.25">
      <c r="A510" s="13" t="s">
        <v>1021</v>
      </c>
      <c r="B510" s="11" t="s">
        <v>277</v>
      </c>
      <c r="C510" s="11" t="s">
        <v>494</v>
      </c>
      <c r="D510" s="12">
        <v>225</v>
      </c>
      <c r="E510"/>
      <c r="F510"/>
      <c r="G510"/>
      <c r="H510"/>
      <c r="I510"/>
    </row>
    <row r="511" spans="1:9" x14ac:dyDescent="0.25">
      <c r="A511" s="13" t="s">
        <v>805</v>
      </c>
      <c r="B511" s="11" t="s">
        <v>277</v>
      </c>
      <c r="C511" s="11" t="s">
        <v>494</v>
      </c>
      <c r="D511" s="12">
        <v>225</v>
      </c>
      <c r="E511"/>
      <c r="F511"/>
      <c r="G511"/>
      <c r="H511"/>
      <c r="I511"/>
    </row>
    <row r="512" spans="1:9" x14ac:dyDescent="0.25">
      <c r="A512" s="13">
        <v>181</v>
      </c>
      <c r="B512" s="11" t="s">
        <v>171</v>
      </c>
      <c r="C512" s="11" t="s">
        <v>167</v>
      </c>
      <c r="D512" s="12">
        <v>425</v>
      </c>
      <c r="E512"/>
      <c r="F512"/>
      <c r="G512"/>
      <c r="H512"/>
      <c r="I512"/>
    </row>
    <row r="513" spans="1:9" x14ac:dyDescent="0.25">
      <c r="A513" s="13">
        <v>452</v>
      </c>
      <c r="B513" s="11" t="s">
        <v>171</v>
      </c>
      <c r="C513" s="11" t="s">
        <v>495</v>
      </c>
      <c r="D513" s="12">
        <v>275</v>
      </c>
      <c r="E513"/>
      <c r="F513"/>
      <c r="G513"/>
      <c r="H513"/>
      <c r="I513"/>
    </row>
    <row r="514" spans="1:9" x14ac:dyDescent="0.25">
      <c r="A514" s="13">
        <v>455</v>
      </c>
      <c r="B514" s="11" t="s">
        <v>171</v>
      </c>
      <c r="C514" s="11" t="s">
        <v>495</v>
      </c>
      <c r="D514" s="12">
        <v>300</v>
      </c>
      <c r="E514"/>
      <c r="F514"/>
      <c r="G514"/>
      <c r="H514"/>
      <c r="I514"/>
    </row>
    <row r="515" spans="1:9" x14ac:dyDescent="0.25">
      <c r="A515" s="13">
        <v>466</v>
      </c>
      <c r="B515" s="11" t="s">
        <v>171</v>
      </c>
      <c r="C515" s="11" t="s">
        <v>495</v>
      </c>
      <c r="D515" s="12">
        <v>375</v>
      </c>
      <c r="E515"/>
      <c r="F515"/>
      <c r="G515"/>
      <c r="H515"/>
      <c r="I515"/>
    </row>
    <row r="516" spans="1:9" x14ac:dyDescent="0.25">
      <c r="A516" s="13">
        <v>501</v>
      </c>
      <c r="B516" s="11" t="s">
        <v>171</v>
      </c>
      <c r="C516" s="11" t="s">
        <v>494</v>
      </c>
      <c r="D516" s="12">
        <v>375</v>
      </c>
      <c r="E516"/>
      <c r="F516"/>
      <c r="G516"/>
      <c r="H516"/>
      <c r="I516"/>
    </row>
    <row r="517" spans="1:9" x14ac:dyDescent="0.25">
      <c r="A517" s="13">
        <v>502</v>
      </c>
      <c r="B517" s="11" t="s">
        <v>171</v>
      </c>
      <c r="C517" s="11" t="s">
        <v>494</v>
      </c>
      <c r="D517" s="12">
        <v>400</v>
      </c>
      <c r="E517"/>
      <c r="F517"/>
      <c r="G517"/>
      <c r="H517"/>
      <c r="I517"/>
    </row>
    <row r="518" spans="1:9" x14ac:dyDescent="0.25">
      <c r="A518" s="13">
        <v>503</v>
      </c>
      <c r="B518" s="11" t="s">
        <v>171</v>
      </c>
      <c r="C518" s="11" t="s">
        <v>494</v>
      </c>
      <c r="D518" s="12">
        <v>375</v>
      </c>
      <c r="E518"/>
      <c r="F518"/>
      <c r="G518"/>
      <c r="H518"/>
      <c r="I518"/>
    </row>
    <row r="519" spans="1:9" x14ac:dyDescent="0.25">
      <c r="A519" s="13">
        <v>504</v>
      </c>
      <c r="B519" s="11" t="s">
        <v>171</v>
      </c>
      <c r="C519" s="11" t="s">
        <v>494</v>
      </c>
      <c r="D519" s="12">
        <v>350</v>
      </c>
      <c r="E519"/>
      <c r="F519"/>
      <c r="G519"/>
      <c r="H519"/>
      <c r="I519"/>
    </row>
    <row r="520" spans="1:9" x14ac:dyDescent="0.25">
      <c r="A520" s="13">
        <v>505</v>
      </c>
      <c r="B520" s="11" t="s">
        <v>171</v>
      </c>
      <c r="C520" s="11" t="s">
        <v>494</v>
      </c>
      <c r="D520" s="12">
        <v>300</v>
      </c>
      <c r="E520"/>
      <c r="F520"/>
      <c r="G520"/>
      <c r="H520"/>
      <c r="I520"/>
    </row>
    <row r="521" spans="1:9" x14ac:dyDescent="0.25">
      <c r="A521" s="13">
        <v>506</v>
      </c>
      <c r="B521" s="11" t="s">
        <v>171</v>
      </c>
      <c r="C521" s="11" t="s">
        <v>494</v>
      </c>
      <c r="D521" s="12">
        <v>600</v>
      </c>
      <c r="E521"/>
      <c r="F521"/>
      <c r="G521"/>
      <c r="H521"/>
      <c r="I521"/>
    </row>
    <row r="522" spans="1:9" x14ac:dyDescent="0.25">
      <c r="A522" s="13">
        <v>507</v>
      </c>
      <c r="B522" s="11" t="s">
        <v>171</v>
      </c>
      <c r="C522" s="11" t="s">
        <v>494</v>
      </c>
      <c r="D522" s="12">
        <v>475</v>
      </c>
      <c r="E522"/>
      <c r="F522"/>
      <c r="G522"/>
      <c r="H522"/>
      <c r="I522"/>
    </row>
    <row r="523" spans="1:9" x14ac:dyDescent="0.25">
      <c r="A523" s="13">
        <v>508</v>
      </c>
      <c r="B523" s="11" t="s">
        <v>171</v>
      </c>
      <c r="C523" s="11" t="s">
        <v>494</v>
      </c>
      <c r="D523" s="12">
        <v>275</v>
      </c>
      <c r="E523"/>
      <c r="F523"/>
      <c r="G523"/>
      <c r="H523"/>
      <c r="I523"/>
    </row>
    <row r="524" spans="1:9" x14ac:dyDescent="0.25">
      <c r="A524" s="13">
        <v>509</v>
      </c>
      <c r="B524" s="11" t="s">
        <v>171</v>
      </c>
      <c r="C524" s="11" t="s">
        <v>494</v>
      </c>
      <c r="D524" s="12">
        <v>325</v>
      </c>
      <c r="E524"/>
      <c r="F524"/>
      <c r="G524"/>
      <c r="H524"/>
      <c r="I524"/>
    </row>
    <row r="525" spans="1:9" x14ac:dyDescent="0.25">
      <c r="A525" s="13">
        <v>510</v>
      </c>
      <c r="B525" s="11" t="s">
        <v>171</v>
      </c>
      <c r="C525" s="11" t="s">
        <v>494</v>
      </c>
      <c r="D525" s="12">
        <v>300</v>
      </c>
      <c r="E525"/>
      <c r="F525"/>
      <c r="G525"/>
      <c r="H525"/>
      <c r="I525"/>
    </row>
    <row r="526" spans="1:9" x14ac:dyDescent="0.25">
      <c r="A526" s="13">
        <v>512</v>
      </c>
      <c r="B526" s="11" t="s">
        <v>171</v>
      </c>
      <c r="C526" s="11" t="s">
        <v>494</v>
      </c>
      <c r="D526" s="12">
        <v>625</v>
      </c>
      <c r="E526"/>
      <c r="F526"/>
      <c r="G526"/>
      <c r="H526"/>
      <c r="I526"/>
    </row>
    <row r="527" spans="1:9" x14ac:dyDescent="0.25">
      <c r="A527" s="13">
        <v>515</v>
      </c>
      <c r="B527" s="11" t="s">
        <v>171</v>
      </c>
      <c r="C527" s="11" t="s">
        <v>494</v>
      </c>
      <c r="D527" s="12">
        <v>250</v>
      </c>
      <c r="E527"/>
      <c r="F527"/>
      <c r="G527"/>
      <c r="H527"/>
      <c r="I527"/>
    </row>
    <row r="528" spans="1:9" x14ac:dyDescent="0.25">
      <c r="A528" s="13">
        <v>516</v>
      </c>
      <c r="B528" s="11" t="s">
        <v>171</v>
      </c>
      <c r="C528" s="11" t="s">
        <v>494</v>
      </c>
      <c r="D528" s="12">
        <v>425</v>
      </c>
      <c r="E528"/>
      <c r="F528"/>
      <c r="G528"/>
      <c r="H528"/>
      <c r="I528"/>
    </row>
    <row r="529" spans="1:9" x14ac:dyDescent="0.25">
      <c r="A529" s="13">
        <v>520</v>
      </c>
      <c r="B529" s="11" t="s">
        <v>171</v>
      </c>
      <c r="C529" s="11" t="s">
        <v>494</v>
      </c>
      <c r="D529" s="12">
        <v>450</v>
      </c>
      <c r="E529"/>
      <c r="F529"/>
      <c r="G529"/>
      <c r="H529"/>
      <c r="I529"/>
    </row>
    <row r="530" spans="1:9" x14ac:dyDescent="0.25">
      <c r="A530" s="13">
        <v>522</v>
      </c>
      <c r="B530" s="11" t="s">
        <v>171</v>
      </c>
      <c r="C530" s="11" t="s">
        <v>494</v>
      </c>
      <c r="D530" s="12">
        <v>350</v>
      </c>
      <c r="E530"/>
      <c r="F530"/>
      <c r="G530"/>
      <c r="H530"/>
      <c r="I530"/>
    </row>
    <row r="531" spans="1:9" x14ac:dyDescent="0.25">
      <c r="A531" s="13">
        <v>523</v>
      </c>
      <c r="B531" s="11" t="s">
        <v>171</v>
      </c>
      <c r="C531" s="11" t="s">
        <v>494</v>
      </c>
      <c r="D531" s="12">
        <v>525</v>
      </c>
      <c r="E531"/>
      <c r="F531"/>
      <c r="G531"/>
      <c r="H531"/>
      <c r="I531"/>
    </row>
    <row r="532" spans="1:9" x14ac:dyDescent="0.25">
      <c r="A532" s="13">
        <v>524</v>
      </c>
      <c r="B532" s="11" t="s">
        <v>171</v>
      </c>
      <c r="C532" s="11" t="s">
        <v>494</v>
      </c>
      <c r="D532" s="12">
        <v>650</v>
      </c>
      <c r="E532"/>
      <c r="F532"/>
      <c r="G532"/>
      <c r="H532"/>
      <c r="I532"/>
    </row>
    <row r="533" spans="1:9" x14ac:dyDescent="0.25">
      <c r="A533" s="13">
        <v>527</v>
      </c>
      <c r="B533" s="11" t="s">
        <v>171</v>
      </c>
      <c r="C533" s="11" t="s">
        <v>494</v>
      </c>
      <c r="D533" s="12">
        <v>575</v>
      </c>
      <c r="E533"/>
      <c r="F533"/>
      <c r="G533"/>
      <c r="H533"/>
      <c r="I533"/>
    </row>
    <row r="534" spans="1:9" x14ac:dyDescent="0.25">
      <c r="A534" s="13">
        <v>529</v>
      </c>
      <c r="B534" s="11" t="s">
        <v>171</v>
      </c>
      <c r="C534" s="11" t="s">
        <v>494</v>
      </c>
      <c r="D534" s="12">
        <v>600</v>
      </c>
      <c r="E534"/>
      <c r="F534"/>
      <c r="G534"/>
      <c r="H534"/>
      <c r="I534"/>
    </row>
    <row r="535" spans="1:9" x14ac:dyDescent="0.25">
      <c r="A535" s="13">
        <v>530</v>
      </c>
      <c r="B535" s="11" t="s">
        <v>171</v>
      </c>
      <c r="C535" s="11" t="s">
        <v>494</v>
      </c>
      <c r="D535" s="12">
        <v>275</v>
      </c>
      <c r="E535"/>
      <c r="F535"/>
      <c r="G535"/>
      <c r="H535"/>
      <c r="I535"/>
    </row>
    <row r="536" spans="1:9" x14ac:dyDescent="0.25">
      <c r="A536" s="13">
        <v>533</v>
      </c>
      <c r="B536" s="11" t="s">
        <v>171</v>
      </c>
      <c r="C536" s="11" t="s">
        <v>494</v>
      </c>
      <c r="D536" s="12">
        <v>175</v>
      </c>
      <c r="E536"/>
      <c r="F536"/>
      <c r="G536"/>
      <c r="H536"/>
      <c r="I536"/>
    </row>
    <row r="537" spans="1:9" x14ac:dyDescent="0.25">
      <c r="A537" s="13">
        <v>535</v>
      </c>
      <c r="B537" s="11" t="s">
        <v>171</v>
      </c>
      <c r="C537" s="11" t="s">
        <v>494</v>
      </c>
      <c r="D537" s="12">
        <v>350</v>
      </c>
      <c r="E537"/>
      <c r="F537"/>
      <c r="G537"/>
      <c r="H537"/>
      <c r="I537"/>
    </row>
    <row r="538" spans="1:9" x14ac:dyDescent="0.25">
      <c r="A538" s="13">
        <v>536</v>
      </c>
      <c r="B538" s="11" t="s">
        <v>171</v>
      </c>
      <c r="C538" s="11" t="s">
        <v>494</v>
      </c>
      <c r="D538" s="12">
        <v>375</v>
      </c>
      <c r="E538"/>
      <c r="F538"/>
      <c r="G538"/>
      <c r="H538"/>
      <c r="I538"/>
    </row>
    <row r="539" spans="1:9" x14ac:dyDescent="0.25">
      <c r="A539" s="13">
        <v>537</v>
      </c>
      <c r="B539" s="11" t="s">
        <v>171</v>
      </c>
      <c r="C539" s="11" t="s">
        <v>494</v>
      </c>
      <c r="D539" s="12">
        <v>275</v>
      </c>
      <c r="E539"/>
      <c r="F539"/>
      <c r="G539"/>
      <c r="H539"/>
      <c r="I539"/>
    </row>
    <row r="540" spans="1:9" x14ac:dyDescent="0.25">
      <c r="A540" s="13">
        <v>538</v>
      </c>
      <c r="B540" s="11" t="s">
        <v>171</v>
      </c>
      <c r="C540" s="11" t="s">
        <v>494</v>
      </c>
      <c r="D540" s="12">
        <v>250</v>
      </c>
      <c r="E540"/>
      <c r="F540"/>
      <c r="G540"/>
      <c r="H540"/>
      <c r="I540"/>
    </row>
    <row r="541" spans="1:9" x14ac:dyDescent="0.25">
      <c r="A541" s="13">
        <v>539</v>
      </c>
      <c r="B541" s="11" t="s">
        <v>171</v>
      </c>
      <c r="C541" s="11" t="s">
        <v>494</v>
      </c>
      <c r="D541" s="12">
        <v>275</v>
      </c>
      <c r="E541"/>
      <c r="F541"/>
      <c r="G541"/>
      <c r="H541"/>
      <c r="I541"/>
    </row>
    <row r="542" spans="1:9" x14ac:dyDescent="0.25">
      <c r="A542" s="13">
        <v>551</v>
      </c>
      <c r="B542" s="11" t="s">
        <v>171</v>
      </c>
      <c r="C542" s="11" t="s">
        <v>494</v>
      </c>
      <c r="D542" s="12">
        <v>300</v>
      </c>
      <c r="E542"/>
      <c r="F542"/>
      <c r="G542"/>
      <c r="H542"/>
      <c r="I542"/>
    </row>
    <row r="543" spans="1:9" x14ac:dyDescent="0.25">
      <c r="A543" s="13">
        <v>552</v>
      </c>
      <c r="B543" s="11" t="s">
        <v>171</v>
      </c>
      <c r="C543" s="11" t="s">
        <v>494</v>
      </c>
      <c r="D543" s="12">
        <v>275</v>
      </c>
      <c r="E543"/>
      <c r="F543"/>
      <c r="G543"/>
      <c r="H543"/>
      <c r="I543"/>
    </row>
    <row r="544" spans="1:9" x14ac:dyDescent="0.25">
      <c r="A544" s="13">
        <v>554</v>
      </c>
      <c r="B544" s="11" t="s">
        <v>171</v>
      </c>
      <c r="C544" s="11" t="s">
        <v>494</v>
      </c>
      <c r="D544" s="12">
        <v>375</v>
      </c>
      <c r="E544"/>
      <c r="F544"/>
      <c r="G544"/>
      <c r="H544"/>
      <c r="I544"/>
    </row>
    <row r="545" spans="1:9" x14ac:dyDescent="0.25">
      <c r="A545" s="13">
        <v>556</v>
      </c>
      <c r="B545" s="11" t="s">
        <v>171</v>
      </c>
      <c r="C545" s="11" t="s">
        <v>494</v>
      </c>
      <c r="D545" s="12">
        <v>650</v>
      </c>
      <c r="E545"/>
      <c r="F545"/>
      <c r="G545"/>
      <c r="H545"/>
      <c r="I545"/>
    </row>
    <row r="546" spans="1:9" x14ac:dyDescent="0.25">
      <c r="A546" s="13">
        <v>557</v>
      </c>
      <c r="B546" s="11" t="s">
        <v>171</v>
      </c>
      <c r="C546" s="11" t="s">
        <v>494</v>
      </c>
      <c r="D546" s="12">
        <v>550</v>
      </c>
      <c r="E546"/>
      <c r="F546"/>
      <c r="G546"/>
      <c r="H546"/>
      <c r="I546"/>
    </row>
    <row r="547" spans="1:9" x14ac:dyDescent="0.25">
      <c r="A547" s="13">
        <v>558</v>
      </c>
      <c r="B547" s="11" t="s">
        <v>171</v>
      </c>
      <c r="C547" s="11" t="s">
        <v>494</v>
      </c>
      <c r="D547" s="12">
        <v>575</v>
      </c>
      <c r="E547"/>
      <c r="F547"/>
      <c r="G547"/>
      <c r="H547"/>
      <c r="I547"/>
    </row>
    <row r="548" spans="1:9" x14ac:dyDescent="0.25">
      <c r="A548" s="13">
        <v>560</v>
      </c>
      <c r="B548" s="11" t="s">
        <v>171</v>
      </c>
      <c r="C548" s="11" t="s">
        <v>494</v>
      </c>
      <c r="D548" s="12">
        <v>325</v>
      </c>
      <c r="E548"/>
      <c r="F548"/>
      <c r="G548"/>
      <c r="H548"/>
      <c r="I548"/>
    </row>
    <row r="549" spans="1:9" x14ac:dyDescent="0.25">
      <c r="A549" s="13">
        <v>561</v>
      </c>
      <c r="B549" s="11" t="s">
        <v>171</v>
      </c>
      <c r="C549" s="11" t="s">
        <v>494</v>
      </c>
      <c r="D549" s="12">
        <v>725</v>
      </c>
      <c r="E549"/>
      <c r="F549"/>
      <c r="G549"/>
      <c r="H549"/>
      <c r="I549"/>
    </row>
    <row r="550" spans="1:9" x14ac:dyDescent="0.25">
      <c r="A550" s="13">
        <v>562</v>
      </c>
      <c r="B550" s="11" t="s">
        <v>171</v>
      </c>
      <c r="C550" s="11" t="s">
        <v>494</v>
      </c>
      <c r="D550" s="12">
        <v>625</v>
      </c>
      <c r="E550"/>
      <c r="F550"/>
      <c r="G550"/>
      <c r="H550"/>
      <c r="I550"/>
    </row>
    <row r="551" spans="1:9" x14ac:dyDescent="0.25">
      <c r="A551" s="13">
        <v>563</v>
      </c>
      <c r="B551" s="11" t="s">
        <v>171</v>
      </c>
      <c r="C551" s="11" t="s">
        <v>494</v>
      </c>
      <c r="D551" s="12">
        <v>475</v>
      </c>
      <c r="E551"/>
      <c r="F551"/>
      <c r="G551"/>
      <c r="H551"/>
      <c r="I551"/>
    </row>
    <row r="552" spans="1:9" x14ac:dyDescent="0.25">
      <c r="A552" s="13">
        <v>568</v>
      </c>
      <c r="B552" s="11" t="s">
        <v>171</v>
      </c>
      <c r="C552" s="11" t="s">
        <v>494</v>
      </c>
      <c r="D552" s="12">
        <v>500</v>
      </c>
      <c r="E552"/>
      <c r="F552"/>
      <c r="G552"/>
      <c r="H552"/>
      <c r="I552"/>
    </row>
    <row r="553" spans="1:9" x14ac:dyDescent="0.25">
      <c r="A553" s="13">
        <v>572</v>
      </c>
      <c r="B553" s="11" t="s">
        <v>171</v>
      </c>
      <c r="C553" s="11" t="s">
        <v>494</v>
      </c>
      <c r="D553" s="12">
        <v>625</v>
      </c>
      <c r="E553"/>
      <c r="F553"/>
      <c r="G553"/>
      <c r="H553"/>
      <c r="I553"/>
    </row>
    <row r="554" spans="1:9" x14ac:dyDescent="0.25">
      <c r="A554" s="13">
        <v>573</v>
      </c>
      <c r="B554" s="11" t="s">
        <v>171</v>
      </c>
      <c r="C554" s="11" t="s">
        <v>494</v>
      </c>
      <c r="D554" s="12">
        <v>700</v>
      </c>
      <c r="E554"/>
      <c r="F554"/>
      <c r="G554"/>
      <c r="H554"/>
      <c r="I554"/>
    </row>
    <row r="555" spans="1:9" x14ac:dyDescent="0.25">
      <c r="A555" s="13">
        <v>574</v>
      </c>
      <c r="B555" s="11" t="s">
        <v>171</v>
      </c>
      <c r="C555" s="11" t="s">
        <v>494</v>
      </c>
      <c r="D555" s="12">
        <v>550</v>
      </c>
      <c r="E555"/>
      <c r="F555"/>
      <c r="G555"/>
      <c r="H555"/>
      <c r="I555"/>
    </row>
    <row r="556" spans="1:9" x14ac:dyDescent="0.25">
      <c r="A556" s="13">
        <v>577</v>
      </c>
      <c r="B556" s="11" t="s">
        <v>171</v>
      </c>
      <c r="C556" s="11" t="s">
        <v>494</v>
      </c>
      <c r="D556" s="12">
        <v>725</v>
      </c>
      <c r="E556"/>
      <c r="F556"/>
      <c r="G556"/>
      <c r="H556"/>
      <c r="I556"/>
    </row>
    <row r="557" spans="1:9" x14ac:dyDescent="0.25">
      <c r="A557" s="13">
        <v>578</v>
      </c>
      <c r="B557" s="11" t="s">
        <v>171</v>
      </c>
      <c r="C557" s="11" t="s">
        <v>494</v>
      </c>
      <c r="D557" s="12">
        <v>500</v>
      </c>
      <c r="E557"/>
      <c r="F557"/>
      <c r="G557"/>
      <c r="H557"/>
      <c r="I557"/>
    </row>
    <row r="558" spans="1:9" x14ac:dyDescent="0.25">
      <c r="A558" s="13">
        <v>582</v>
      </c>
      <c r="B558" s="11" t="s">
        <v>171</v>
      </c>
      <c r="C558" s="11" t="s">
        <v>494</v>
      </c>
      <c r="D558" s="12">
        <v>325</v>
      </c>
      <c r="E558"/>
      <c r="F558"/>
      <c r="G558"/>
      <c r="H558"/>
      <c r="I558"/>
    </row>
    <row r="559" spans="1:9" x14ac:dyDescent="0.25">
      <c r="A559" s="13">
        <v>596</v>
      </c>
      <c r="B559" s="11" t="s">
        <v>171</v>
      </c>
      <c r="C559" s="11" t="s">
        <v>494</v>
      </c>
      <c r="D559" s="12">
        <v>275</v>
      </c>
      <c r="E559"/>
      <c r="F559"/>
      <c r="G559"/>
      <c r="H559"/>
      <c r="I559"/>
    </row>
    <row r="560" spans="1:9" x14ac:dyDescent="0.25">
      <c r="A560" s="13">
        <v>597</v>
      </c>
      <c r="B560" s="11" t="s">
        <v>171</v>
      </c>
      <c r="C560" s="11" t="s">
        <v>494</v>
      </c>
      <c r="D560" s="12">
        <v>250</v>
      </c>
      <c r="E560"/>
      <c r="F560"/>
      <c r="G560"/>
      <c r="H560"/>
      <c r="I560"/>
    </row>
    <row r="561" spans="1:9" x14ac:dyDescent="0.25">
      <c r="A561" s="13">
        <v>599</v>
      </c>
      <c r="B561" s="11" t="s">
        <v>171</v>
      </c>
      <c r="C561" s="11" t="s">
        <v>494</v>
      </c>
      <c r="D561" s="12">
        <v>625</v>
      </c>
      <c r="E561"/>
      <c r="F561"/>
      <c r="G561"/>
      <c r="H561"/>
      <c r="I561"/>
    </row>
    <row r="562" spans="1:9" x14ac:dyDescent="0.25">
      <c r="A562" s="13">
        <v>841</v>
      </c>
      <c r="B562" s="11" t="s">
        <v>171</v>
      </c>
      <c r="C562" s="11" t="s">
        <v>497</v>
      </c>
      <c r="D562" s="12">
        <v>1075</v>
      </c>
      <c r="E562"/>
      <c r="F562"/>
      <c r="G562"/>
      <c r="H562"/>
      <c r="I562"/>
    </row>
    <row r="563" spans="1:9" x14ac:dyDescent="0.25">
      <c r="A563" s="13">
        <v>842</v>
      </c>
      <c r="B563" s="11" t="s">
        <v>171</v>
      </c>
      <c r="C563" s="11" t="s">
        <v>497</v>
      </c>
      <c r="D563" s="12">
        <v>1225</v>
      </c>
      <c r="E563"/>
      <c r="F563"/>
      <c r="G563"/>
      <c r="H563"/>
      <c r="I563"/>
    </row>
    <row r="564" spans="1:9" x14ac:dyDescent="0.25">
      <c r="A564" s="13">
        <v>843</v>
      </c>
      <c r="B564" s="11" t="s">
        <v>171</v>
      </c>
      <c r="C564" s="11" t="s">
        <v>497</v>
      </c>
      <c r="D564" s="12">
        <v>1400</v>
      </c>
      <c r="E564"/>
      <c r="F564"/>
      <c r="G564"/>
      <c r="H564"/>
      <c r="I564"/>
    </row>
    <row r="565" spans="1:9" x14ac:dyDescent="0.25">
      <c r="A565" s="13">
        <v>844</v>
      </c>
      <c r="B565" s="11" t="s">
        <v>171</v>
      </c>
      <c r="C565" s="11" t="s">
        <v>497</v>
      </c>
      <c r="D565" s="12">
        <v>1225</v>
      </c>
      <c r="E565"/>
      <c r="F565"/>
      <c r="G565"/>
      <c r="H565"/>
      <c r="I565"/>
    </row>
    <row r="566" spans="1:9" x14ac:dyDescent="0.25">
      <c r="A566" s="13">
        <v>845</v>
      </c>
      <c r="B566" s="11" t="s">
        <v>171</v>
      </c>
      <c r="C566" s="11" t="s">
        <v>497</v>
      </c>
      <c r="D566" s="12">
        <v>1125</v>
      </c>
      <c r="E566"/>
      <c r="F566"/>
      <c r="G566"/>
      <c r="H566"/>
      <c r="I566"/>
    </row>
    <row r="567" spans="1:9" x14ac:dyDescent="0.25">
      <c r="A567" s="13">
        <v>846</v>
      </c>
      <c r="B567" s="11" t="s">
        <v>171</v>
      </c>
      <c r="C567" s="11" t="s">
        <v>497</v>
      </c>
      <c r="D567" s="12">
        <v>925</v>
      </c>
      <c r="E567"/>
      <c r="F567"/>
      <c r="G567"/>
      <c r="H567"/>
      <c r="I567"/>
    </row>
    <row r="568" spans="1:9" x14ac:dyDescent="0.25">
      <c r="A568" s="13">
        <v>848</v>
      </c>
      <c r="B568" s="11" t="s">
        <v>171</v>
      </c>
      <c r="C568" s="11" t="s">
        <v>497</v>
      </c>
      <c r="D568" s="12">
        <v>1375</v>
      </c>
      <c r="E568"/>
      <c r="F568"/>
      <c r="G568"/>
      <c r="H568"/>
      <c r="I568"/>
    </row>
    <row r="569" spans="1:9" x14ac:dyDescent="0.25">
      <c r="A569" s="13">
        <v>849</v>
      </c>
      <c r="B569" s="11" t="s">
        <v>171</v>
      </c>
      <c r="C569" s="11" t="s">
        <v>497</v>
      </c>
      <c r="D569" s="12">
        <v>950</v>
      </c>
      <c r="E569"/>
      <c r="F569"/>
      <c r="G569"/>
      <c r="H569"/>
      <c r="I569"/>
    </row>
    <row r="570" spans="1:9" x14ac:dyDescent="0.25">
      <c r="A570" s="13">
        <v>850</v>
      </c>
      <c r="B570" s="11" t="s">
        <v>171</v>
      </c>
      <c r="C570" s="11" t="s">
        <v>497</v>
      </c>
      <c r="D570" s="12">
        <v>1000</v>
      </c>
      <c r="E570"/>
      <c r="F570"/>
      <c r="G570"/>
      <c r="H570"/>
      <c r="I570"/>
    </row>
    <row r="571" spans="1:9" x14ac:dyDescent="0.25">
      <c r="A571" s="13">
        <v>851</v>
      </c>
      <c r="B571" s="11" t="s">
        <v>171</v>
      </c>
      <c r="C571" s="11" t="s">
        <v>497</v>
      </c>
      <c r="D571" s="12">
        <v>1000</v>
      </c>
      <c r="E571"/>
      <c r="F571"/>
      <c r="G571"/>
      <c r="H571"/>
      <c r="I571"/>
    </row>
    <row r="572" spans="1:9" x14ac:dyDescent="0.25">
      <c r="A572" s="13">
        <v>852</v>
      </c>
      <c r="B572" s="11" t="s">
        <v>171</v>
      </c>
      <c r="C572" s="11" t="s">
        <v>497</v>
      </c>
      <c r="D572" s="12">
        <v>850</v>
      </c>
      <c r="E572"/>
      <c r="F572"/>
      <c r="G572"/>
      <c r="H572"/>
      <c r="I572"/>
    </row>
    <row r="573" spans="1:9" x14ac:dyDescent="0.25">
      <c r="A573" s="13">
        <v>853</v>
      </c>
      <c r="B573" s="11" t="s">
        <v>171</v>
      </c>
      <c r="C573" s="11" t="s">
        <v>497</v>
      </c>
      <c r="D573" s="12">
        <v>1775</v>
      </c>
      <c r="E573"/>
      <c r="F573"/>
      <c r="G573"/>
      <c r="H573"/>
      <c r="I573"/>
    </row>
    <row r="574" spans="1:9" x14ac:dyDescent="0.25">
      <c r="A574" s="13">
        <v>854</v>
      </c>
      <c r="B574" s="11" t="s">
        <v>171</v>
      </c>
      <c r="C574" s="11" t="s">
        <v>497</v>
      </c>
      <c r="D574" s="12">
        <v>1100</v>
      </c>
      <c r="E574"/>
      <c r="F574"/>
      <c r="G574"/>
      <c r="H574"/>
      <c r="I574"/>
    </row>
    <row r="575" spans="1:9" x14ac:dyDescent="0.25">
      <c r="A575" s="13">
        <v>855</v>
      </c>
      <c r="B575" s="11" t="s">
        <v>171</v>
      </c>
      <c r="C575" s="11" t="s">
        <v>497</v>
      </c>
      <c r="D575" s="12">
        <v>1150</v>
      </c>
      <c r="E575"/>
      <c r="F575"/>
      <c r="G575"/>
      <c r="H575"/>
      <c r="I575"/>
    </row>
    <row r="576" spans="1:9" x14ac:dyDescent="0.25">
      <c r="A576" s="13">
        <v>856</v>
      </c>
      <c r="B576" s="11" t="s">
        <v>171</v>
      </c>
      <c r="C576" s="11" t="s">
        <v>497</v>
      </c>
      <c r="D576" s="12">
        <v>1625</v>
      </c>
      <c r="E576"/>
      <c r="F576"/>
      <c r="G576"/>
      <c r="H576"/>
      <c r="I576"/>
    </row>
    <row r="577" spans="1:9" x14ac:dyDescent="0.25">
      <c r="A577" s="13">
        <v>857</v>
      </c>
      <c r="B577" s="11" t="s">
        <v>171</v>
      </c>
      <c r="C577" s="11" t="s">
        <v>497</v>
      </c>
      <c r="D577" s="12">
        <v>1300</v>
      </c>
      <c r="E577"/>
      <c r="F577"/>
      <c r="G577"/>
      <c r="H577"/>
      <c r="I577"/>
    </row>
    <row r="578" spans="1:9" x14ac:dyDescent="0.25">
      <c r="A578" s="13">
        <v>858</v>
      </c>
      <c r="B578" s="11" t="s">
        <v>171</v>
      </c>
      <c r="C578" s="11" t="s">
        <v>497</v>
      </c>
      <c r="D578" s="12">
        <v>1400</v>
      </c>
      <c r="E578"/>
      <c r="F578"/>
      <c r="G578"/>
      <c r="H578"/>
      <c r="I578"/>
    </row>
    <row r="579" spans="1:9" x14ac:dyDescent="0.25">
      <c r="A579" s="13">
        <v>859</v>
      </c>
      <c r="B579" s="11" t="s">
        <v>171</v>
      </c>
      <c r="C579" s="11" t="s">
        <v>497</v>
      </c>
      <c r="D579" s="12">
        <v>1275</v>
      </c>
      <c r="E579"/>
      <c r="F579"/>
      <c r="G579"/>
      <c r="H579"/>
      <c r="I579"/>
    </row>
    <row r="580" spans="1:9" x14ac:dyDescent="0.25">
      <c r="A580" s="13">
        <v>860</v>
      </c>
      <c r="B580" s="11" t="s">
        <v>171</v>
      </c>
      <c r="C580" s="11" t="s">
        <v>497</v>
      </c>
      <c r="D580" s="12">
        <v>1075</v>
      </c>
      <c r="E580"/>
      <c r="F580"/>
      <c r="G580"/>
      <c r="H580"/>
      <c r="I580"/>
    </row>
    <row r="581" spans="1:9" x14ac:dyDescent="0.25">
      <c r="A581" s="13">
        <v>861</v>
      </c>
      <c r="B581" s="11" t="s">
        <v>171</v>
      </c>
      <c r="C581" s="11" t="s">
        <v>497</v>
      </c>
      <c r="D581" s="12">
        <v>650</v>
      </c>
      <c r="E581"/>
      <c r="F581"/>
      <c r="G581"/>
      <c r="H581"/>
      <c r="I581"/>
    </row>
    <row r="582" spans="1:9" x14ac:dyDescent="0.25">
      <c r="A582" s="13">
        <v>862</v>
      </c>
      <c r="B582" s="11" t="s">
        <v>171</v>
      </c>
      <c r="C582" s="11" t="s">
        <v>497</v>
      </c>
      <c r="D582" s="12">
        <v>875</v>
      </c>
      <c r="E582"/>
      <c r="F582"/>
      <c r="G582"/>
      <c r="H582"/>
      <c r="I582"/>
    </row>
    <row r="583" spans="1:9" x14ac:dyDescent="0.25">
      <c r="A583" s="13">
        <v>866</v>
      </c>
      <c r="B583" s="11" t="s">
        <v>171</v>
      </c>
      <c r="C583" s="11" t="s">
        <v>497</v>
      </c>
      <c r="D583" s="12">
        <v>750</v>
      </c>
      <c r="E583"/>
      <c r="F583"/>
      <c r="G583"/>
      <c r="H583"/>
      <c r="I583"/>
    </row>
    <row r="584" spans="1:9" x14ac:dyDescent="0.25">
      <c r="A584" s="13">
        <v>868</v>
      </c>
      <c r="B584" s="11" t="s">
        <v>171</v>
      </c>
      <c r="C584" s="11" t="s">
        <v>497</v>
      </c>
      <c r="D584" s="12">
        <v>925</v>
      </c>
      <c r="E584"/>
      <c r="F584"/>
      <c r="G584"/>
      <c r="H584"/>
      <c r="I584"/>
    </row>
    <row r="585" spans="1:9" x14ac:dyDescent="0.25">
      <c r="A585" s="13">
        <v>869</v>
      </c>
      <c r="B585" s="11" t="s">
        <v>171</v>
      </c>
      <c r="C585" s="11" t="s">
        <v>497</v>
      </c>
      <c r="D585" s="12">
        <v>2100</v>
      </c>
      <c r="E585"/>
      <c r="F585"/>
      <c r="G585"/>
      <c r="H585"/>
      <c r="I585"/>
    </row>
    <row r="586" spans="1:9" x14ac:dyDescent="0.25">
      <c r="A586" s="13">
        <v>870</v>
      </c>
      <c r="B586" s="11" t="s">
        <v>171</v>
      </c>
      <c r="C586" s="11" t="s">
        <v>497</v>
      </c>
      <c r="D586" s="12">
        <v>1075</v>
      </c>
      <c r="E586"/>
      <c r="F586"/>
      <c r="G586"/>
      <c r="H586"/>
      <c r="I586"/>
    </row>
    <row r="587" spans="1:9" x14ac:dyDescent="0.25">
      <c r="A587" s="13">
        <v>871</v>
      </c>
      <c r="B587" s="11" t="s">
        <v>171</v>
      </c>
      <c r="C587" s="11" t="s">
        <v>497</v>
      </c>
      <c r="D587" s="12">
        <v>875</v>
      </c>
      <c r="E587"/>
      <c r="F587"/>
      <c r="G587"/>
      <c r="H587"/>
      <c r="I587"/>
    </row>
    <row r="588" spans="1:9" x14ac:dyDescent="0.25">
      <c r="A588" s="13">
        <v>874</v>
      </c>
      <c r="B588" s="11" t="s">
        <v>171</v>
      </c>
      <c r="C588" s="11" t="s">
        <v>497</v>
      </c>
      <c r="D588" s="12">
        <v>1000</v>
      </c>
      <c r="E588"/>
      <c r="F588"/>
      <c r="G588"/>
      <c r="H588"/>
      <c r="I588"/>
    </row>
    <row r="589" spans="1:9" x14ac:dyDescent="0.25">
      <c r="A589" s="13">
        <v>875</v>
      </c>
      <c r="B589" s="11" t="s">
        <v>171</v>
      </c>
      <c r="C589" s="11" t="s">
        <v>497</v>
      </c>
      <c r="D589" s="12">
        <v>1075</v>
      </c>
      <c r="E589"/>
      <c r="F589"/>
      <c r="G589"/>
      <c r="H589"/>
      <c r="I589"/>
    </row>
    <row r="590" spans="1:9" x14ac:dyDescent="0.25">
      <c r="A590" s="13">
        <v>876</v>
      </c>
      <c r="B590" s="11" t="s">
        <v>171</v>
      </c>
      <c r="C590" s="11" t="s">
        <v>497</v>
      </c>
      <c r="D590" s="12">
        <v>875</v>
      </c>
      <c r="E590"/>
      <c r="F590"/>
      <c r="G590"/>
      <c r="H590"/>
      <c r="I590"/>
    </row>
    <row r="591" spans="1:9" x14ac:dyDescent="0.25">
      <c r="A591" s="13">
        <v>877</v>
      </c>
      <c r="B591" s="11" t="s">
        <v>171</v>
      </c>
      <c r="C591" s="11" t="s">
        <v>497</v>
      </c>
      <c r="D591" s="12">
        <v>825</v>
      </c>
      <c r="E591"/>
      <c r="F591"/>
      <c r="G591"/>
      <c r="H591"/>
      <c r="I591"/>
    </row>
    <row r="592" spans="1:9" x14ac:dyDescent="0.25">
      <c r="A592" s="13">
        <v>878</v>
      </c>
      <c r="B592" s="11" t="s">
        <v>171</v>
      </c>
      <c r="C592" s="11" t="s">
        <v>497</v>
      </c>
      <c r="D592" s="12">
        <v>700</v>
      </c>
      <c r="E592"/>
      <c r="F592"/>
      <c r="G592"/>
      <c r="H592"/>
      <c r="I592"/>
    </row>
    <row r="593" spans="1:9" x14ac:dyDescent="0.25">
      <c r="A593" s="13">
        <v>879</v>
      </c>
      <c r="B593" s="11" t="s">
        <v>171</v>
      </c>
      <c r="C593" s="11" t="s">
        <v>497</v>
      </c>
      <c r="D593" s="12">
        <v>600</v>
      </c>
      <c r="E593"/>
      <c r="F593"/>
      <c r="G593"/>
      <c r="H593"/>
      <c r="I593"/>
    </row>
    <row r="594" spans="1:9" x14ac:dyDescent="0.25">
      <c r="A594" s="13">
        <v>883</v>
      </c>
      <c r="B594" s="11" t="s">
        <v>171</v>
      </c>
      <c r="C594" s="11" t="s">
        <v>497</v>
      </c>
      <c r="D594" s="12">
        <v>925</v>
      </c>
      <c r="E594"/>
      <c r="F594"/>
      <c r="G594"/>
      <c r="H594"/>
      <c r="I594"/>
    </row>
    <row r="595" spans="1:9" x14ac:dyDescent="0.25">
      <c r="A595" s="13">
        <v>885</v>
      </c>
      <c r="B595" s="11" t="s">
        <v>171</v>
      </c>
      <c r="C595" s="11" t="s">
        <v>497</v>
      </c>
      <c r="D595" s="12">
        <v>800</v>
      </c>
      <c r="E595"/>
      <c r="F595"/>
      <c r="G595"/>
      <c r="H595"/>
      <c r="I595"/>
    </row>
    <row r="596" spans="1:9" x14ac:dyDescent="0.25">
      <c r="A596" s="13">
        <v>886</v>
      </c>
      <c r="B596" s="11" t="s">
        <v>171</v>
      </c>
      <c r="C596" s="11" t="s">
        <v>497</v>
      </c>
      <c r="D596" s="12">
        <v>825</v>
      </c>
      <c r="E596"/>
      <c r="F596"/>
      <c r="G596"/>
      <c r="H596"/>
      <c r="I596"/>
    </row>
    <row r="597" spans="1:9" x14ac:dyDescent="0.25">
      <c r="A597" s="13">
        <v>887</v>
      </c>
      <c r="B597" s="11" t="s">
        <v>171</v>
      </c>
      <c r="C597" s="11" t="s">
        <v>497</v>
      </c>
      <c r="D597" s="12">
        <v>1875</v>
      </c>
      <c r="E597"/>
      <c r="F597"/>
      <c r="G597"/>
      <c r="H597"/>
      <c r="I597"/>
    </row>
    <row r="598" spans="1:9" x14ac:dyDescent="0.25">
      <c r="A598" s="13">
        <v>890</v>
      </c>
      <c r="B598" s="11" t="s">
        <v>171</v>
      </c>
      <c r="C598" s="11" t="s">
        <v>497</v>
      </c>
      <c r="D598" s="12">
        <v>2175</v>
      </c>
      <c r="E598"/>
      <c r="F598"/>
      <c r="G598"/>
      <c r="H598"/>
      <c r="I598"/>
    </row>
    <row r="599" spans="1:9" x14ac:dyDescent="0.25">
      <c r="A599" s="13">
        <v>891</v>
      </c>
      <c r="B599" s="11" t="s">
        <v>171</v>
      </c>
      <c r="C599" s="11" t="s">
        <v>497</v>
      </c>
      <c r="D599" s="12">
        <v>2025</v>
      </c>
      <c r="E599"/>
      <c r="F599"/>
      <c r="G599"/>
      <c r="H599"/>
      <c r="I599"/>
    </row>
    <row r="600" spans="1:9" x14ac:dyDescent="0.25">
      <c r="A600" s="13">
        <v>894</v>
      </c>
      <c r="B600" s="11" t="s">
        <v>171</v>
      </c>
      <c r="C600" s="11" t="s">
        <v>497</v>
      </c>
      <c r="D600" s="12">
        <v>925</v>
      </c>
      <c r="E600"/>
      <c r="F600"/>
      <c r="G600"/>
      <c r="H600"/>
      <c r="I600"/>
    </row>
    <row r="601" spans="1:9" x14ac:dyDescent="0.25">
      <c r="A601" s="13">
        <v>895</v>
      </c>
      <c r="B601" s="11" t="s">
        <v>171</v>
      </c>
      <c r="C601" s="11" t="s">
        <v>497</v>
      </c>
      <c r="D601" s="12">
        <v>2325</v>
      </c>
      <c r="E601"/>
      <c r="F601"/>
      <c r="G601"/>
      <c r="H601"/>
      <c r="I601"/>
    </row>
    <row r="602" spans="1:9" x14ac:dyDescent="0.25">
      <c r="A602" s="13">
        <v>896</v>
      </c>
      <c r="B602" s="11" t="s">
        <v>171</v>
      </c>
      <c r="C602" s="11" t="s">
        <v>497</v>
      </c>
      <c r="D602" s="12">
        <v>3150</v>
      </c>
      <c r="E602"/>
      <c r="F602"/>
      <c r="G602"/>
      <c r="H602"/>
      <c r="I602"/>
    </row>
    <row r="603" spans="1:9" x14ac:dyDescent="0.25">
      <c r="A603" s="13">
        <v>897</v>
      </c>
      <c r="B603" s="11" t="s">
        <v>171</v>
      </c>
      <c r="C603" s="11" t="s">
        <v>497</v>
      </c>
      <c r="D603" s="12">
        <v>1625</v>
      </c>
      <c r="E603"/>
      <c r="F603"/>
      <c r="G603"/>
      <c r="H603"/>
      <c r="I603"/>
    </row>
    <row r="604" spans="1:9" x14ac:dyDescent="0.25">
      <c r="A604" s="13">
        <v>898</v>
      </c>
      <c r="B604" s="11" t="s">
        <v>171</v>
      </c>
      <c r="C604" s="11" t="s">
        <v>497</v>
      </c>
      <c r="D604" s="12">
        <v>2600</v>
      </c>
      <c r="E604"/>
      <c r="F604"/>
      <c r="G604"/>
      <c r="H604"/>
      <c r="I604"/>
    </row>
    <row r="605" spans="1:9" x14ac:dyDescent="0.25">
      <c r="A605" s="13">
        <v>4521</v>
      </c>
      <c r="B605" s="11" t="s">
        <v>171</v>
      </c>
      <c r="C605" s="11" t="s">
        <v>495</v>
      </c>
      <c r="D605" s="12">
        <v>350</v>
      </c>
      <c r="E605"/>
      <c r="F605"/>
      <c r="G605"/>
      <c r="H605"/>
      <c r="I605"/>
    </row>
    <row r="606" spans="1:9" x14ac:dyDescent="0.25">
      <c r="A606" s="13">
        <v>4561</v>
      </c>
      <c r="B606" s="11" t="s">
        <v>171</v>
      </c>
      <c r="C606" s="11" t="s">
        <v>495</v>
      </c>
      <c r="D606" s="12">
        <v>675</v>
      </c>
      <c r="E606"/>
      <c r="F606"/>
      <c r="G606"/>
      <c r="H606"/>
      <c r="I606"/>
    </row>
    <row r="607" spans="1:9" x14ac:dyDescent="0.25">
      <c r="A607" s="13">
        <v>4562</v>
      </c>
      <c r="B607" s="11" t="s">
        <v>171</v>
      </c>
      <c r="C607" s="11" t="s">
        <v>495</v>
      </c>
      <c r="D607" s="12">
        <v>600</v>
      </c>
      <c r="E607"/>
      <c r="F607"/>
      <c r="G607"/>
      <c r="H607"/>
      <c r="I607"/>
    </row>
    <row r="608" spans="1:9" x14ac:dyDescent="0.25">
      <c r="A608" s="13">
        <v>4563</v>
      </c>
      <c r="B608" s="11" t="s">
        <v>171</v>
      </c>
      <c r="C608" s="11" t="s">
        <v>495</v>
      </c>
      <c r="D608" s="12">
        <v>825</v>
      </c>
      <c r="E608"/>
      <c r="F608"/>
      <c r="G608"/>
      <c r="H608"/>
      <c r="I608"/>
    </row>
    <row r="609" spans="1:9" x14ac:dyDescent="0.25">
      <c r="A609" s="13">
        <v>4564</v>
      </c>
      <c r="B609" s="11" t="s">
        <v>171</v>
      </c>
      <c r="C609" s="11" t="s">
        <v>495</v>
      </c>
      <c r="D609" s="12">
        <v>625</v>
      </c>
      <c r="E609"/>
      <c r="F609"/>
      <c r="G609"/>
      <c r="H609"/>
      <c r="I609"/>
    </row>
    <row r="610" spans="1:9" x14ac:dyDescent="0.25">
      <c r="A610" s="13">
        <v>4565</v>
      </c>
      <c r="B610" s="11" t="s">
        <v>171</v>
      </c>
      <c r="C610" s="11" t="s">
        <v>495</v>
      </c>
      <c r="D610" s="12">
        <v>775</v>
      </c>
      <c r="E610"/>
      <c r="F610"/>
      <c r="G610"/>
      <c r="H610"/>
      <c r="I610"/>
    </row>
    <row r="611" spans="1:9" x14ac:dyDescent="0.25">
      <c r="A611" s="13">
        <v>4566</v>
      </c>
      <c r="B611" s="11" t="s">
        <v>171</v>
      </c>
      <c r="C611" s="11" t="s">
        <v>495</v>
      </c>
      <c r="D611" s="12">
        <v>800</v>
      </c>
      <c r="E611"/>
      <c r="F611"/>
      <c r="G611"/>
      <c r="H611"/>
      <c r="I611"/>
    </row>
    <row r="612" spans="1:9" x14ac:dyDescent="0.25">
      <c r="A612" s="13">
        <v>4567</v>
      </c>
      <c r="B612" s="11" t="s">
        <v>171</v>
      </c>
      <c r="C612" s="11" t="s">
        <v>495</v>
      </c>
      <c r="D612" s="12">
        <v>700</v>
      </c>
      <c r="E612"/>
      <c r="F612"/>
      <c r="G612"/>
      <c r="H612"/>
      <c r="I612"/>
    </row>
    <row r="613" spans="1:9" x14ac:dyDescent="0.25">
      <c r="A613" s="13">
        <v>4568</v>
      </c>
      <c r="B613" s="11" t="s">
        <v>171</v>
      </c>
      <c r="C613" s="11" t="s">
        <v>495</v>
      </c>
      <c r="D613" s="12">
        <v>850</v>
      </c>
      <c r="E613"/>
      <c r="F613"/>
      <c r="G613"/>
      <c r="H613"/>
      <c r="I613"/>
    </row>
    <row r="614" spans="1:9" x14ac:dyDescent="0.25">
      <c r="A614" s="13">
        <v>4569</v>
      </c>
      <c r="B614" s="11" t="s">
        <v>171</v>
      </c>
      <c r="C614" s="11" t="s">
        <v>495</v>
      </c>
      <c r="D614" s="12">
        <v>1050</v>
      </c>
      <c r="E614"/>
      <c r="F614"/>
      <c r="G614"/>
      <c r="H614"/>
      <c r="I614"/>
    </row>
    <row r="615" spans="1:9" x14ac:dyDescent="0.25">
      <c r="A615" s="13">
        <v>4570</v>
      </c>
      <c r="B615" s="11" t="s">
        <v>171</v>
      </c>
      <c r="C615" s="11" t="s">
        <v>495</v>
      </c>
      <c r="D615" s="12">
        <v>875</v>
      </c>
      <c r="E615"/>
      <c r="F615"/>
      <c r="G615"/>
      <c r="H615"/>
      <c r="I615"/>
    </row>
    <row r="616" spans="1:9" x14ac:dyDescent="0.25">
      <c r="A616" s="13">
        <v>4571</v>
      </c>
      <c r="B616" s="11" t="s">
        <v>171</v>
      </c>
      <c r="C616" s="11" t="s">
        <v>495</v>
      </c>
      <c r="D616" s="12">
        <v>950</v>
      </c>
      <c r="E616"/>
      <c r="F616"/>
      <c r="G616"/>
      <c r="H616"/>
      <c r="I616"/>
    </row>
    <row r="617" spans="1:9" x14ac:dyDescent="0.25">
      <c r="A617" s="13">
        <v>4573</v>
      </c>
      <c r="B617" s="11" t="s">
        <v>171</v>
      </c>
      <c r="C617" s="11" t="s">
        <v>495</v>
      </c>
      <c r="D617" s="12">
        <v>875</v>
      </c>
      <c r="E617"/>
      <c r="F617"/>
      <c r="G617"/>
      <c r="H617"/>
      <c r="I617"/>
    </row>
    <row r="618" spans="1:9" x14ac:dyDescent="0.25">
      <c r="A618" s="13">
        <v>4574</v>
      </c>
      <c r="B618" s="11" t="s">
        <v>171</v>
      </c>
      <c r="C618" s="11" t="s">
        <v>495</v>
      </c>
      <c r="D618" s="12">
        <v>650</v>
      </c>
      <c r="E618"/>
      <c r="F618"/>
      <c r="G618"/>
      <c r="H618"/>
      <c r="I618"/>
    </row>
    <row r="619" spans="1:9" x14ac:dyDescent="0.25">
      <c r="A619" s="13">
        <v>4575</v>
      </c>
      <c r="B619" s="11" t="s">
        <v>171</v>
      </c>
      <c r="C619" s="11" t="s">
        <v>495</v>
      </c>
      <c r="D619" s="12">
        <v>975</v>
      </c>
      <c r="E619"/>
      <c r="F619"/>
      <c r="G619"/>
      <c r="H619"/>
      <c r="I619"/>
    </row>
    <row r="620" spans="1:9" x14ac:dyDescent="0.25">
      <c r="A620" s="13">
        <v>4576</v>
      </c>
      <c r="B620" s="11" t="s">
        <v>171</v>
      </c>
      <c r="C620" s="11" t="s">
        <v>495</v>
      </c>
      <c r="D620" s="12">
        <v>1050</v>
      </c>
      <c r="E620"/>
      <c r="F620"/>
      <c r="G620"/>
      <c r="H620"/>
      <c r="I620"/>
    </row>
    <row r="621" spans="1:9" x14ac:dyDescent="0.25">
      <c r="A621" s="13">
        <v>5001</v>
      </c>
      <c r="B621" s="11" t="s">
        <v>171</v>
      </c>
      <c r="C621" s="11" t="s">
        <v>494</v>
      </c>
      <c r="D621" s="12">
        <v>750</v>
      </c>
      <c r="E621"/>
      <c r="F621"/>
      <c r="G621"/>
      <c r="H621"/>
      <c r="I621"/>
    </row>
    <row r="622" spans="1:9" x14ac:dyDescent="0.25">
      <c r="A622" s="13">
        <v>5002</v>
      </c>
      <c r="B622" s="11" t="s">
        <v>171</v>
      </c>
      <c r="C622" s="11" t="s">
        <v>494</v>
      </c>
      <c r="D622" s="12">
        <v>325</v>
      </c>
      <c r="E622"/>
      <c r="F622"/>
      <c r="G622"/>
      <c r="H622"/>
      <c r="I622"/>
    </row>
    <row r="623" spans="1:9" x14ac:dyDescent="0.25">
      <c r="A623" s="13">
        <v>5003</v>
      </c>
      <c r="B623" s="11" t="s">
        <v>171</v>
      </c>
      <c r="C623" s="11" t="s">
        <v>494</v>
      </c>
      <c r="D623" s="12">
        <v>400</v>
      </c>
      <c r="E623"/>
      <c r="F623"/>
      <c r="G623"/>
      <c r="H623"/>
      <c r="I623"/>
    </row>
    <row r="624" spans="1:9" x14ac:dyDescent="0.25">
      <c r="A624" s="13">
        <v>5004</v>
      </c>
      <c r="B624" s="11" t="s">
        <v>171</v>
      </c>
      <c r="C624" s="11" t="s">
        <v>494</v>
      </c>
      <c r="D624" s="12">
        <v>425</v>
      </c>
      <c r="E624"/>
      <c r="F624"/>
      <c r="G624"/>
      <c r="H624"/>
      <c r="I624"/>
    </row>
    <row r="625" spans="1:9" x14ac:dyDescent="0.25">
      <c r="A625" s="13">
        <v>5006</v>
      </c>
      <c r="B625" s="11" t="s">
        <v>171</v>
      </c>
      <c r="C625" s="11" t="s">
        <v>494</v>
      </c>
      <c r="D625" s="12">
        <v>475</v>
      </c>
      <c r="E625"/>
      <c r="F625"/>
      <c r="G625"/>
      <c r="H625"/>
      <c r="I625"/>
    </row>
    <row r="626" spans="1:9" x14ac:dyDescent="0.25">
      <c r="A626" s="13">
        <v>5007</v>
      </c>
      <c r="B626" s="11" t="s">
        <v>171</v>
      </c>
      <c r="C626" s="11" t="s">
        <v>494</v>
      </c>
      <c r="D626" s="12">
        <v>425</v>
      </c>
      <c r="E626"/>
      <c r="F626"/>
      <c r="G626"/>
      <c r="H626"/>
      <c r="I626"/>
    </row>
    <row r="627" spans="1:9" x14ac:dyDescent="0.25">
      <c r="A627" s="13">
        <v>5010</v>
      </c>
      <c r="B627" s="11" t="s">
        <v>171</v>
      </c>
      <c r="C627" s="11" t="s">
        <v>494</v>
      </c>
      <c r="D627" s="12">
        <v>425</v>
      </c>
      <c r="E627"/>
      <c r="F627"/>
      <c r="G627"/>
      <c r="H627"/>
      <c r="I627"/>
    </row>
    <row r="628" spans="1:9" x14ac:dyDescent="0.25">
      <c r="A628" s="13">
        <v>5011</v>
      </c>
      <c r="B628" s="11" t="s">
        <v>171</v>
      </c>
      <c r="C628" s="11" t="s">
        <v>494</v>
      </c>
      <c r="D628" s="12">
        <v>350</v>
      </c>
      <c r="E628"/>
      <c r="F628"/>
      <c r="G628"/>
      <c r="H628"/>
      <c r="I628"/>
    </row>
    <row r="629" spans="1:9" x14ac:dyDescent="0.25">
      <c r="A629" s="13">
        <v>5012</v>
      </c>
      <c r="B629" s="11" t="s">
        <v>171</v>
      </c>
      <c r="C629" s="11" t="s">
        <v>494</v>
      </c>
      <c r="D629" s="12">
        <v>450</v>
      </c>
      <c r="E629"/>
      <c r="F629"/>
      <c r="G629"/>
      <c r="H629"/>
      <c r="I629"/>
    </row>
    <row r="630" spans="1:9" x14ac:dyDescent="0.25">
      <c r="A630" s="13">
        <v>5013</v>
      </c>
      <c r="B630" s="11" t="s">
        <v>171</v>
      </c>
      <c r="C630" s="11" t="s">
        <v>494</v>
      </c>
      <c r="D630" s="12">
        <v>375</v>
      </c>
      <c r="E630"/>
      <c r="F630"/>
      <c r="G630"/>
      <c r="H630"/>
      <c r="I630"/>
    </row>
    <row r="631" spans="1:9" x14ac:dyDescent="0.25">
      <c r="A631" s="13">
        <v>5014</v>
      </c>
      <c r="B631" s="11" t="s">
        <v>171</v>
      </c>
      <c r="C631" s="11" t="s">
        <v>494</v>
      </c>
      <c r="D631" s="12">
        <v>400</v>
      </c>
      <c r="E631"/>
      <c r="F631"/>
      <c r="G631"/>
      <c r="H631"/>
      <c r="I631"/>
    </row>
    <row r="632" spans="1:9" x14ac:dyDescent="0.25">
      <c r="A632" s="13">
        <v>5015</v>
      </c>
      <c r="B632" s="11" t="s">
        <v>171</v>
      </c>
      <c r="C632" s="11" t="s">
        <v>494</v>
      </c>
      <c r="D632" s="12">
        <v>450</v>
      </c>
      <c r="E632"/>
      <c r="F632"/>
      <c r="G632"/>
      <c r="H632"/>
      <c r="I632"/>
    </row>
    <row r="633" spans="1:9" x14ac:dyDescent="0.25">
      <c r="A633" s="13">
        <v>5016</v>
      </c>
      <c r="B633" s="11" t="s">
        <v>171</v>
      </c>
      <c r="C633" s="11" t="s">
        <v>494</v>
      </c>
      <c r="D633" s="12">
        <v>450</v>
      </c>
      <c r="E633"/>
      <c r="F633"/>
      <c r="G633"/>
      <c r="H633"/>
      <c r="I633"/>
    </row>
    <row r="634" spans="1:9" x14ac:dyDescent="0.25">
      <c r="A634" s="13">
        <v>5017</v>
      </c>
      <c r="B634" s="11" t="s">
        <v>171</v>
      </c>
      <c r="C634" s="11" t="s">
        <v>494</v>
      </c>
      <c r="D634" s="12">
        <v>400</v>
      </c>
      <c r="E634"/>
      <c r="F634"/>
      <c r="G634"/>
      <c r="H634"/>
      <c r="I634"/>
    </row>
    <row r="635" spans="1:9" x14ac:dyDescent="0.25">
      <c r="A635" s="13">
        <v>5018</v>
      </c>
      <c r="B635" s="11" t="s">
        <v>171</v>
      </c>
      <c r="C635" s="11" t="s">
        <v>494</v>
      </c>
      <c r="D635" s="12">
        <v>450</v>
      </c>
      <c r="E635"/>
      <c r="F635"/>
      <c r="G635"/>
      <c r="H635"/>
      <c r="I635"/>
    </row>
    <row r="636" spans="1:9" x14ac:dyDescent="0.25">
      <c r="A636" s="13">
        <v>5019</v>
      </c>
      <c r="B636" s="11" t="s">
        <v>171</v>
      </c>
      <c r="C636" s="11" t="s">
        <v>494</v>
      </c>
      <c r="D636" s="12">
        <v>400</v>
      </c>
      <c r="E636"/>
      <c r="F636"/>
      <c r="G636"/>
      <c r="H636"/>
      <c r="I636"/>
    </row>
    <row r="637" spans="1:9" x14ac:dyDescent="0.25">
      <c r="A637" s="13">
        <v>5020</v>
      </c>
      <c r="B637" s="11" t="s">
        <v>171</v>
      </c>
      <c r="C637" s="11" t="s">
        <v>494</v>
      </c>
      <c r="D637" s="12">
        <v>400</v>
      </c>
      <c r="E637"/>
      <c r="F637"/>
      <c r="G637"/>
      <c r="H637"/>
      <c r="I637"/>
    </row>
    <row r="638" spans="1:9" x14ac:dyDescent="0.25">
      <c r="A638" s="13">
        <v>5021</v>
      </c>
      <c r="B638" s="11" t="s">
        <v>171</v>
      </c>
      <c r="C638" s="11" t="s">
        <v>494</v>
      </c>
      <c r="D638" s="12">
        <v>450</v>
      </c>
      <c r="E638"/>
      <c r="F638"/>
      <c r="G638"/>
      <c r="H638"/>
      <c r="I638"/>
    </row>
    <row r="639" spans="1:9" x14ac:dyDescent="0.25">
      <c r="A639" s="13">
        <v>5022</v>
      </c>
      <c r="B639" s="11" t="s">
        <v>171</v>
      </c>
      <c r="C639" s="11" t="s">
        <v>494</v>
      </c>
      <c r="D639" s="12">
        <v>500</v>
      </c>
      <c r="E639"/>
      <c r="F639"/>
      <c r="G639"/>
      <c r="H639"/>
      <c r="I639"/>
    </row>
    <row r="640" spans="1:9" x14ac:dyDescent="0.25">
      <c r="A640" s="13">
        <v>5023</v>
      </c>
      <c r="B640" s="11" t="s">
        <v>171</v>
      </c>
      <c r="C640" s="11" t="s">
        <v>494</v>
      </c>
      <c r="D640" s="12">
        <v>400</v>
      </c>
      <c r="E640"/>
      <c r="F640"/>
      <c r="G640"/>
      <c r="H640"/>
      <c r="I640"/>
    </row>
    <row r="641" spans="1:9" x14ac:dyDescent="0.25">
      <c r="A641" s="13">
        <v>5024</v>
      </c>
      <c r="B641" s="11" t="s">
        <v>171</v>
      </c>
      <c r="C641" s="11" t="s">
        <v>494</v>
      </c>
      <c r="D641" s="12">
        <v>400</v>
      </c>
      <c r="E641"/>
      <c r="F641"/>
      <c r="G641"/>
      <c r="H641"/>
      <c r="I641"/>
    </row>
    <row r="642" spans="1:9" x14ac:dyDescent="0.25">
      <c r="A642" s="13">
        <v>5025</v>
      </c>
      <c r="B642" s="11" t="s">
        <v>171</v>
      </c>
      <c r="C642" s="11" t="s">
        <v>494</v>
      </c>
      <c r="D642" s="12">
        <v>400</v>
      </c>
      <c r="E642"/>
      <c r="F642"/>
      <c r="G642"/>
      <c r="H642"/>
      <c r="I642"/>
    </row>
    <row r="643" spans="1:9" x14ac:dyDescent="0.25">
      <c r="A643" s="13">
        <v>5026</v>
      </c>
      <c r="B643" s="11" t="s">
        <v>171</v>
      </c>
      <c r="C643" s="11" t="s">
        <v>494</v>
      </c>
      <c r="D643" s="12">
        <v>400</v>
      </c>
      <c r="E643"/>
      <c r="F643"/>
      <c r="G643"/>
      <c r="H643"/>
      <c r="I643"/>
    </row>
    <row r="644" spans="1:9" x14ac:dyDescent="0.25">
      <c r="A644" s="13">
        <v>5027</v>
      </c>
      <c r="B644" s="11" t="s">
        <v>171</v>
      </c>
      <c r="C644" s="11" t="s">
        <v>494</v>
      </c>
      <c r="D644" s="12">
        <v>400</v>
      </c>
      <c r="E644"/>
      <c r="F644"/>
      <c r="G644"/>
      <c r="H644"/>
      <c r="I644"/>
    </row>
    <row r="645" spans="1:9" x14ac:dyDescent="0.25">
      <c r="A645" s="13">
        <v>5051</v>
      </c>
      <c r="B645" s="11" t="s">
        <v>171</v>
      </c>
      <c r="C645" s="11" t="s">
        <v>494</v>
      </c>
      <c r="D645" s="12">
        <v>300</v>
      </c>
      <c r="E645"/>
      <c r="F645"/>
      <c r="G645"/>
      <c r="H645"/>
      <c r="I645"/>
    </row>
    <row r="646" spans="1:9" x14ac:dyDescent="0.25">
      <c r="A646" s="13">
        <v>5081</v>
      </c>
      <c r="B646" s="11" t="s">
        <v>171</v>
      </c>
      <c r="C646" s="11" t="s">
        <v>494</v>
      </c>
      <c r="D646" s="12">
        <v>350</v>
      </c>
      <c r="E646"/>
      <c r="F646"/>
      <c r="G646"/>
      <c r="H646"/>
      <c r="I646"/>
    </row>
    <row r="647" spans="1:9" x14ac:dyDescent="0.25">
      <c r="A647" s="13">
        <v>5082</v>
      </c>
      <c r="B647" s="11" t="s">
        <v>171</v>
      </c>
      <c r="C647" s="11" t="s">
        <v>494</v>
      </c>
      <c r="D647" s="12">
        <v>625</v>
      </c>
      <c r="E647"/>
      <c r="F647"/>
      <c r="G647"/>
      <c r="H647"/>
      <c r="I647"/>
    </row>
    <row r="648" spans="1:9" x14ac:dyDescent="0.25">
      <c r="A648" s="13">
        <v>5083</v>
      </c>
      <c r="B648" s="11" t="s">
        <v>171</v>
      </c>
      <c r="C648" s="11" t="s">
        <v>494</v>
      </c>
      <c r="D648" s="12">
        <v>450</v>
      </c>
      <c r="E648"/>
      <c r="F648"/>
      <c r="G648"/>
      <c r="H648"/>
      <c r="I648"/>
    </row>
    <row r="649" spans="1:9" x14ac:dyDescent="0.25">
      <c r="A649" s="13">
        <v>5085</v>
      </c>
      <c r="B649" s="11" t="s">
        <v>171</v>
      </c>
      <c r="C649" s="11" t="s">
        <v>494</v>
      </c>
      <c r="D649" s="12">
        <v>425</v>
      </c>
      <c r="E649"/>
      <c r="F649"/>
      <c r="G649"/>
      <c r="H649"/>
      <c r="I649"/>
    </row>
    <row r="650" spans="1:9" x14ac:dyDescent="0.25">
      <c r="A650" s="13">
        <v>5086</v>
      </c>
      <c r="B650" s="11" t="s">
        <v>171</v>
      </c>
      <c r="C650" s="11" t="s">
        <v>494</v>
      </c>
      <c r="D650" s="12">
        <v>500</v>
      </c>
      <c r="E650"/>
      <c r="F650"/>
      <c r="G650"/>
      <c r="H650"/>
      <c r="I650"/>
    </row>
    <row r="651" spans="1:9" x14ac:dyDescent="0.25">
      <c r="A651" s="13">
        <v>5087</v>
      </c>
      <c r="B651" s="11" t="s">
        <v>171</v>
      </c>
      <c r="C651" s="11" t="s">
        <v>494</v>
      </c>
      <c r="D651" s="12">
        <v>525</v>
      </c>
      <c r="E651"/>
      <c r="F651"/>
      <c r="G651"/>
      <c r="H651"/>
      <c r="I651"/>
    </row>
    <row r="652" spans="1:9" x14ac:dyDescent="0.25">
      <c r="A652" s="13">
        <v>5088</v>
      </c>
      <c r="B652" s="11" t="s">
        <v>171</v>
      </c>
      <c r="C652" s="11" t="s">
        <v>494</v>
      </c>
      <c r="D652" s="12">
        <v>475</v>
      </c>
      <c r="E652"/>
      <c r="F652"/>
      <c r="G652"/>
      <c r="H652"/>
      <c r="I652"/>
    </row>
    <row r="653" spans="1:9" x14ac:dyDescent="0.25">
      <c r="A653" s="13">
        <v>5089</v>
      </c>
      <c r="B653" s="11" t="s">
        <v>171</v>
      </c>
      <c r="C653" s="11" t="s">
        <v>494</v>
      </c>
      <c r="D653" s="12">
        <v>300</v>
      </c>
      <c r="E653"/>
      <c r="F653"/>
      <c r="G653"/>
      <c r="H653"/>
      <c r="I653"/>
    </row>
    <row r="654" spans="1:9" x14ac:dyDescent="0.25">
      <c r="A654" s="13">
        <v>5090</v>
      </c>
      <c r="B654" s="11" t="s">
        <v>171</v>
      </c>
      <c r="C654" s="11" t="s">
        <v>494</v>
      </c>
      <c r="D654" s="12">
        <v>425</v>
      </c>
      <c r="E654"/>
      <c r="F654"/>
      <c r="G654"/>
      <c r="H654"/>
      <c r="I654"/>
    </row>
    <row r="655" spans="1:9" x14ac:dyDescent="0.25">
      <c r="A655" s="13">
        <v>5091</v>
      </c>
      <c r="B655" s="11" t="s">
        <v>171</v>
      </c>
      <c r="C655" s="11" t="s">
        <v>494</v>
      </c>
      <c r="D655" s="12">
        <v>450</v>
      </c>
      <c r="E655"/>
      <c r="F655"/>
      <c r="G655"/>
      <c r="H655"/>
      <c r="I655"/>
    </row>
    <row r="656" spans="1:9" x14ac:dyDescent="0.25">
      <c r="A656" s="13">
        <v>5092</v>
      </c>
      <c r="B656" s="11" t="s">
        <v>171</v>
      </c>
      <c r="C656" s="11" t="s">
        <v>494</v>
      </c>
      <c r="D656" s="12">
        <v>475</v>
      </c>
      <c r="E656"/>
      <c r="F656"/>
      <c r="G656"/>
      <c r="H656"/>
      <c r="I656"/>
    </row>
    <row r="657" spans="1:9" x14ac:dyDescent="0.25">
      <c r="A657" s="13">
        <v>5093</v>
      </c>
      <c r="B657" s="11" t="s">
        <v>171</v>
      </c>
      <c r="C657" s="11" t="s">
        <v>494</v>
      </c>
      <c r="D657" s="12">
        <v>375</v>
      </c>
      <c r="E657"/>
      <c r="F657"/>
      <c r="G657"/>
      <c r="H657"/>
      <c r="I657"/>
    </row>
    <row r="658" spans="1:9" x14ac:dyDescent="0.25">
      <c r="A658" s="13">
        <v>5094</v>
      </c>
      <c r="B658" s="11" t="s">
        <v>171</v>
      </c>
      <c r="C658" s="11" t="s">
        <v>494</v>
      </c>
      <c r="D658" s="12">
        <v>575</v>
      </c>
      <c r="E658"/>
      <c r="F658"/>
      <c r="G658"/>
      <c r="H658"/>
      <c r="I658"/>
    </row>
    <row r="659" spans="1:9" x14ac:dyDescent="0.25">
      <c r="A659" s="13">
        <v>5101</v>
      </c>
      <c r="B659" s="11" t="s">
        <v>171</v>
      </c>
      <c r="C659" s="11" t="s">
        <v>494</v>
      </c>
      <c r="D659" s="12">
        <v>400</v>
      </c>
      <c r="E659"/>
      <c r="F659"/>
      <c r="G659"/>
      <c r="H659"/>
      <c r="I659"/>
    </row>
    <row r="660" spans="1:9" x14ac:dyDescent="0.25">
      <c r="A660" s="13">
        <v>5102</v>
      </c>
      <c r="B660" s="11" t="s">
        <v>171</v>
      </c>
      <c r="C660" s="11" t="s">
        <v>494</v>
      </c>
      <c r="D660" s="12">
        <v>400</v>
      </c>
      <c r="E660"/>
      <c r="F660"/>
      <c r="G660"/>
      <c r="H660"/>
      <c r="I660"/>
    </row>
    <row r="661" spans="1:9" x14ac:dyDescent="0.25">
      <c r="A661" s="13">
        <v>5103</v>
      </c>
      <c r="B661" s="11" t="s">
        <v>171</v>
      </c>
      <c r="C661" s="11" t="s">
        <v>494</v>
      </c>
      <c r="D661" s="12">
        <v>400</v>
      </c>
      <c r="E661"/>
      <c r="F661"/>
      <c r="G661"/>
      <c r="H661"/>
      <c r="I661"/>
    </row>
    <row r="662" spans="1:9" x14ac:dyDescent="0.25">
      <c r="A662" s="13">
        <v>5221</v>
      </c>
      <c r="B662" s="11" t="s">
        <v>171</v>
      </c>
      <c r="C662" s="11" t="s">
        <v>494</v>
      </c>
      <c r="D662" s="12">
        <v>650</v>
      </c>
      <c r="E662"/>
      <c r="F662"/>
      <c r="G662"/>
      <c r="H662"/>
      <c r="I662"/>
    </row>
    <row r="663" spans="1:9" x14ac:dyDescent="0.25">
      <c r="A663" s="13">
        <v>5222</v>
      </c>
      <c r="B663" s="11" t="s">
        <v>171</v>
      </c>
      <c r="C663" s="11" t="s">
        <v>494</v>
      </c>
      <c r="D663" s="12">
        <v>425</v>
      </c>
      <c r="E663"/>
      <c r="F663"/>
      <c r="G663"/>
      <c r="H663"/>
      <c r="I663"/>
    </row>
    <row r="664" spans="1:9" x14ac:dyDescent="0.25">
      <c r="A664" s="13">
        <v>5223</v>
      </c>
      <c r="B664" s="11" t="s">
        <v>171</v>
      </c>
      <c r="C664" s="11" t="s">
        <v>494</v>
      </c>
      <c r="D664" s="12">
        <v>500</v>
      </c>
      <c r="E664"/>
      <c r="F664"/>
      <c r="G664"/>
      <c r="H664"/>
      <c r="I664"/>
    </row>
    <row r="665" spans="1:9" x14ac:dyDescent="0.25">
      <c r="A665" s="13">
        <v>5224</v>
      </c>
      <c r="B665" s="11" t="s">
        <v>171</v>
      </c>
      <c r="C665" s="11" t="s">
        <v>494</v>
      </c>
      <c r="D665" s="12">
        <v>375</v>
      </c>
      <c r="E665"/>
      <c r="F665"/>
      <c r="G665"/>
      <c r="H665"/>
      <c r="I665"/>
    </row>
    <row r="666" spans="1:9" x14ac:dyDescent="0.25">
      <c r="A666" s="13">
        <v>5225</v>
      </c>
      <c r="B666" s="11" t="s">
        <v>171</v>
      </c>
      <c r="C666" s="11" t="s">
        <v>494</v>
      </c>
      <c r="D666" s="12">
        <v>425</v>
      </c>
      <c r="E666"/>
      <c r="F666"/>
      <c r="G666"/>
      <c r="H666"/>
      <c r="I666"/>
    </row>
    <row r="667" spans="1:9" x14ac:dyDescent="0.25">
      <c r="A667" s="13">
        <v>5226</v>
      </c>
      <c r="B667" s="11" t="s">
        <v>171</v>
      </c>
      <c r="C667" s="11" t="s">
        <v>494</v>
      </c>
      <c r="D667" s="12">
        <v>650</v>
      </c>
      <c r="E667"/>
      <c r="F667"/>
      <c r="G667"/>
      <c r="H667"/>
      <c r="I667"/>
    </row>
    <row r="668" spans="1:9" x14ac:dyDescent="0.25">
      <c r="A668" s="13">
        <v>5227</v>
      </c>
      <c r="B668" s="11" t="s">
        <v>171</v>
      </c>
      <c r="C668" s="11" t="s">
        <v>494</v>
      </c>
      <c r="D668" s="12">
        <v>600</v>
      </c>
      <c r="E668"/>
      <c r="F668"/>
      <c r="G668"/>
      <c r="H668"/>
      <c r="I668"/>
    </row>
    <row r="669" spans="1:9" x14ac:dyDescent="0.25">
      <c r="A669" s="13">
        <v>5228</v>
      </c>
      <c r="B669" s="11" t="s">
        <v>171</v>
      </c>
      <c r="C669" s="11" t="s">
        <v>494</v>
      </c>
      <c r="D669" s="12">
        <v>675</v>
      </c>
      <c r="E669"/>
      <c r="F669"/>
      <c r="G669"/>
      <c r="H669"/>
      <c r="I669"/>
    </row>
    <row r="670" spans="1:9" x14ac:dyDescent="0.25">
      <c r="A670" s="13">
        <v>5229</v>
      </c>
      <c r="B670" s="11" t="s">
        <v>171</v>
      </c>
      <c r="C670" s="11" t="s">
        <v>494</v>
      </c>
      <c r="D670" s="12">
        <v>675</v>
      </c>
      <c r="E670"/>
      <c r="F670"/>
      <c r="G670"/>
      <c r="H670"/>
      <c r="I670"/>
    </row>
    <row r="671" spans="1:9" x14ac:dyDescent="0.25">
      <c r="A671" s="13">
        <v>5230</v>
      </c>
      <c r="B671" s="11" t="s">
        <v>171</v>
      </c>
      <c r="C671" s="11" t="s">
        <v>494</v>
      </c>
      <c r="D671" s="12">
        <v>650</v>
      </c>
      <c r="E671"/>
      <c r="F671"/>
      <c r="G671"/>
      <c r="H671"/>
      <c r="I671"/>
    </row>
    <row r="672" spans="1:9" x14ac:dyDescent="0.25">
      <c r="A672" s="13">
        <v>5231</v>
      </c>
      <c r="B672" s="11" t="s">
        <v>171</v>
      </c>
      <c r="C672" s="11" t="s">
        <v>494</v>
      </c>
      <c r="D672" s="12">
        <v>675</v>
      </c>
      <c r="E672"/>
      <c r="F672"/>
      <c r="G672"/>
      <c r="H672"/>
      <c r="I672"/>
    </row>
    <row r="673" spans="1:9" x14ac:dyDescent="0.25">
      <c r="A673" s="13">
        <v>5232</v>
      </c>
      <c r="B673" s="11" t="s">
        <v>171</v>
      </c>
      <c r="C673" s="11" t="s">
        <v>494</v>
      </c>
      <c r="D673" s="12">
        <v>850</v>
      </c>
      <c r="E673"/>
      <c r="F673"/>
      <c r="G673"/>
      <c r="H673"/>
      <c r="I673"/>
    </row>
    <row r="674" spans="1:9" x14ac:dyDescent="0.25">
      <c r="A674" s="13">
        <v>5233</v>
      </c>
      <c r="B674" s="11" t="s">
        <v>171</v>
      </c>
      <c r="C674" s="11" t="s">
        <v>494</v>
      </c>
      <c r="D674" s="12">
        <v>925</v>
      </c>
      <c r="E674"/>
      <c r="F674"/>
      <c r="G674"/>
      <c r="H674"/>
      <c r="I674"/>
    </row>
    <row r="675" spans="1:9" x14ac:dyDescent="0.25">
      <c r="A675" s="13">
        <v>5234</v>
      </c>
      <c r="B675" s="11" t="s">
        <v>171</v>
      </c>
      <c r="C675" s="11" t="s">
        <v>494</v>
      </c>
      <c r="D675" s="12">
        <v>875</v>
      </c>
      <c r="E675"/>
      <c r="F675"/>
      <c r="G675"/>
      <c r="H675"/>
      <c r="I675"/>
    </row>
    <row r="676" spans="1:9" x14ac:dyDescent="0.25">
      <c r="A676" s="13">
        <v>5235</v>
      </c>
      <c r="B676" s="11" t="s">
        <v>171</v>
      </c>
      <c r="C676" s="11" t="s">
        <v>494</v>
      </c>
      <c r="D676" s="12">
        <v>225</v>
      </c>
      <c r="E676"/>
      <c r="F676"/>
      <c r="G676"/>
      <c r="H676"/>
      <c r="I676"/>
    </row>
    <row r="677" spans="1:9" x14ac:dyDescent="0.25">
      <c r="A677" s="13">
        <v>5236</v>
      </c>
      <c r="B677" s="11" t="s">
        <v>171</v>
      </c>
      <c r="C677" s="11" t="s">
        <v>494</v>
      </c>
      <c r="D677" s="12">
        <v>325</v>
      </c>
      <c r="E677"/>
      <c r="F677"/>
      <c r="G677"/>
      <c r="H677"/>
      <c r="I677"/>
    </row>
    <row r="678" spans="1:9" x14ac:dyDescent="0.25">
      <c r="A678" s="13">
        <v>5237</v>
      </c>
      <c r="B678" s="11" t="s">
        <v>171</v>
      </c>
      <c r="C678" s="11" t="s">
        <v>494</v>
      </c>
      <c r="D678" s="12">
        <v>350</v>
      </c>
      <c r="E678"/>
      <c r="F678"/>
      <c r="G678"/>
      <c r="H678"/>
      <c r="I678"/>
    </row>
    <row r="679" spans="1:9" x14ac:dyDescent="0.25">
      <c r="A679" s="13">
        <v>5238</v>
      </c>
      <c r="B679" s="11" t="s">
        <v>171</v>
      </c>
      <c r="C679" s="11" t="s">
        <v>494</v>
      </c>
      <c r="D679" s="12">
        <v>275</v>
      </c>
      <c r="E679"/>
      <c r="F679"/>
      <c r="G679"/>
      <c r="H679"/>
      <c r="I679"/>
    </row>
    <row r="680" spans="1:9" x14ac:dyDescent="0.25">
      <c r="A680" s="13">
        <v>5239</v>
      </c>
      <c r="B680" s="11" t="s">
        <v>171</v>
      </c>
      <c r="C680" s="11" t="s">
        <v>494</v>
      </c>
      <c r="D680" s="12">
        <v>325</v>
      </c>
      <c r="E680"/>
      <c r="F680"/>
      <c r="G680"/>
      <c r="H680"/>
      <c r="I680"/>
    </row>
    <row r="681" spans="1:9" x14ac:dyDescent="0.25">
      <c r="A681" s="13">
        <v>5241</v>
      </c>
      <c r="B681" s="11" t="s">
        <v>171</v>
      </c>
      <c r="C681" s="11" t="s">
        <v>494</v>
      </c>
      <c r="D681" s="12">
        <v>575</v>
      </c>
      <c r="E681"/>
      <c r="F681"/>
      <c r="G681"/>
      <c r="H681"/>
      <c r="I681"/>
    </row>
    <row r="682" spans="1:9" x14ac:dyDescent="0.25">
      <c r="A682" s="13">
        <v>5242</v>
      </c>
      <c r="B682" s="11" t="s">
        <v>171</v>
      </c>
      <c r="C682" s="11" t="s">
        <v>494</v>
      </c>
      <c r="D682" s="12">
        <v>575</v>
      </c>
      <c r="E682"/>
      <c r="F682"/>
      <c r="G682"/>
      <c r="H682"/>
      <c r="I682"/>
    </row>
    <row r="683" spans="1:9" x14ac:dyDescent="0.25">
      <c r="A683" s="13">
        <v>5243</v>
      </c>
      <c r="B683" s="11" t="s">
        <v>171</v>
      </c>
      <c r="C683" s="11" t="s">
        <v>494</v>
      </c>
      <c r="D683" s="12">
        <v>575</v>
      </c>
      <c r="E683"/>
      <c r="F683"/>
      <c r="G683"/>
      <c r="H683"/>
      <c r="I683"/>
    </row>
    <row r="684" spans="1:9" x14ac:dyDescent="0.25">
      <c r="A684" s="13">
        <v>5244</v>
      </c>
      <c r="B684" s="11" t="s">
        <v>171</v>
      </c>
      <c r="C684" s="11" t="s">
        <v>494</v>
      </c>
      <c r="D684" s="12">
        <v>725</v>
      </c>
      <c r="E684"/>
      <c r="F684"/>
      <c r="G684"/>
      <c r="H684"/>
      <c r="I684"/>
    </row>
    <row r="685" spans="1:9" x14ac:dyDescent="0.25">
      <c r="A685" s="13">
        <v>5302</v>
      </c>
      <c r="B685" s="11" t="s">
        <v>171</v>
      </c>
      <c r="C685" s="11" t="s">
        <v>494</v>
      </c>
      <c r="D685" s="12">
        <v>325</v>
      </c>
      <c r="E685"/>
      <c r="F685"/>
      <c r="G685"/>
      <c r="H685"/>
      <c r="I685"/>
    </row>
    <row r="686" spans="1:9" x14ac:dyDescent="0.25">
      <c r="A686" s="13">
        <v>5303</v>
      </c>
      <c r="B686" s="11" t="s">
        <v>171</v>
      </c>
      <c r="C686" s="11" t="s">
        <v>494</v>
      </c>
      <c r="D686" s="12">
        <v>350</v>
      </c>
      <c r="E686"/>
      <c r="F686"/>
      <c r="G686"/>
      <c r="H686"/>
      <c r="I686"/>
    </row>
    <row r="687" spans="1:9" x14ac:dyDescent="0.25">
      <c r="A687" s="13">
        <v>5541</v>
      </c>
      <c r="B687" s="11" t="s">
        <v>171</v>
      </c>
      <c r="C687" s="11" t="s">
        <v>494</v>
      </c>
      <c r="D687" s="12">
        <v>350</v>
      </c>
      <c r="E687"/>
      <c r="F687"/>
      <c r="G687"/>
      <c r="H687"/>
      <c r="I687"/>
    </row>
    <row r="688" spans="1:9" x14ac:dyDescent="0.25">
      <c r="A688" s="13">
        <v>5581</v>
      </c>
      <c r="B688" s="11" t="s">
        <v>171</v>
      </c>
      <c r="C688" s="11" t="s">
        <v>494</v>
      </c>
      <c r="D688" s="12">
        <v>775</v>
      </c>
      <c r="E688"/>
      <c r="F688"/>
      <c r="G688"/>
      <c r="H688"/>
      <c r="I688"/>
    </row>
    <row r="689" spans="1:9" x14ac:dyDescent="0.25">
      <c r="A689" s="13">
        <v>5582</v>
      </c>
      <c r="B689" s="11" t="s">
        <v>171</v>
      </c>
      <c r="C689" s="11" t="s">
        <v>494</v>
      </c>
      <c r="D689" s="12">
        <v>850</v>
      </c>
      <c r="E689"/>
      <c r="F689"/>
      <c r="G689"/>
      <c r="H689"/>
      <c r="I689"/>
    </row>
    <row r="690" spans="1:9" x14ac:dyDescent="0.25">
      <c r="A690" s="13">
        <v>5583</v>
      </c>
      <c r="B690" s="11" t="s">
        <v>171</v>
      </c>
      <c r="C690" s="11" t="s">
        <v>494</v>
      </c>
      <c r="D690" s="12">
        <v>750</v>
      </c>
      <c r="E690"/>
      <c r="F690"/>
      <c r="G690"/>
      <c r="H690"/>
      <c r="I690"/>
    </row>
    <row r="691" spans="1:9" x14ac:dyDescent="0.25">
      <c r="A691" s="13">
        <v>5584</v>
      </c>
      <c r="B691" s="11" t="s">
        <v>171</v>
      </c>
      <c r="C691" s="11" t="s">
        <v>494</v>
      </c>
      <c r="D691" s="12">
        <v>600</v>
      </c>
      <c r="E691"/>
      <c r="F691"/>
      <c r="G691"/>
      <c r="H691"/>
      <c r="I691"/>
    </row>
    <row r="692" spans="1:9" x14ac:dyDescent="0.25">
      <c r="A692" s="13">
        <v>5585</v>
      </c>
      <c r="B692" s="11" t="s">
        <v>171</v>
      </c>
      <c r="C692" s="11" t="s">
        <v>494</v>
      </c>
      <c r="D692" s="12">
        <v>600</v>
      </c>
      <c r="E692"/>
      <c r="F692"/>
      <c r="G692"/>
      <c r="H692"/>
      <c r="I692"/>
    </row>
    <row r="693" spans="1:9" x14ac:dyDescent="0.25">
      <c r="A693" s="13">
        <v>5586</v>
      </c>
      <c r="B693" s="11" t="s">
        <v>171</v>
      </c>
      <c r="C693" s="11" t="s">
        <v>494</v>
      </c>
      <c r="D693" s="12">
        <v>650</v>
      </c>
      <c r="E693"/>
      <c r="F693"/>
      <c r="G693"/>
      <c r="H693"/>
      <c r="I693"/>
    </row>
    <row r="694" spans="1:9" x14ac:dyDescent="0.25">
      <c r="A694" s="13">
        <v>5587</v>
      </c>
      <c r="B694" s="11" t="s">
        <v>171</v>
      </c>
      <c r="C694" s="11" t="s">
        <v>494</v>
      </c>
      <c r="D694" s="12">
        <v>675</v>
      </c>
      <c r="E694"/>
      <c r="F694"/>
      <c r="G694"/>
      <c r="H694"/>
      <c r="I694"/>
    </row>
    <row r="695" spans="1:9" x14ac:dyDescent="0.25">
      <c r="A695" s="13">
        <v>5588</v>
      </c>
      <c r="B695" s="11" t="s">
        <v>171</v>
      </c>
      <c r="C695" s="11" t="s">
        <v>494</v>
      </c>
      <c r="D695" s="12">
        <v>625</v>
      </c>
      <c r="E695"/>
      <c r="F695"/>
      <c r="G695"/>
      <c r="H695"/>
      <c r="I695"/>
    </row>
    <row r="696" spans="1:9" x14ac:dyDescent="0.25">
      <c r="A696" s="13">
        <v>5589</v>
      </c>
      <c r="B696" s="11" t="s">
        <v>171</v>
      </c>
      <c r="C696" s="11" t="s">
        <v>494</v>
      </c>
      <c r="D696" s="12">
        <v>275</v>
      </c>
      <c r="E696"/>
      <c r="F696"/>
      <c r="G696"/>
      <c r="H696"/>
      <c r="I696"/>
    </row>
    <row r="697" spans="1:9" x14ac:dyDescent="0.25">
      <c r="A697" s="13">
        <v>5771</v>
      </c>
      <c r="B697" s="11" t="s">
        <v>171</v>
      </c>
      <c r="C697" s="11" t="s">
        <v>494</v>
      </c>
      <c r="D697" s="12">
        <v>850</v>
      </c>
      <c r="E697"/>
      <c r="F697"/>
      <c r="G697"/>
      <c r="H697"/>
      <c r="I697"/>
    </row>
    <row r="698" spans="1:9" x14ac:dyDescent="0.25">
      <c r="A698" s="13">
        <v>5772</v>
      </c>
      <c r="B698" s="11" t="s">
        <v>171</v>
      </c>
      <c r="C698" s="11" t="s">
        <v>494</v>
      </c>
      <c r="D698" s="12">
        <v>850</v>
      </c>
      <c r="E698"/>
      <c r="F698"/>
      <c r="G698"/>
      <c r="H698"/>
      <c r="I698"/>
    </row>
    <row r="699" spans="1:9" x14ac:dyDescent="0.25">
      <c r="A699" s="13">
        <v>5773</v>
      </c>
      <c r="B699" s="11" t="s">
        <v>171</v>
      </c>
      <c r="C699" s="11" t="s">
        <v>494</v>
      </c>
      <c r="D699" s="12">
        <v>900</v>
      </c>
      <c r="E699"/>
      <c r="F699"/>
      <c r="G699"/>
      <c r="H699"/>
      <c r="I699"/>
    </row>
    <row r="700" spans="1:9" x14ac:dyDescent="0.25">
      <c r="A700" s="13">
        <v>5774</v>
      </c>
      <c r="B700" s="11" t="s">
        <v>171</v>
      </c>
      <c r="C700" s="11" t="s">
        <v>494</v>
      </c>
      <c r="D700" s="12">
        <v>750</v>
      </c>
      <c r="E700"/>
      <c r="F700"/>
      <c r="G700"/>
      <c r="H700"/>
      <c r="I700"/>
    </row>
    <row r="701" spans="1:9" x14ac:dyDescent="0.25">
      <c r="A701" s="13">
        <v>5783</v>
      </c>
      <c r="B701" s="11" t="s">
        <v>171</v>
      </c>
      <c r="C701" s="11" t="s">
        <v>497</v>
      </c>
      <c r="D701" s="12">
        <v>775</v>
      </c>
      <c r="E701"/>
      <c r="F701"/>
      <c r="G701"/>
      <c r="H701"/>
      <c r="I701"/>
    </row>
    <row r="702" spans="1:9" x14ac:dyDescent="0.25">
      <c r="A702" s="13">
        <v>5784</v>
      </c>
      <c r="B702" s="11" t="s">
        <v>171</v>
      </c>
      <c r="C702" s="11" t="s">
        <v>497</v>
      </c>
      <c r="D702" s="12">
        <v>850</v>
      </c>
      <c r="E702"/>
      <c r="F702"/>
      <c r="G702"/>
      <c r="H702"/>
      <c r="I702"/>
    </row>
    <row r="703" spans="1:9" x14ac:dyDescent="0.25">
      <c r="A703" s="13">
        <v>5785</v>
      </c>
      <c r="B703" s="11" t="s">
        <v>171</v>
      </c>
      <c r="C703" s="11" t="s">
        <v>497</v>
      </c>
      <c r="D703" s="12">
        <v>950</v>
      </c>
      <c r="E703"/>
      <c r="F703"/>
      <c r="G703"/>
      <c r="H703"/>
      <c r="I703"/>
    </row>
    <row r="704" spans="1:9" x14ac:dyDescent="0.25">
      <c r="A704" s="13">
        <v>5786</v>
      </c>
      <c r="B704" s="11" t="s">
        <v>171</v>
      </c>
      <c r="C704" s="11" t="s">
        <v>497</v>
      </c>
      <c r="D704" s="12">
        <v>1225</v>
      </c>
      <c r="E704"/>
      <c r="F704"/>
      <c r="G704"/>
      <c r="H704"/>
      <c r="I704"/>
    </row>
    <row r="705" spans="1:9" x14ac:dyDescent="0.25">
      <c r="A705" s="13">
        <v>5788</v>
      </c>
      <c r="B705" s="11" t="s">
        <v>171</v>
      </c>
      <c r="C705" s="11" t="s">
        <v>497</v>
      </c>
      <c r="D705" s="12">
        <v>850</v>
      </c>
      <c r="E705"/>
      <c r="F705"/>
      <c r="G705"/>
      <c r="H705"/>
      <c r="I705"/>
    </row>
    <row r="706" spans="1:9" x14ac:dyDescent="0.25">
      <c r="A706" s="13">
        <v>5789</v>
      </c>
      <c r="B706" s="11" t="s">
        <v>171</v>
      </c>
      <c r="C706" s="11" t="s">
        <v>497</v>
      </c>
      <c r="D706" s="12">
        <v>1450</v>
      </c>
      <c r="E706"/>
      <c r="F706"/>
      <c r="G706"/>
      <c r="H706"/>
      <c r="I706"/>
    </row>
    <row r="707" spans="1:9" x14ac:dyDescent="0.25">
      <c r="A707" s="13">
        <v>5821</v>
      </c>
      <c r="B707" s="11" t="s">
        <v>171</v>
      </c>
      <c r="C707" s="11" t="s">
        <v>494</v>
      </c>
      <c r="D707" s="12">
        <v>375</v>
      </c>
      <c r="E707"/>
      <c r="F707"/>
      <c r="G707"/>
      <c r="H707"/>
      <c r="I707"/>
    </row>
    <row r="708" spans="1:9" x14ac:dyDescent="0.25">
      <c r="A708" s="13">
        <v>5822</v>
      </c>
      <c r="B708" s="11" t="s">
        <v>171</v>
      </c>
      <c r="C708" s="11" t="s">
        <v>494</v>
      </c>
      <c r="D708" s="12">
        <v>475</v>
      </c>
      <c r="E708"/>
      <c r="F708"/>
      <c r="G708"/>
      <c r="H708"/>
      <c r="I708"/>
    </row>
    <row r="709" spans="1:9" x14ac:dyDescent="0.25">
      <c r="A709" s="13">
        <v>5823</v>
      </c>
      <c r="B709" s="11" t="s">
        <v>171</v>
      </c>
      <c r="C709" s="11" t="s">
        <v>494</v>
      </c>
      <c r="D709" s="12">
        <v>450</v>
      </c>
      <c r="E709"/>
      <c r="F709"/>
      <c r="G709"/>
      <c r="H709"/>
      <c r="I709"/>
    </row>
    <row r="710" spans="1:9" x14ac:dyDescent="0.25">
      <c r="A710" s="13">
        <v>8451</v>
      </c>
      <c r="B710" s="11" t="s">
        <v>171</v>
      </c>
      <c r="C710" s="11" t="s">
        <v>497</v>
      </c>
      <c r="D710" s="12">
        <v>1125</v>
      </c>
      <c r="E710"/>
      <c r="F710"/>
      <c r="G710"/>
      <c r="H710"/>
      <c r="I710"/>
    </row>
    <row r="711" spans="1:9" x14ac:dyDescent="0.25">
      <c r="A711" s="13">
        <v>8511</v>
      </c>
      <c r="B711" s="11" t="s">
        <v>171</v>
      </c>
      <c r="C711" s="11" t="s">
        <v>497</v>
      </c>
      <c r="D711" s="12">
        <v>1050</v>
      </c>
      <c r="E711"/>
      <c r="F711"/>
      <c r="G711"/>
      <c r="H711"/>
      <c r="I711"/>
    </row>
    <row r="712" spans="1:9" x14ac:dyDescent="0.25">
      <c r="A712" s="13">
        <v>8512</v>
      </c>
      <c r="B712" s="11" t="s">
        <v>171</v>
      </c>
      <c r="C712" s="11" t="s">
        <v>497</v>
      </c>
      <c r="D712" s="12">
        <v>625</v>
      </c>
      <c r="E712"/>
      <c r="F712"/>
      <c r="G712"/>
      <c r="H712"/>
      <c r="I712"/>
    </row>
    <row r="713" spans="1:9" x14ac:dyDescent="0.25">
      <c r="A713" s="13">
        <v>8514</v>
      </c>
      <c r="B713" s="11" t="s">
        <v>171</v>
      </c>
      <c r="C713" s="11" t="s">
        <v>497</v>
      </c>
      <c r="D713" s="12">
        <v>2275</v>
      </c>
      <c r="E713"/>
      <c r="F713"/>
      <c r="G713"/>
      <c r="H713"/>
      <c r="I713"/>
    </row>
    <row r="714" spans="1:9" x14ac:dyDescent="0.25">
      <c r="A714" s="13">
        <v>8515</v>
      </c>
      <c r="B714" s="11" t="s">
        <v>171</v>
      </c>
      <c r="C714" s="11" t="s">
        <v>494</v>
      </c>
      <c r="D714" s="12">
        <v>600</v>
      </c>
      <c r="E714"/>
      <c r="F714"/>
      <c r="G714"/>
      <c r="H714"/>
      <c r="I714"/>
    </row>
    <row r="715" spans="1:9" x14ac:dyDescent="0.25">
      <c r="A715" s="13">
        <v>8516</v>
      </c>
      <c r="B715" s="11" t="s">
        <v>171</v>
      </c>
      <c r="C715" s="11" t="s">
        <v>497</v>
      </c>
      <c r="D715" s="12">
        <v>1875</v>
      </c>
      <c r="E715"/>
      <c r="F715"/>
      <c r="G715"/>
      <c r="H715"/>
      <c r="I715"/>
    </row>
    <row r="716" spans="1:9" x14ac:dyDescent="0.25">
      <c r="A716" s="13">
        <v>8517</v>
      </c>
      <c r="B716" s="11" t="s">
        <v>171</v>
      </c>
      <c r="C716" s="11" t="s">
        <v>497</v>
      </c>
      <c r="D716" s="12">
        <v>425</v>
      </c>
      <c r="E716"/>
      <c r="F716"/>
      <c r="G716"/>
      <c r="H716"/>
      <c r="I716"/>
    </row>
    <row r="717" spans="1:9" x14ac:dyDescent="0.25">
      <c r="A717" s="13">
        <v>8518</v>
      </c>
      <c r="B717" s="11" t="s">
        <v>171</v>
      </c>
      <c r="C717" s="11" t="s">
        <v>497</v>
      </c>
      <c r="D717" s="12">
        <v>1925</v>
      </c>
      <c r="E717"/>
      <c r="F717"/>
      <c r="G717"/>
      <c r="H717"/>
      <c r="I717"/>
    </row>
    <row r="718" spans="1:9" x14ac:dyDescent="0.25">
      <c r="A718" s="13">
        <v>8571</v>
      </c>
      <c r="B718" s="11" t="s">
        <v>171</v>
      </c>
      <c r="C718" s="11" t="s">
        <v>497</v>
      </c>
      <c r="D718" s="12">
        <v>1625</v>
      </c>
      <c r="E718"/>
      <c r="F718"/>
      <c r="G718"/>
      <c r="H718"/>
      <c r="I718"/>
    </row>
    <row r="719" spans="1:9" x14ac:dyDescent="0.25">
      <c r="A719" s="13">
        <v>8681</v>
      </c>
      <c r="B719" s="11" t="s">
        <v>171</v>
      </c>
      <c r="C719" s="11" t="s">
        <v>497</v>
      </c>
      <c r="D719" s="12">
        <v>700</v>
      </c>
      <c r="E719"/>
      <c r="F719"/>
      <c r="G719"/>
      <c r="H719"/>
      <c r="I719"/>
    </row>
    <row r="720" spans="1:9" x14ac:dyDescent="0.25">
      <c r="A720" s="13">
        <v>8682</v>
      </c>
      <c r="B720" s="11" t="s">
        <v>171</v>
      </c>
      <c r="C720" s="11" t="s">
        <v>494</v>
      </c>
      <c r="D720" s="12">
        <v>1000</v>
      </c>
      <c r="E720"/>
      <c r="F720"/>
      <c r="G720"/>
      <c r="H720"/>
      <c r="I720"/>
    </row>
    <row r="721" spans="1:9" x14ac:dyDescent="0.25">
      <c r="A721" s="13">
        <v>8683</v>
      </c>
      <c r="B721" s="11" t="s">
        <v>171</v>
      </c>
      <c r="C721" s="11" t="s">
        <v>494</v>
      </c>
      <c r="D721" s="12">
        <v>850</v>
      </c>
      <c r="E721"/>
      <c r="F721"/>
      <c r="G721"/>
      <c r="H721"/>
      <c r="I721"/>
    </row>
    <row r="722" spans="1:9" x14ac:dyDescent="0.25">
      <c r="A722" s="13">
        <v>8684</v>
      </c>
      <c r="B722" s="11" t="s">
        <v>171</v>
      </c>
      <c r="C722" s="11" t="s">
        <v>494</v>
      </c>
      <c r="D722" s="12">
        <v>850</v>
      </c>
      <c r="E722"/>
      <c r="F722"/>
      <c r="G722"/>
      <c r="H722"/>
      <c r="I722"/>
    </row>
    <row r="723" spans="1:9" x14ac:dyDescent="0.25">
      <c r="A723" s="13" t="s">
        <v>410</v>
      </c>
      <c r="B723" s="11" t="s">
        <v>171</v>
      </c>
      <c r="C723" s="11" t="s">
        <v>496</v>
      </c>
      <c r="D723" s="12">
        <v>300</v>
      </c>
      <c r="E723"/>
      <c r="F723"/>
      <c r="G723"/>
      <c r="H723"/>
      <c r="I723"/>
    </row>
    <row r="724" spans="1:9" x14ac:dyDescent="0.25">
      <c r="A724" s="13" t="s">
        <v>411</v>
      </c>
      <c r="B724" s="11" t="s">
        <v>171</v>
      </c>
      <c r="C724" s="11" t="s">
        <v>496</v>
      </c>
      <c r="D724" s="12">
        <v>350</v>
      </c>
      <c r="E724"/>
      <c r="F724"/>
      <c r="G724"/>
      <c r="H724"/>
      <c r="I724"/>
    </row>
    <row r="725" spans="1:9" x14ac:dyDescent="0.25">
      <c r="A725" s="13" t="s">
        <v>258</v>
      </c>
      <c r="B725" s="11" t="s">
        <v>171</v>
      </c>
      <c r="C725" s="11" t="s">
        <v>496</v>
      </c>
      <c r="D725" s="12">
        <v>275</v>
      </c>
      <c r="E725"/>
      <c r="F725"/>
      <c r="G725"/>
      <c r="H725"/>
      <c r="I725"/>
    </row>
    <row r="726" spans="1:9" x14ac:dyDescent="0.25">
      <c r="A726" s="13" t="s">
        <v>85</v>
      </c>
      <c r="B726" s="11" t="s">
        <v>171</v>
      </c>
      <c r="C726" s="11" t="s">
        <v>496</v>
      </c>
      <c r="D726" s="12">
        <v>475</v>
      </c>
      <c r="E726"/>
      <c r="F726"/>
      <c r="G726"/>
      <c r="H726"/>
      <c r="I726"/>
    </row>
    <row r="727" spans="1:9" x14ac:dyDescent="0.25">
      <c r="A727" s="13" t="s">
        <v>86</v>
      </c>
      <c r="B727" s="11" t="s">
        <v>171</v>
      </c>
      <c r="C727" s="11" t="s">
        <v>496</v>
      </c>
      <c r="D727" s="12">
        <v>475</v>
      </c>
      <c r="E727"/>
      <c r="F727"/>
      <c r="G727"/>
      <c r="H727"/>
      <c r="I727"/>
    </row>
    <row r="728" spans="1:9" x14ac:dyDescent="0.25">
      <c r="A728" s="13" t="s">
        <v>412</v>
      </c>
      <c r="B728" s="11" t="s">
        <v>171</v>
      </c>
      <c r="C728" s="11" t="s">
        <v>496</v>
      </c>
      <c r="D728" s="12">
        <v>475</v>
      </c>
      <c r="E728"/>
      <c r="F728"/>
      <c r="G728"/>
      <c r="H728"/>
      <c r="I728"/>
    </row>
    <row r="729" spans="1:9" x14ac:dyDescent="0.25">
      <c r="A729" s="13" t="s">
        <v>141</v>
      </c>
      <c r="B729" s="11" t="s">
        <v>171</v>
      </c>
      <c r="C729" s="11" t="s">
        <v>496</v>
      </c>
      <c r="D729" s="12">
        <v>500</v>
      </c>
      <c r="E729"/>
      <c r="F729"/>
      <c r="G729"/>
      <c r="H729"/>
      <c r="I729"/>
    </row>
    <row r="730" spans="1:9" x14ac:dyDescent="0.25">
      <c r="A730" s="13" t="s">
        <v>354</v>
      </c>
      <c r="B730" s="11" t="s">
        <v>171</v>
      </c>
      <c r="C730" s="11" t="s">
        <v>496</v>
      </c>
      <c r="D730" s="12">
        <v>400</v>
      </c>
      <c r="E730"/>
      <c r="F730"/>
      <c r="G730"/>
      <c r="H730"/>
      <c r="I730"/>
    </row>
    <row r="731" spans="1:9" x14ac:dyDescent="0.25">
      <c r="A731" s="13" t="s">
        <v>608</v>
      </c>
      <c r="B731" s="11" t="s">
        <v>171</v>
      </c>
      <c r="C731" s="11" t="s">
        <v>496</v>
      </c>
      <c r="D731" s="12">
        <v>375</v>
      </c>
      <c r="E731"/>
      <c r="F731"/>
      <c r="G731"/>
      <c r="H731"/>
      <c r="I731"/>
    </row>
    <row r="732" spans="1:9" x14ac:dyDescent="0.25">
      <c r="A732" s="13" t="s">
        <v>607</v>
      </c>
      <c r="B732" s="11" t="s">
        <v>171</v>
      </c>
      <c r="C732" s="11" t="s">
        <v>496</v>
      </c>
      <c r="D732" s="12">
        <v>375</v>
      </c>
      <c r="E732"/>
      <c r="F732"/>
      <c r="G732"/>
      <c r="H732"/>
      <c r="I732"/>
    </row>
    <row r="733" spans="1:9" x14ac:dyDescent="0.25">
      <c r="A733" s="13" t="s">
        <v>356</v>
      </c>
      <c r="B733" s="11" t="s">
        <v>171</v>
      </c>
      <c r="C733" s="11" t="s">
        <v>496</v>
      </c>
      <c r="D733" s="12">
        <v>300</v>
      </c>
      <c r="E733"/>
      <c r="F733"/>
      <c r="G733"/>
      <c r="H733"/>
      <c r="I733"/>
    </row>
    <row r="734" spans="1:9" x14ac:dyDescent="0.25">
      <c r="A734" s="13" t="s">
        <v>371</v>
      </c>
      <c r="B734" s="11" t="s">
        <v>171</v>
      </c>
      <c r="C734" s="11" t="s">
        <v>496</v>
      </c>
      <c r="D734" s="12">
        <v>350</v>
      </c>
      <c r="E734"/>
      <c r="F734"/>
      <c r="G734"/>
      <c r="H734"/>
      <c r="I734"/>
    </row>
    <row r="735" spans="1:9" x14ac:dyDescent="0.25">
      <c r="A735" s="13" t="s">
        <v>413</v>
      </c>
      <c r="B735" s="11" t="s">
        <v>171</v>
      </c>
      <c r="C735" s="11" t="s">
        <v>496</v>
      </c>
      <c r="D735" s="12">
        <v>300</v>
      </c>
      <c r="E735"/>
      <c r="F735"/>
      <c r="G735"/>
      <c r="H735"/>
      <c r="I735"/>
    </row>
    <row r="736" spans="1:9" x14ac:dyDescent="0.25">
      <c r="A736" s="13" t="s">
        <v>611</v>
      </c>
      <c r="B736" s="11" t="s">
        <v>171</v>
      </c>
      <c r="C736" s="11" t="s">
        <v>496</v>
      </c>
      <c r="D736" s="12">
        <v>425</v>
      </c>
      <c r="E736"/>
      <c r="F736"/>
      <c r="G736"/>
      <c r="H736"/>
      <c r="I736"/>
    </row>
    <row r="737" spans="1:9" x14ac:dyDescent="0.25">
      <c r="A737" s="13" t="s">
        <v>414</v>
      </c>
      <c r="B737" s="11" t="s">
        <v>171</v>
      </c>
      <c r="C737" s="11" t="s">
        <v>496</v>
      </c>
      <c r="D737" s="12">
        <v>350</v>
      </c>
      <c r="E737"/>
      <c r="F737"/>
      <c r="G737"/>
      <c r="H737"/>
      <c r="I737"/>
    </row>
    <row r="738" spans="1:9" x14ac:dyDescent="0.25">
      <c r="A738" s="13" t="s">
        <v>142</v>
      </c>
      <c r="B738" s="11" t="s">
        <v>171</v>
      </c>
      <c r="C738" s="11" t="s">
        <v>496</v>
      </c>
      <c r="D738" s="12">
        <v>400</v>
      </c>
      <c r="E738"/>
      <c r="F738"/>
      <c r="G738"/>
      <c r="H738"/>
      <c r="I738"/>
    </row>
    <row r="739" spans="1:9" x14ac:dyDescent="0.25">
      <c r="A739" s="13" t="s">
        <v>143</v>
      </c>
      <c r="B739" s="11" t="s">
        <v>171</v>
      </c>
      <c r="C739" s="11" t="s">
        <v>496</v>
      </c>
      <c r="D739" s="12">
        <v>400</v>
      </c>
      <c r="E739"/>
      <c r="F739"/>
      <c r="G739"/>
      <c r="H739"/>
      <c r="I739"/>
    </row>
    <row r="740" spans="1:9" x14ac:dyDescent="0.25">
      <c r="A740" s="13" t="s">
        <v>144</v>
      </c>
      <c r="B740" s="11" t="s">
        <v>171</v>
      </c>
      <c r="C740" s="11" t="s">
        <v>496</v>
      </c>
      <c r="D740" s="12">
        <v>375</v>
      </c>
      <c r="E740"/>
      <c r="F740"/>
      <c r="G740"/>
      <c r="H740"/>
      <c r="I740"/>
    </row>
    <row r="741" spans="1:9" x14ac:dyDescent="0.25">
      <c r="A741" s="13" t="s">
        <v>423</v>
      </c>
      <c r="B741" s="11" t="s">
        <v>171</v>
      </c>
      <c r="C741" s="11" t="s">
        <v>496</v>
      </c>
      <c r="D741" s="12">
        <v>350</v>
      </c>
      <c r="E741"/>
      <c r="F741"/>
      <c r="G741"/>
      <c r="H741"/>
      <c r="I741"/>
    </row>
    <row r="742" spans="1:9" x14ac:dyDescent="0.25">
      <c r="A742" s="13" t="s">
        <v>363</v>
      </c>
      <c r="B742" s="11" t="s">
        <v>171</v>
      </c>
      <c r="C742" s="11" t="s">
        <v>496</v>
      </c>
      <c r="D742" s="12">
        <v>400</v>
      </c>
      <c r="E742"/>
      <c r="F742"/>
      <c r="G742"/>
      <c r="H742"/>
      <c r="I742"/>
    </row>
    <row r="743" spans="1:9" x14ac:dyDescent="0.25">
      <c r="A743" s="13" t="s">
        <v>415</v>
      </c>
      <c r="B743" s="11" t="s">
        <v>171</v>
      </c>
      <c r="C743" s="11" t="s">
        <v>496</v>
      </c>
      <c r="D743" s="12">
        <v>350</v>
      </c>
      <c r="E743"/>
      <c r="F743"/>
      <c r="G743"/>
      <c r="H743"/>
      <c r="I743"/>
    </row>
    <row r="744" spans="1:9" x14ac:dyDescent="0.25">
      <c r="A744" s="13" t="s">
        <v>610</v>
      </c>
      <c r="B744" s="11" t="s">
        <v>171</v>
      </c>
      <c r="C744" s="11" t="s">
        <v>496</v>
      </c>
      <c r="D744" s="12">
        <v>325</v>
      </c>
      <c r="E744"/>
      <c r="F744"/>
      <c r="G744"/>
      <c r="H744"/>
      <c r="I744"/>
    </row>
    <row r="745" spans="1:9" x14ac:dyDescent="0.25">
      <c r="A745" s="13" t="s">
        <v>145</v>
      </c>
      <c r="B745" s="11" t="s">
        <v>171</v>
      </c>
      <c r="C745" s="11" t="s">
        <v>496</v>
      </c>
      <c r="D745" s="12">
        <v>400</v>
      </c>
      <c r="E745"/>
      <c r="F745"/>
      <c r="G745"/>
      <c r="H745"/>
      <c r="I745"/>
    </row>
    <row r="746" spans="1:9" x14ac:dyDescent="0.25">
      <c r="A746" s="13" t="s">
        <v>353</v>
      </c>
      <c r="B746" s="11" t="s">
        <v>171</v>
      </c>
      <c r="C746" s="11" t="s">
        <v>496</v>
      </c>
      <c r="D746" s="12">
        <v>400</v>
      </c>
      <c r="E746"/>
      <c r="F746"/>
      <c r="G746"/>
      <c r="H746"/>
      <c r="I746"/>
    </row>
    <row r="747" spans="1:9" x14ac:dyDescent="0.25">
      <c r="A747" s="13" t="s">
        <v>364</v>
      </c>
      <c r="B747" s="11" t="s">
        <v>171</v>
      </c>
      <c r="C747" s="11" t="s">
        <v>496</v>
      </c>
      <c r="D747" s="12">
        <v>325</v>
      </c>
      <c r="E747"/>
      <c r="F747"/>
      <c r="G747"/>
      <c r="H747"/>
      <c r="I747"/>
    </row>
    <row r="748" spans="1:9" x14ac:dyDescent="0.25">
      <c r="A748" s="13" t="s">
        <v>357</v>
      </c>
      <c r="B748" s="11" t="s">
        <v>171</v>
      </c>
      <c r="C748" s="11" t="s">
        <v>496</v>
      </c>
      <c r="D748" s="12">
        <v>400</v>
      </c>
      <c r="E748"/>
      <c r="F748"/>
      <c r="G748"/>
      <c r="H748"/>
      <c r="I748"/>
    </row>
    <row r="749" spans="1:9" x14ac:dyDescent="0.25">
      <c r="A749" s="13" t="s">
        <v>405</v>
      </c>
      <c r="B749" s="11" t="s">
        <v>171</v>
      </c>
      <c r="C749" s="11" t="s">
        <v>496</v>
      </c>
      <c r="D749" s="12">
        <v>300</v>
      </c>
      <c r="E749"/>
      <c r="F749"/>
      <c r="G749"/>
      <c r="H749"/>
      <c r="I749"/>
    </row>
    <row r="750" spans="1:9" x14ac:dyDescent="0.25">
      <c r="A750" s="13" t="s">
        <v>359</v>
      </c>
      <c r="B750" s="11" t="s">
        <v>171</v>
      </c>
      <c r="C750" s="11" t="s">
        <v>496</v>
      </c>
      <c r="D750" s="12">
        <v>375</v>
      </c>
      <c r="E750"/>
      <c r="F750"/>
      <c r="G750"/>
      <c r="H750"/>
      <c r="I750"/>
    </row>
    <row r="751" spans="1:9" x14ac:dyDescent="0.25">
      <c r="A751" s="13" t="s">
        <v>409</v>
      </c>
      <c r="B751" s="11" t="s">
        <v>171</v>
      </c>
      <c r="C751" s="11" t="s">
        <v>496</v>
      </c>
      <c r="D751" s="12">
        <v>375</v>
      </c>
      <c r="E751"/>
      <c r="F751"/>
      <c r="G751"/>
      <c r="H751"/>
      <c r="I751"/>
    </row>
    <row r="752" spans="1:9" x14ac:dyDescent="0.25">
      <c r="A752" s="13" t="s">
        <v>271</v>
      </c>
      <c r="B752" s="11" t="s">
        <v>171</v>
      </c>
      <c r="C752" s="11" t="s">
        <v>496</v>
      </c>
      <c r="D752" s="12">
        <v>400</v>
      </c>
      <c r="E752"/>
      <c r="F752"/>
      <c r="G752"/>
      <c r="H752"/>
      <c r="I752"/>
    </row>
    <row r="753" spans="1:9" x14ac:dyDescent="0.25">
      <c r="A753" s="13" t="s">
        <v>274</v>
      </c>
      <c r="B753" s="11" t="s">
        <v>171</v>
      </c>
      <c r="C753" s="11" t="s">
        <v>496</v>
      </c>
      <c r="D753" s="12">
        <v>400</v>
      </c>
      <c r="E753"/>
      <c r="F753"/>
      <c r="G753"/>
      <c r="H753"/>
      <c r="I753"/>
    </row>
    <row r="754" spans="1:9" x14ac:dyDescent="0.25">
      <c r="A754" s="13" t="s">
        <v>140</v>
      </c>
      <c r="B754" s="11" t="s">
        <v>171</v>
      </c>
      <c r="C754" s="11" t="s">
        <v>496</v>
      </c>
      <c r="D754" s="12">
        <v>400</v>
      </c>
      <c r="E754"/>
      <c r="F754"/>
      <c r="G754"/>
      <c r="H754"/>
      <c r="I754"/>
    </row>
    <row r="755" spans="1:9" x14ac:dyDescent="0.25">
      <c r="A755" s="13" t="s">
        <v>365</v>
      </c>
      <c r="B755" s="11" t="s">
        <v>171</v>
      </c>
      <c r="C755" s="11" t="s">
        <v>496</v>
      </c>
      <c r="D755" s="12">
        <v>400</v>
      </c>
      <c r="E755"/>
      <c r="F755"/>
      <c r="G755"/>
      <c r="H755"/>
      <c r="I755"/>
    </row>
    <row r="756" spans="1:9" x14ac:dyDescent="0.25">
      <c r="A756" s="13" t="s">
        <v>270</v>
      </c>
      <c r="B756" s="11" t="s">
        <v>171</v>
      </c>
      <c r="C756" s="11" t="s">
        <v>496</v>
      </c>
      <c r="D756" s="12">
        <v>375</v>
      </c>
      <c r="E756"/>
      <c r="F756"/>
      <c r="G756"/>
      <c r="H756"/>
      <c r="I756"/>
    </row>
    <row r="757" spans="1:9" x14ac:dyDescent="0.25">
      <c r="A757" s="13" t="s">
        <v>352</v>
      </c>
      <c r="B757" s="11" t="s">
        <v>171</v>
      </c>
      <c r="C757" s="11" t="s">
        <v>496</v>
      </c>
      <c r="D757" s="12">
        <v>350</v>
      </c>
      <c r="E757"/>
      <c r="F757"/>
      <c r="G757"/>
      <c r="H757"/>
      <c r="I757"/>
    </row>
    <row r="758" spans="1:9" x14ac:dyDescent="0.25">
      <c r="A758" s="13" t="s">
        <v>416</v>
      </c>
      <c r="B758" s="11" t="s">
        <v>171</v>
      </c>
      <c r="C758" s="11" t="s">
        <v>496</v>
      </c>
      <c r="D758" s="12">
        <v>300</v>
      </c>
      <c r="E758"/>
      <c r="F758"/>
      <c r="G758"/>
      <c r="H758"/>
      <c r="I758"/>
    </row>
    <row r="759" spans="1:9" x14ac:dyDescent="0.25">
      <c r="A759" s="13" t="s">
        <v>361</v>
      </c>
      <c r="B759" s="11" t="s">
        <v>171</v>
      </c>
      <c r="C759" s="11" t="s">
        <v>496</v>
      </c>
      <c r="D759" s="12">
        <v>350</v>
      </c>
      <c r="E759"/>
      <c r="F759"/>
      <c r="G759"/>
      <c r="H759"/>
      <c r="I759"/>
    </row>
    <row r="760" spans="1:9" x14ac:dyDescent="0.25">
      <c r="A760" s="13" t="s">
        <v>406</v>
      </c>
      <c r="B760" s="11" t="s">
        <v>171</v>
      </c>
      <c r="C760" s="11" t="s">
        <v>496</v>
      </c>
      <c r="D760" s="12">
        <v>350</v>
      </c>
      <c r="E760"/>
      <c r="F760"/>
      <c r="G760"/>
      <c r="H760"/>
      <c r="I760"/>
    </row>
    <row r="761" spans="1:9" x14ac:dyDescent="0.25">
      <c r="A761" s="13" t="s">
        <v>355</v>
      </c>
      <c r="B761" s="11" t="s">
        <v>171</v>
      </c>
      <c r="C761" s="11" t="s">
        <v>496</v>
      </c>
      <c r="D761" s="12">
        <v>375</v>
      </c>
      <c r="E761"/>
      <c r="F761"/>
      <c r="G761"/>
      <c r="H761"/>
      <c r="I761"/>
    </row>
    <row r="762" spans="1:9" x14ac:dyDescent="0.25">
      <c r="A762" s="13" t="s">
        <v>369</v>
      </c>
      <c r="B762" s="11" t="s">
        <v>171</v>
      </c>
      <c r="C762" s="11" t="s">
        <v>496</v>
      </c>
      <c r="D762" s="12">
        <v>275</v>
      </c>
      <c r="E762"/>
      <c r="F762"/>
      <c r="G762"/>
      <c r="H762"/>
      <c r="I762"/>
    </row>
    <row r="763" spans="1:9" x14ac:dyDescent="0.25">
      <c r="A763" s="13" t="s">
        <v>417</v>
      </c>
      <c r="B763" s="11" t="s">
        <v>171</v>
      </c>
      <c r="C763" s="11" t="s">
        <v>496</v>
      </c>
      <c r="D763" s="12">
        <v>375</v>
      </c>
      <c r="E763"/>
      <c r="F763"/>
      <c r="G763"/>
      <c r="H763"/>
      <c r="I763"/>
    </row>
    <row r="764" spans="1:9" x14ac:dyDescent="0.25">
      <c r="A764" s="13" t="s">
        <v>418</v>
      </c>
      <c r="B764" s="11" t="s">
        <v>171</v>
      </c>
      <c r="C764" s="11" t="s">
        <v>496</v>
      </c>
      <c r="D764" s="12">
        <v>375</v>
      </c>
      <c r="E764"/>
      <c r="F764"/>
      <c r="G764"/>
      <c r="H764"/>
      <c r="I764"/>
    </row>
    <row r="765" spans="1:9" x14ac:dyDescent="0.25">
      <c r="A765" s="13" t="s">
        <v>419</v>
      </c>
      <c r="B765" s="11" t="s">
        <v>171</v>
      </c>
      <c r="C765" s="11" t="s">
        <v>496</v>
      </c>
      <c r="D765" s="12">
        <v>300</v>
      </c>
      <c r="E765"/>
      <c r="F765"/>
      <c r="G765"/>
      <c r="H765"/>
      <c r="I765"/>
    </row>
    <row r="766" spans="1:9" x14ac:dyDescent="0.25">
      <c r="A766" s="13" t="s">
        <v>612</v>
      </c>
      <c r="B766" s="11" t="s">
        <v>171</v>
      </c>
      <c r="C766" s="11" t="s">
        <v>496</v>
      </c>
      <c r="D766" s="12">
        <v>400</v>
      </c>
      <c r="E766"/>
      <c r="F766"/>
      <c r="G766"/>
      <c r="H766"/>
      <c r="I766"/>
    </row>
    <row r="767" spans="1:9" x14ac:dyDescent="0.25">
      <c r="A767" s="13" t="s">
        <v>349</v>
      </c>
      <c r="B767" s="11" t="s">
        <v>171</v>
      </c>
      <c r="C767" s="11" t="s">
        <v>496</v>
      </c>
      <c r="D767" s="12">
        <v>450</v>
      </c>
      <c r="E767"/>
      <c r="F767"/>
      <c r="G767"/>
      <c r="H767"/>
      <c r="I767"/>
    </row>
    <row r="768" spans="1:9" x14ac:dyDescent="0.25">
      <c r="A768" s="13" t="s">
        <v>596</v>
      </c>
      <c r="B768" s="11" t="s">
        <v>171</v>
      </c>
      <c r="C768" s="11" t="s">
        <v>496</v>
      </c>
      <c r="D768" s="12">
        <v>400</v>
      </c>
      <c r="E768"/>
      <c r="F768"/>
      <c r="G768"/>
      <c r="H768"/>
      <c r="I768"/>
    </row>
    <row r="769" spans="1:9" x14ac:dyDescent="0.25">
      <c r="A769" s="13" t="s">
        <v>350</v>
      </c>
      <c r="B769" s="11" t="s">
        <v>171</v>
      </c>
      <c r="C769" s="11" t="s">
        <v>496</v>
      </c>
      <c r="D769" s="12">
        <v>475</v>
      </c>
      <c r="E769"/>
      <c r="F769"/>
      <c r="G769"/>
      <c r="H769"/>
      <c r="I769"/>
    </row>
    <row r="770" spans="1:9" x14ac:dyDescent="0.25">
      <c r="A770" s="13" t="s">
        <v>264</v>
      </c>
      <c r="B770" s="11" t="s">
        <v>171</v>
      </c>
      <c r="C770" s="11" t="s">
        <v>496</v>
      </c>
      <c r="D770" s="12">
        <v>300</v>
      </c>
      <c r="E770"/>
      <c r="F770"/>
      <c r="G770"/>
      <c r="H770"/>
      <c r="I770"/>
    </row>
    <row r="771" spans="1:9" x14ac:dyDescent="0.25">
      <c r="A771" s="13" t="s">
        <v>272</v>
      </c>
      <c r="B771" s="11" t="s">
        <v>171</v>
      </c>
      <c r="C771" s="11" t="s">
        <v>496</v>
      </c>
      <c r="D771" s="12">
        <v>375</v>
      </c>
      <c r="E771"/>
      <c r="F771"/>
      <c r="G771"/>
      <c r="H771"/>
      <c r="I771"/>
    </row>
    <row r="772" spans="1:9" x14ac:dyDescent="0.25">
      <c r="A772" s="13" t="s">
        <v>273</v>
      </c>
      <c r="B772" s="11" t="s">
        <v>171</v>
      </c>
      <c r="C772" s="11" t="s">
        <v>496</v>
      </c>
      <c r="D772" s="12">
        <v>375</v>
      </c>
      <c r="E772"/>
      <c r="F772"/>
      <c r="G772"/>
      <c r="H772"/>
      <c r="I772"/>
    </row>
    <row r="773" spans="1:9" x14ac:dyDescent="0.25">
      <c r="A773" s="13" t="s">
        <v>367</v>
      </c>
      <c r="B773" s="11" t="s">
        <v>171</v>
      </c>
      <c r="C773" s="11" t="s">
        <v>496</v>
      </c>
      <c r="D773" s="12">
        <v>425</v>
      </c>
      <c r="E773"/>
      <c r="F773"/>
      <c r="G773"/>
      <c r="H773"/>
      <c r="I773"/>
    </row>
    <row r="774" spans="1:9" x14ac:dyDescent="0.25">
      <c r="A774" s="13" t="s">
        <v>601</v>
      </c>
      <c r="B774" s="11" t="s">
        <v>171</v>
      </c>
      <c r="C774" s="11" t="s">
        <v>496</v>
      </c>
      <c r="D774" s="12">
        <v>400</v>
      </c>
      <c r="E774"/>
      <c r="F774"/>
      <c r="G774"/>
      <c r="H774"/>
      <c r="I774"/>
    </row>
    <row r="775" spans="1:9" x14ac:dyDescent="0.25">
      <c r="A775" s="13" t="s">
        <v>358</v>
      </c>
      <c r="B775" s="11" t="s">
        <v>171</v>
      </c>
      <c r="C775" s="11" t="s">
        <v>496</v>
      </c>
      <c r="D775" s="12">
        <v>425</v>
      </c>
      <c r="E775"/>
      <c r="F775"/>
      <c r="G775"/>
      <c r="H775"/>
      <c r="I775"/>
    </row>
    <row r="776" spans="1:9" x14ac:dyDescent="0.25">
      <c r="A776" s="13" t="s">
        <v>420</v>
      </c>
      <c r="B776" s="11" t="s">
        <v>171</v>
      </c>
      <c r="C776" s="11" t="s">
        <v>496</v>
      </c>
      <c r="D776" s="12">
        <v>300</v>
      </c>
      <c r="E776"/>
      <c r="F776"/>
      <c r="G776"/>
      <c r="H776"/>
      <c r="I776"/>
    </row>
    <row r="777" spans="1:9" x14ac:dyDescent="0.25">
      <c r="A777" s="13" t="s">
        <v>366</v>
      </c>
      <c r="B777" s="11" t="s">
        <v>171</v>
      </c>
      <c r="C777" s="11" t="s">
        <v>496</v>
      </c>
      <c r="D777" s="12">
        <v>325</v>
      </c>
      <c r="E777"/>
      <c r="F777"/>
      <c r="G777"/>
      <c r="H777"/>
      <c r="I777"/>
    </row>
    <row r="778" spans="1:9" x14ac:dyDescent="0.25">
      <c r="A778" s="13" t="s">
        <v>599</v>
      </c>
      <c r="B778" s="11" t="s">
        <v>171</v>
      </c>
      <c r="C778" s="11" t="s">
        <v>496</v>
      </c>
      <c r="D778" s="12">
        <v>400</v>
      </c>
      <c r="E778"/>
      <c r="F778"/>
      <c r="G778"/>
      <c r="H778"/>
      <c r="I778"/>
    </row>
    <row r="779" spans="1:9" x14ac:dyDescent="0.25">
      <c r="A779" s="13" t="s">
        <v>146</v>
      </c>
      <c r="B779" s="11" t="s">
        <v>171</v>
      </c>
      <c r="C779" s="11" t="s">
        <v>496</v>
      </c>
      <c r="D779" s="12">
        <v>400</v>
      </c>
      <c r="E779"/>
      <c r="F779"/>
      <c r="G779"/>
      <c r="H779"/>
      <c r="I779"/>
    </row>
    <row r="780" spans="1:9" x14ac:dyDescent="0.25">
      <c r="A780" s="13" t="s">
        <v>147</v>
      </c>
      <c r="B780" s="11" t="s">
        <v>171</v>
      </c>
      <c r="C780" s="11" t="s">
        <v>496</v>
      </c>
      <c r="D780" s="12">
        <v>375</v>
      </c>
      <c r="E780"/>
      <c r="F780"/>
      <c r="G780"/>
      <c r="H780"/>
      <c r="I780"/>
    </row>
    <row r="781" spans="1:9" x14ac:dyDescent="0.25">
      <c r="A781" s="13" t="s">
        <v>148</v>
      </c>
      <c r="B781" s="11" t="s">
        <v>171</v>
      </c>
      <c r="C781" s="11" t="s">
        <v>496</v>
      </c>
      <c r="D781" s="12">
        <v>375</v>
      </c>
      <c r="E781"/>
      <c r="F781"/>
      <c r="G781"/>
      <c r="H781"/>
      <c r="I781"/>
    </row>
    <row r="782" spans="1:9" x14ac:dyDescent="0.25">
      <c r="A782" s="13" t="s">
        <v>149</v>
      </c>
      <c r="B782" s="11" t="s">
        <v>171</v>
      </c>
      <c r="C782" s="11" t="s">
        <v>496</v>
      </c>
      <c r="D782" s="12">
        <v>375</v>
      </c>
      <c r="E782"/>
      <c r="F782"/>
      <c r="G782"/>
      <c r="H782"/>
      <c r="I782"/>
    </row>
    <row r="783" spans="1:9" x14ac:dyDescent="0.25">
      <c r="A783" s="13" t="s">
        <v>260</v>
      </c>
      <c r="B783" s="11" t="s">
        <v>171</v>
      </c>
      <c r="C783" s="11" t="s">
        <v>496</v>
      </c>
      <c r="D783" s="12">
        <v>200</v>
      </c>
      <c r="E783"/>
      <c r="F783"/>
      <c r="G783"/>
      <c r="H783"/>
      <c r="I783"/>
    </row>
    <row r="784" spans="1:9" x14ac:dyDescent="0.25">
      <c r="A784" s="13" t="s">
        <v>348</v>
      </c>
      <c r="B784" s="11" t="s">
        <v>171</v>
      </c>
      <c r="C784" s="11" t="s">
        <v>496</v>
      </c>
      <c r="D784" s="12">
        <v>175</v>
      </c>
      <c r="E784"/>
      <c r="F784"/>
      <c r="G784"/>
      <c r="H784"/>
      <c r="I784"/>
    </row>
    <row r="785" spans="1:9" x14ac:dyDescent="0.25">
      <c r="A785" s="13" t="s">
        <v>351</v>
      </c>
      <c r="B785" s="11" t="s">
        <v>171</v>
      </c>
      <c r="C785" s="11" t="s">
        <v>496</v>
      </c>
      <c r="D785" s="12">
        <v>725</v>
      </c>
      <c r="E785"/>
      <c r="F785"/>
      <c r="G785"/>
      <c r="H785"/>
      <c r="I785"/>
    </row>
    <row r="786" spans="1:9" x14ac:dyDescent="0.25">
      <c r="A786" s="13" t="s">
        <v>368</v>
      </c>
      <c r="B786" s="11" t="s">
        <v>171</v>
      </c>
      <c r="C786" s="11" t="s">
        <v>496</v>
      </c>
      <c r="D786" s="12">
        <v>750</v>
      </c>
      <c r="E786"/>
      <c r="F786"/>
      <c r="G786"/>
      <c r="H786"/>
      <c r="I786"/>
    </row>
    <row r="787" spans="1:9" x14ac:dyDescent="0.25">
      <c r="A787" s="13" t="s">
        <v>266</v>
      </c>
      <c r="B787" s="11" t="s">
        <v>171</v>
      </c>
      <c r="C787" s="11" t="s">
        <v>496</v>
      </c>
      <c r="D787" s="12">
        <v>375</v>
      </c>
      <c r="E787"/>
      <c r="F787"/>
      <c r="G787"/>
      <c r="H787"/>
      <c r="I787"/>
    </row>
    <row r="788" spans="1:9" x14ac:dyDescent="0.25">
      <c r="A788" s="13" t="s">
        <v>268</v>
      </c>
      <c r="B788" s="11" t="s">
        <v>171</v>
      </c>
      <c r="C788" s="11" t="s">
        <v>496</v>
      </c>
      <c r="D788" s="12">
        <v>350</v>
      </c>
      <c r="E788"/>
      <c r="F788"/>
      <c r="G788"/>
      <c r="H788"/>
      <c r="I788"/>
    </row>
    <row r="789" spans="1:9" x14ac:dyDescent="0.25">
      <c r="A789" s="13" t="s">
        <v>360</v>
      </c>
      <c r="B789" s="11" t="s">
        <v>171</v>
      </c>
      <c r="C789" s="11" t="s">
        <v>496</v>
      </c>
      <c r="D789" s="12">
        <v>375</v>
      </c>
      <c r="E789"/>
      <c r="F789"/>
      <c r="G789"/>
      <c r="H789"/>
      <c r="I789"/>
    </row>
    <row r="790" spans="1:9" x14ac:dyDescent="0.25">
      <c r="A790" s="13" t="s">
        <v>275</v>
      </c>
      <c r="B790" s="11" t="s">
        <v>171</v>
      </c>
      <c r="C790" s="11" t="s">
        <v>496</v>
      </c>
      <c r="D790" s="12">
        <v>400</v>
      </c>
      <c r="E790"/>
      <c r="F790"/>
      <c r="G790"/>
      <c r="H790"/>
      <c r="I790"/>
    </row>
    <row r="791" spans="1:9" x14ac:dyDescent="0.25">
      <c r="A791" s="13" t="s">
        <v>605</v>
      </c>
      <c r="B791" s="11" t="s">
        <v>171</v>
      </c>
      <c r="C791" s="11" t="s">
        <v>496</v>
      </c>
      <c r="D791" s="12">
        <v>475</v>
      </c>
      <c r="E791"/>
      <c r="F791"/>
      <c r="G791"/>
      <c r="H791"/>
      <c r="I791"/>
    </row>
    <row r="792" spans="1:9" x14ac:dyDescent="0.25">
      <c r="A792" s="13" t="s">
        <v>262</v>
      </c>
      <c r="B792" s="11" t="s">
        <v>171</v>
      </c>
      <c r="C792" s="11" t="s">
        <v>496</v>
      </c>
      <c r="D792" s="12">
        <v>225</v>
      </c>
      <c r="E792"/>
      <c r="F792"/>
      <c r="G792"/>
      <c r="H792"/>
      <c r="I792"/>
    </row>
    <row r="793" spans="1:9" x14ac:dyDescent="0.25">
      <c r="A793" s="13" t="s">
        <v>150</v>
      </c>
      <c r="B793" s="11" t="s">
        <v>171</v>
      </c>
      <c r="C793" s="11" t="s">
        <v>496</v>
      </c>
      <c r="D793" s="12">
        <v>400</v>
      </c>
      <c r="E793"/>
      <c r="F793"/>
      <c r="G793"/>
      <c r="H793"/>
      <c r="I793"/>
    </row>
    <row r="794" spans="1:9" x14ac:dyDescent="0.25">
      <c r="A794" s="13" t="s">
        <v>593</v>
      </c>
      <c r="B794" s="11" t="s">
        <v>171</v>
      </c>
      <c r="C794" s="11" t="s">
        <v>496</v>
      </c>
      <c r="D794" s="12">
        <v>300</v>
      </c>
      <c r="E794"/>
      <c r="F794"/>
      <c r="G794"/>
      <c r="H794"/>
      <c r="I794"/>
    </row>
    <row r="795" spans="1:9" x14ac:dyDescent="0.25">
      <c r="A795" s="13" t="s">
        <v>594</v>
      </c>
      <c r="B795" s="11" t="s">
        <v>171</v>
      </c>
      <c r="C795" s="11" t="s">
        <v>496</v>
      </c>
      <c r="D795" s="12">
        <v>300</v>
      </c>
      <c r="E795"/>
      <c r="F795"/>
      <c r="G795"/>
      <c r="H795"/>
      <c r="I795"/>
    </row>
    <row r="796" spans="1:9" x14ac:dyDescent="0.25">
      <c r="A796" s="13" t="s">
        <v>592</v>
      </c>
      <c r="B796" s="11" t="s">
        <v>171</v>
      </c>
      <c r="C796" s="11" t="s">
        <v>496</v>
      </c>
      <c r="D796" s="12">
        <v>425</v>
      </c>
      <c r="E796"/>
      <c r="F796"/>
      <c r="G796"/>
      <c r="H796"/>
      <c r="I796"/>
    </row>
    <row r="797" spans="1:9" x14ac:dyDescent="0.25">
      <c r="A797" s="13" t="s">
        <v>590</v>
      </c>
      <c r="B797" s="11" t="s">
        <v>171</v>
      </c>
      <c r="C797" s="11" t="s">
        <v>496</v>
      </c>
      <c r="D797" s="12">
        <v>350</v>
      </c>
      <c r="E797"/>
      <c r="F797"/>
      <c r="G797"/>
      <c r="H797"/>
      <c r="I797"/>
    </row>
    <row r="798" spans="1:9" x14ac:dyDescent="0.25">
      <c r="A798" s="13" t="s">
        <v>591</v>
      </c>
      <c r="B798" s="11" t="s">
        <v>171</v>
      </c>
      <c r="C798" s="11" t="s">
        <v>496</v>
      </c>
      <c r="D798" s="12">
        <v>300</v>
      </c>
      <c r="E798"/>
      <c r="F798"/>
      <c r="G798"/>
      <c r="H798"/>
      <c r="I798"/>
    </row>
    <row r="799" spans="1:9" x14ac:dyDescent="0.25">
      <c r="A799" s="13" t="s">
        <v>586</v>
      </c>
      <c r="B799" s="11" t="s">
        <v>171</v>
      </c>
      <c r="C799" s="11" t="s">
        <v>496</v>
      </c>
      <c r="D799" s="12">
        <v>400</v>
      </c>
      <c r="E799"/>
      <c r="F799"/>
      <c r="G799"/>
      <c r="H799"/>
      <c r="I799"/>
    </row>
    <row r="800" spans="1:9" x14ac:dyDescent="0.25">
      <c r="A800" s="13" t="s">
        <v>585</v>
      </c>
      <c r="B800" s="11" t="s">
        <v>171</v>
      </c>
      <c r="C800" s="11" t="s">
        <v>496</v>
      </c>
      <c r="D800" s="12">
        <v>375</v>
      </c>
      <c r="E800"/>
      <c r="F800"/>
      <c r="G800"/>
      <c r="H800"/>
      <c r="I800"/>
    </row>
    <row r="801" spans="1:9" x14ac:dyDescent="0.25">
      <c r="A801" s="13" t="s">
        <v>589</v>
      </c>
      <c r="B801" s="11" t="s">
        <v>171</v>
      </c>
      <c r="C801" s="11" t="s">
        <v>496</v>
      </c>
      <c r="D801" s="12">
        <v>300</v>
      </c>
      <c r="E801"/>
      <c r="F801"/>
      <c r="G801"/>
      <c r="H801"/>
      <c r="I801"/>
    </row>
    <row r="802" spans="1:9" x14ac:dyDescent="0.25">
      <c r="A802" s="13" t="s">
        <v>588</v>
      </c>
      <c r="B802" s="11" t="s">
        <v>171</v>
      </c>
      <c r="C802" s="11" t="s">
        <v>496</v>
      </c>
      <c r="D802" s="12">
        <v>300</v>
      </c>
      <c r="E802"/>
      <c r="F802"/>
      <c r="G802"/>
      <c r="H802"/>
      <c r="I802"/>
    </row>
    <row r="803" spans="1:9" x14ac:dyDescent="0.25">
      <c r="A803" s="13" t="s">
        <v>587</v>
      </c>
      <c r="B803" s="11" t="s">
        <v>171</v>
      </c>
      <c r="C803" s="11" t="s">
        <v>496</v>
      </c>
      <c r="D803" s="12">
        <v>350</v>
      </c>
      <c r="E803"/>
      <c r="F803"/>
      <c r="G803"/>
      <c r="H803"/>
      <c r="I803"/>
    </row>
    <row r="804" spans="1:9" x14ac:dyDescent="0.25">
      <c r="A804" s="13" t="s">
        <v>649</v>
      </c>
      <c r="B804" s="11" t="s">
        <v>162</v>
      </c>
      <c r="C804" s="11" t="s">
        <v>701</v>
      </c>
      <c r="D804" s="12">
        <v>1250</v>
      </c>
      <c r="E804"/>
      <c r="F804"/>
      <c r="G804"/>
      <c r="H804"/>
      <c r="I804"/>
    </row>
    <row r="805" spans="1:9" x14ac:dyDescent="0.25">
      <c r="A805" s="13" t="s">
        <v>676</v>
      </c>
      <c r="B805" s="11" t="s">
        <v>162</v>
      </c>
      <c r="C805" s="11" t="s">
        <v>702</v>
      </c>
      <c r="D805" s="12">
        <v>1225</v>
      </c>
      <c r="E805"/>
      <c r="F805"/>
      <c r="G805"/>
      <c r="H805"/>
      <c r="I805"/>
    </row>
    <row r="806" spans="1:9" x14ac:dyDescent="0.25">
      <c r="A806" s="13" t="s">
        <v>666</v>
      </c>
      <c r="B806" s="11" t="s">
        <v>162</v>
      </c>
      <c r="C806" s="11" t="s">
        <v>701</v>
      </c>
      <c r="D806" s="12">
        <v>1120</v>
      </c>
      <c r="E806"/>
      <c r="F806"/>
      <c r="G806"/>
      <c r="H806"/>
      <c r="I806"/>
    </row>
    <row r="807" spans="1:9" x14ac:dyDescent="0.25">
      <c r="A807" s="13" t="s">
        <v>617</v>
      </c>
      <c r="B807" s="11" t="s">
        <v>162</v>
      </c>
      <c r="C807" s="11" t="s">
        <v>702</v>
      </c>
      <c r="D807" s="12">
        <v>7700</v>
      </c>
      <c r="E807"/>
      <c r="F807"/>
      <c r="G807"/>
      <c r="H807"/>
      <c r="I807"/>
    </row>
    <row r="808" spans="1:9" x14ac:dyDescent="0.25">
      <c r="A808" s="13" t="s">
        <v>619</v>
      </c>
      <c r="B808" s="11" t="s">
        <v>162</v>
      </c>
      <c r="C808" s="11" t="s">
        <v>702</v>
      </c>
      <c r="D808" s="12">
        <v>6650</v>
      </c>
      <c r="E808"/>
      <c r="F808"/>
      <c r="G808"/>
      <c r="H808"/>
      <c r="I808"/>
    </row>
    <row r="809" spans="1:9" x14ac:dyDescent="0.25">
      <c r="A809" s="13" t="s">
        <v>621</v>
      </c>
      <c r="B809" s="11" t="s">
        <v>162</v>
      </c>
      <c r="C809" s="11" t="s">
        <v>702</v>
      </c>
      <c r="D809" s="12">
        <v>5800</v>
      </c>
      <c r="E809"/>
      <c r="F809"/>
      <c r="G809"/>
      <c r="H809"/>
      <c r="I809"/>
    </row>
    <row r="810" spans="1:9" x14ac:dyDescent="0.25">
      <c r="A810" s="13" t="s">
        <v>630</v>
      </c>
      <c r="B810" s="11" t="s">
        <v>162</v>
      </c>
      <c r="C810" s="11" t="s">
        <v>702</v>
      </c>
      <c r="D810" s="12">
        <v>3800</v>
      </c>
      <c r="E810"/>
      <c r="F810"/>
      <c r="G810"/>
      <c r="H810"/>
      <c r="I810"/>
    </row>
    <row r="811" spans="1:9" x14ac:dyDescent="0.25">
      <c r="A811" s="13" t="s">
        <v>652</v>
      </c>
      <c r="B811" s="11" t="s">
        <v>162</v>
      </c>
      <c r="C811" s="11" t="s">
        <v>701</v>
      </c>
      <c r="D811" s="12">
        <v>1210</v>
      </c>
      <c r="E811"/>
      <c r="F811"/>
      <c r="G811"/>
      <c r="H811"/>
      <c r="I811"/>
    </row>
    <row r="812" spans="1:9" x14ac:dyDescent="0.25">
      <c r="A812" s="13" t="s">
        <v>942</v>
      </c>
      <c r="B812" s="11" t="s">
        <v>162</v>
      </c>
      <c r="C812" s="11" t="s">
        <v>702</v>
      </c>
      <c r="D812" s="12">
        <v>2025</v>
      </c>
      <c r="E812"/>
      <c r="F812"/>
      <c r="G812"/>
      <c r="H812"/>
      <c r="I812"/>
    </row>
    <row r="813" spans="1:9" x14ac:dyDescent="0.25">
      <c r="A813" s="13" t="s">
        <v>164</v>
      </c>
      <c r="B813" s="11" t="s">
        <v>162</v>
      </c>
      <c r="C813" s="11" t="s">
        <v>702</v>
      </c>
      <c r="D813" s="12">
        <v>1300</v>
      </c>
      <c r="E813"/>
      <c r="F813"/>
      <c r="G813"/>
      <c r="H813"/>
      <c r="I813"/>
    </row>
    <row r="814" spans="1:9" x14ac:dyDescent="0.25">
      <c r="A814" s="13" t="s">
        <v>646</v>
      </c>
      <c r="B814" s="11" t="s">
        <v>162</v>
      </c>
      <c r="C814" s="11" t="s">
        <v>701</v>
      </c>
      <c r="D814" s="12">
        <v>1225</v>
      </c>
      <c r="E814"/>
      <c r="F814"/>
      <c r="G814"/>
      <c r="H814"/>
      <c r="I814"/>
    </row>
    <row r="815" spans="1:9" x14ac:dyDescent="0.25">
      <c r="A815" s="13" t="s">
        <v>654</v>
      </c>
      <c r="B815" s="11" t="s">
        <v>162</v>
      </c>
      <c r="C815" s="11" t="s">
        <v>701</v>
      </c>
      <c r="D815" s="12">
        <v>1135</v>
      </c>
      <c r="E815"/>
      <c r="F815"/>
      <c r="G815"/>
      <c r="H815"/>
      <c r="I815"/>
    </row>
    <row r="816" spans="1:9" x14ac:dyDescent="0.25">
      <c r="A816" s="13" t="s">
        <v>943</v>
      </c>
      <c r="B816" s="11" t="s">
        <v>162</v>
      </c>
      <c r="C816" s="11" t="s">
        <v>702</v>
      </c>
      <c r="D816" s="12">
        <v>2500</v>
      </c>
      <c r="E816"/>
      <c r="F816"/>
      <c r="G816"/>
      <c r="H816"/>
      <c r="I816"/>
    </row>
    <row r="817" spans="1:9" x14ac:dyDescent="0.25">
      <c r="A817" s="13" t="s">
        <v>669</v>
      </c>
      <c r="B817" s="11" t="s">
        <v>162</v>
      </c>
      <c r="C817" s="11" t="s">
        <v>701</v>
      </c>
      <c r="D817" s="12">
        <v>1265</v>
      </c>
      <c r="E817"/>
      <c r="F817"/>
      <c r="G817"/>
      <c r="H817"/>
      <c r="I817"/>
    </row>
    <row r="818" spans="1:9" x14ac:dyDescent="0.25">
      <c r="A818" s="13" t="s">
        <v>298</v>
      </c>
      <c r="B818" s="11" t="s">
        <v>162</v>
      </c>
      <c r="C818" s="11" t="s">
        <v>701</v>
      </c>
      <c r="D818" s="12">
        <v>810</v>
      </c>
      <c r="E818"/>
      <c r="F818"/>
      <c r="G818"/>
      <c r="H818"/>
      <c r="I818"/>
    </row>
    <row r="819" spans="1:9" x14ac:dyDescent="0.25">
      <c r="A819" s="13" t="s">
        <v>299</v>
      </c>
      <c r="B819" s="11" t="s">
        <v>162</v>
      </c>
      <c r="C819" s="11" t="s">
        <v>701</v>
      </c>
      <c r="D819" s="12">
        <v>810</v>
      </c>
      <c r="E819"/>
      <c r="F819"/>
      <c r="G819"/>
      <c r="H819"/>
      <c r="I819"/>
    </row>
    <row r="820" spans="1:9" x14ac:dyDescent="0.25">
      <c r="A820" s="13" t="s">
        <v>300</v>
      </c>
      <c r="B820" s="11" t="s">
        <v>162</v>
      </c>
      <c r="C820" s="11" t="s">
        <v>701</v>
      </c>
      <c r="D820" s="12">
        <v>810</v>
      </c>
      <c r="E820"/>
      <c r="F820"/>
      <c r="G820"/>
      <c r="H820"/>
      <c r="I820"/>
    </row>
    <row r="821" spans="1:9" x14ac:dyDescent="0.25">
      <c r="A821" s="13" t="s">
        <v>301</v>
      </c>
      <c r="B821" s="11" t="s">
        <v>162</v>
      </c>
      <c r="C821" s="11" t="s">
        <v>701</v>
      </c>
      <c r="D821" s="12">
        <v>810</v>
      </c>
      <c r="E821"/>
      <c r="F821"/>
      <c r="G821"/>
      <c r="H821"/>
      <c r="I821"/>
    </row>
    <row r="822" spans="1:9" x14ac:dyDescent="0.25">
      <c r="A822" s="13" t="s">
        <v>302</v>
      </c>
      <c r="B822" s="11" t="s">
        <v>162</v>
      </c>
      <c r="C822" s="11" t="s">
        <v>701</v>
      </c>
      <c r="D822" s="12">
        <v>810</v>
      </c>
      <c r="E822"/>
      <c r="F822"/>
      <c r="G822"/>
      <c r="H822"/>
      <c r="I822"/>
    </row>
    <row r="823" spans="1:9" x14ac:dyDescent="0.25">
      <c r="A823" s="13" t="s">
        <v>306</v>
      </c>
      <c r="B823" s="11" t="s">
        <v>162</v>
      </c>
      <c r="C823" s="11" t="s">
        <v>701</v>
      </c>
      <c r="D823" s="12">
        <v>1195</v>
      </c>
      <c r="E823"/>
      <c r="F823"/>
      <c r="G823"/>
      <c r="H823"/>
      <c r="I823"/>
    </row>
    <row r="824" spans="1:9" x14ac:dyDescent="0.25">
      <c r="A824" s="13" t="s">
        <v>307</v>
      </c>
      <c r="B824" s="11" t="s">
        <v>162</v>
      </c>
      <c r="C824" s="11" t="s">
        <v>701</v>
      </c>
      <c r="D824" s="12">
        <v>1195</v>
      </c>
      <c r="E824"/>
      <c r="F824"/>
      <c r="G824"/>
      <c r="H824"/>
      <c r="I824"/>
    </row>
    <row r="825" spans="1:9" x14ac:dyDescent="0.25">
      <c r="A825" s="13" t="s">
        <v>308</v>
      </c>
      <c r="B825" s="11" t="s">
        <v>162</v>
      </c>
      <c r="C825" s="11" t="s">
        <v>701</v>
      </c>
      <c r="D825" s="12">
        <v>1195</v>
      </c>
      <c r="E825"/>
      <c r="F825"/>
      <c r="G825"/>
      <c r="H825"/>
      <c r="I825"/>
    </row>
    <row r="826" spans="1:9" x14ac:dyDescent="0.25">
      <c r="A826" s="13" t="s">
        <v>309</v>
      </c>
      <c r="B826" s="11" t="s">
        <v>162</v>
      </c>
      <c r="C826" s="11" t="s">
        <v>701</v>
      </c>
      <c r="D826" s="12">
        <v>1195</v>
      </c>
      <c r="E826"/>
      <c r="F826"/>
      <c r="G826"/>
      <c r="H826"/>
      <c r="I826"/>
    </row>
    <row r="827" spans="1:9" x14ac:dyDescent="0.25">
      <c r="A827" s="13" t="s">
        <v>310</v>
      </c>
      <c r="B827" s="11" t="s">
        <v>162</v>
      </c>
      <c r="C827" s="11" t="s">
        <v>701</v>
      </c>
      <c r="D827" s="12">
        <v>1195</v>
      </c>
      <c r="E827"/>
      <c r="F827"/>
      <c r="G827"/>
      <c r="H827"/>
      <c r="I827"/>
    </row>
    <row r="828" spans="1:9" x14ac:dyDescent="0.25">
      <c r="A828" s="13" t="s">
        <v>303</v>
      </c>
      <c r="B828" s="11" t="s">
        <v>162</v>
      </c>
      <c r="C828" s="11" t="s">
        <v>701</v>
      </c>
      <c r="D828" s="12">
        <v>1195</v>
      </c>
      <c r="E828"/>
      <c r="F828"/>
      <c r="G828"/>
      <c r="H828"/>
      <c r="I828"/>
    </row>
    <row r="829" spans="1:9" x14ac:dyDescent="0.25">
      <c r="A829" s="13" t="s">
        <v>311</v>
      </c>
      <c r="B829" s="11" t="s">
        <v>162</v>
      </c>
      <c r="C829" s="11" t="s">
        <v>701</v>
      </c>
      <c r="D829" s="12">
        <v>1195</v>
      </c>
      <c r="E829"/>
      <c r="F829"/>
      <c r="G829"/>
      <c r="H829"/>
      <c r="I829"/>
    </row>
    <row r="830" spans="1:9" x14ac:dyDescent="0.25">
      <c r="A830" s="13" t="s">
        <v>304</v>
      </c>
      <c r="B830" s="11" t="s">
        <v>162</v>
      </c>
      <c r="C830" s="11" t="s">
        <v>701</v>
      </c>
      <c r="D830" s="12">
        <v>1195</v>
      </c>
      <c r="E830"/>
      <c r="F830"/>
      <c r="G830"/>
      <c r="H830"/>
      <c r="I830"/>
    </row>
    <row r="831" spans="1:9" x14ac:dyDescent="0.25">
      <c r="A831" s="13" t="s">
        <v>305</v>
      </c>
      <c r="B831" s="11" t="s">
        <v>162</v>
      </c>
      <c r="C831" s="11" t="s">
        <v>701</v>
      </c>
      <c r="D831" s="12">
        <v>1195</v>
      </c>
      <c r="E831"/>
      <c r="F831"/>
      <c r="G831"/>
      <c r="H831"/>
      <c r="I831"/>
    </row>
    <row r="832" spans="1:9" x14ac:dyDescent="0.25">
      <c r="A832" s="13" t="s">
        <v>688</v>
      </c>
      <c r="B832" s="11" t="s">
        <v>162</v>
      </c>
      <c r="C832" s="11" t="s">
        <v>702</v>
      </c>
      <c r="D832" s="12">
        <v>1525</v>
      </c>
      <c r="E832"/>
      <c r="F832"/>
      <c r="G832"/>
      <c r="H832"/>
      <c r="I832"/>
    </row>
    <row r="833" spans="1:9" x14ac:dyDescent="0.25">
      <c r="A833" s="13" t="s">
        <v>333</v>
      </c>
      <c r="B833" s="11" t="s">
        <v>162</v>
      </c>
      <c r="C833" s="11" t="s">
        <v>702</v>
      </c>
      <c r="D833" s="12">
        <v>5200</v>
      </c>
      <c r="E833"/>
      <c r="F833"/>
      <c r="G833"/>
      <c r="H833"/>
      <c r="I833"/>
    </row>
    <row r="834" spans="1:9" x14ac:dyDescent="0.25">
      <c r="A834" s="13" t="s">
        <v>324</v>
      </c>
      <c r="B834" s="11" t="s">
        <v>162</v>
      </c>
      <c r="C834" s="11" t="s">
        <v>702</v>
      </c>
      <c r="D834" s="12">
        <v>7450</v>
      </c>
      <c r="E834"/>
      <c r="F834"/>
      <c r="G834"/>
      <c r="H834"/>
      <c r="I834"/>
    </row>
    <row r="835" spans="1:9" x14ac:dyDescent="0.25">
      <c r="A835" s="13" t="s">
        <v>671</v>
      </c>
      <c r="B835" s="11" t="s">
        <v>162</v>
      </c>
      <c r="C835" s="11" t="s">
        <v>701</v>
      </c>
      <c r="D835" s="12">
        <v>1010</v>
      </c>
      <c r="E835"/>
      <c r="F835"/>
      <c r="G835"/>
      <c r="H835"/>
      <c r="I835"/>
    </row>
    <row r="836" spans="1:9" x14ac:dyDescent="0.25">
      <c r="A836" s="13" t="s">
        <v>665</v>
      </c>
      <c r="B836" s="11" t="s">
        <v>162</v>
      </c>
      <c r="C836" s="11" t="s">
        <v>701</v>
      </c>
      <c r="D836" s="12">
        <v>1120</v>
      </c>
      <c r="E836"/>
      <c r="F836"/>
      <c r="G836"/>
      <c r="H836"/>
      <c r="I836"/>
    </row>
    <row r="837" spans="1:9" x14ac:dyDescent="0.25">
      <c r="A837" s="13" t="s">
        <v>322</v>
      </c>
      <c r="B837" s="11" t="s">
        <v>162</v>
      </c>
      <c r="C837" s="11" t="s">
        <v>702</v>
      </c>
      <c r="D837" s="12">
        <v>1325</v>
      </c>
      <c r="E837"/>
      <c r="F837"/>
      <c r="G837"/>
      <c r="H837"/>
      <c r="I837"/>
    </row>
    <row r="838" spans="1:9" x14ac:dyDescent="0.25">
      <c r="A838" s="13" t="s">
        <v>653</v>
      </c>
      <c r="B838" s="11" t="s">
        <v>162</v>
      </c>
      <c r="C838" s="11" t="s">
        <v>701</v>
      </c>
      <c r="D838" s="12">
        <v>1250</v>
      </c>
      <c r="E838"/>
      <c r="F838"/>
      <c r="G838"/>
      <c r="H838"/>
      <c r="I838"/>
    </row>
    <row r="839" spans="1:9" x14ac:dyDescent="0.25">
      <c r="A839" s="13" t="s">
        <v>667</v>
      </c>
      <c r="B839" s="11" t="s">
        <v>162</v>
      </c>
      <c r="C839" s="11" t="s">
        <v>701</v>
      </c>
      <c r="D839" s="12">
        <v>1120</v>
      </c>
      <c r="E839"/>
      <c r="F839"/>
      <c r="G839"/>
      <c r="H839"/>
      <c r="I839"/>
    </row>
    <row r="840" spans="1:9" x14ac:dyDescent="0.25">
      <c r="A840" s="13" t="s">
        <v>678</v>
      </c>
      <c r="B840" s="11" t="s">
        <v>162</v>
      </c>
      <c r="C840" s="11" t="s">
        <v>702</v>
      </c>
      <c r="D840" s="12">
        <v>1450</v>
      </c>
      <c r="E840"/>
      <c r="F840"/>
      <c r="G840"/>
      <c r="H840"/>
      <c r="I840"/>
    </row>
    <row r="841" spans="1:9" x14ac:dyDescent="0.25">
      <c r="A841" s="13" t="s">
        <v>674</v>
      </c>
      <c r="B841" s="11" t="s">
        <v>162</v>
      </c>
      <c r="C841" s="11" t="s">
        <v>702</v>
      </c>
      <c r="D841" s="12">
        <v>1050</v>
      </c>
      <c r="E841"/>
      <c r="F841"/>
      <c r="G841"/>
      <c r="H841"/>
      <c r="I841"/>
    </row>
    <row r="842" spans="1:9" x14ac:dyDescent="0.25">
      <c r="A842" s="13" t="s">
        <v>334</v>
      </c>
      <c r="B842" s="11" t="s">
        <v>162</v>
      </c>
      <c r="C842" s="11" t="s">
        <v>701</v>
      </c>
      <c r="D842" s="12">
        <v>665</v>
      </c>
      <c r="E842"/>
      <c r="F842"/>
      <c r="G842"/>
      <c r="H842"/>
      <c r="I842"/>
    </row>
    <row r="843" spans="1:9" x14ac:dyDescent="0.25">
      <c r="A843" s="13" t="s">
        <v>320</v>
      </c>
      <c r="B843" s="11" t="s">
        <v>162</v>
      </c>
      <c r="C843" s="11" t="s">
        <v>702</v>
      </c>
      <c r="D843" s="12">
        <v>1525</v>
      </c>
      <c r="E843"/>
      <c r="F843"/>
      <c r="G843"/>
      <c r="H843"/>
      <c r="I843"/>
    </row>
    <row r="844" spans="1:9" x14ac:dyDescent="0.25">
      <c r="A844" s="13" t="s">
        <v>340</v>
      </c>
      <c r="B844" s="11" t="s">
        <v>162</v>
      </c>
      <c r="C844" s="11" t="s">
        <v>701</v>
      </c>
      <c r="D844" s="12">
        <v>1225</v>
      </c>
      <c r="E844"/>
      <c r="F844"/>
      <c r="G844"/>
      <c r="H844"/>
      <c r="I844"/>
    </row>
    <row r="845" spans="1:9" x14ac:dyDescent="0.25">
      <c r="A845" s="13" t="s">
        <v>336</v>
      </c>
      <c r="B845" s="11" t="s">
        <v>162</v>
      </c>
      <c r="C845" s="11" t="s">
        <v>701</v>
      </c>
      <c r="D845" s="12">
        <v>900</v>
      </c>
      <c r="E845"/>
      <c r="F845"/>
      <c r="G845"/>
      <c r="H845"/>
      <c r="I845"/>
    </row>
    <row r="846" spans="1:9" x14ac:dyDescent="0.25">
      <c r="A846" s="13" t="s">
        <v>166</v>
      </c>
      <c r="B846" s="11" t="s">
        <v>162</v>
      </c>
      <c r="C846" s="11" t="s">
        <v>702</v>
      </c>
      <c r="D846" s="12">
        <v>1125</v>
      </c>
      <c r="E846"/>
      <c r="F846"/>
      <c r="G846"/>
      <c r="H846"/>
      <c r="I846"/>
    </row>
    <row r="847" spans="1:9" x14ac:dyDescent="0.25">
      <c r="A847" s="13" t="s">
        <v>165</v>
      </c>
      <c r="B847" s="11" t="s">
        <v>162</v>
      </c>
      <c r="C847" s="11" t="s">
        <v>702</v>
      </c>
      <c r="D847" s="12">
        <v>1225</v>
      </c>
      <c r="E847"/>
      <c r="F847"/>
      <c r="G847"/>
      <c r="H847"/>
      <c r="I847"/>
    </row>
    <row r="848" spans="1:9" x14ac:dyDescent="0.25">
      <c r="A848" s="13" t="s">
        <v>341</v>
      </c>
      <c r="B848" s="11" t="s">
        <v>162</v>
      </c>
      <c r="C848" s="11" t="s">
        <v>702</v>
      </c>
      <c r="D848" s="12">
        <v>1200</v>
      </c>
      <c r="E848"/>
      <c r="F848"/>
      <c r="G848"/>
      <c r="H848"/>
      <c r="I848"/>
    </row>
    <row r="849" spans="1:9" x14ac:dyDescent="0.25">
      <c r="A849" s="13" t="s">
        <v>339</v>
      </c>
      <c r="B849" s="11" t="s">
        <v>162</v>
      </c>
      <c r="C849" s="11" t="s">
        <v>701</v>
      </c>
      <c r="D849" s="12">
        <v>805</v>
      </c>
      <c r="E849"/>
      <c r="F849"/>
      <c r="G849"/>
      <c r="H849"/>
      <c r="I849"/>
    </row>
    <row r="850" spans="1:9" x14ac:dyDescent="0.25">
      <c r="A850" s="13" t="s">
        <v>338</v>
      </c>
      <c r="B850" s="11" t="s">
        <v>162</v>
      </c>
      <c r="C850" s="11" t="s">
        <v>701</v>
      </c>
      <c r="D850" s="12">
        <v>975</v>
      </c>
      <c r="E850"/>
      <c r="F850"/>
      <c r="G850"/>
      <c r="H850"/>
      <c r="I850"/>
    </row>
    <row r="851" spans="1:9" x14ac:dyDescent="0.25">
      <c r="E851"/>
      <c r="F851"/>
      <c r="G851"/>
      <c r="H851"/>
      <c r="I851"/>
    </row>
    <row r="852" spans="1:9" x14ac:dyDescent="0.25">
      <c r="A852" s="13">
        <v>5590</v>
      </c>
      <c r="D852" s="12">
        <v>275</v>
      </c>
      <c r="E852"/>
      <c r="F852"/>
      <c r="G852"/>
      <c r="H852"/>
      <c r="I852"/>
    </row>
    <row r="853" spans="1:9" x14ac:dyDescent="0.25">
      <c r="E853"/>
      <c r="F853"/>
      <c r="G853"/>
      <c r="H853"/>
      <c r="I853"/>
    </row>
    <row r="854" spans="1:9" x14ac:dyDescent="0.25">
      <c r="E854"/>
      <c r="F854"/>
      <c r="G854"/>
      <c r="H854"/>
      <c r="I854"/>
    </row>
    <row r="855" spans="1:9" x14ac:dyDescent="0.25">
      <c r="E855"/>
      <c r="F855"/>
      <c r="G855"/>
      <c r="H855"/>
      <c r="I855"/>
    </row>
    <row r="856" spans="1:9" x14ac:dyDescent="0.25">
      <c r="E856"/>
      <c r="F856"/>
      <c r="G856"/>
      <c r="H856"/>
      <c r="I856"/>
    </row>
    <row r="857" spans="1:9" x14ac:dyDescent="0.25">
      <c r="E857"/>
      <c r="F857"/>
      <c r="G857"/>
      <c r="H857"/>
      <c r="I857"/>
    </row>
    <row r="858" spans="1:9" x14ac:dyDescent="0.25">
      <c r="E858"/>
      <c r="F858"/>
      <c r="G858"/>
      <c r="H858"/>
      <c r="I858"/>
    </row>
    <row r="859" spans="1:9" x14ac:dyDescent="0.25">
      <c r="E859"/>
      <c r="F859"/>
      <c r="G859"/>
      <c r="H859"/>
      <c r="I859"/>
    </row>
    <row r="860" spans="1:9" x14ac:dyDescent="0.25">
      <c r="E860"/>
      <c r="F860"/>
      <c r="G860"/>
      <c r="H860"/>
      <c r="I860"/>
    </row>
    <row r="861" spans="1:9" x14ac:dyDescent="0.25">
      <c r="E861"/>
      <c r="F861"/>
      <c r="G861"/>
      <c r="H861"/>
      <c r="I861"/>
    </row>
    <row r="862" spans="1:9" x14ac:dyDescent="0.25">
      <c r="E862"/>
      <c r="F862"/>
      <c r="G862"/>
      <c r="H862"/>
      <c r="I862"/>
    </row>
    <row r="863" spans="1:9" x14ac:dyDescent="0.25">
      <c r="E863"/>
      <c r="F863"/>
      <c r="G863"/>
      <c r="H863"/>
      <c r="I863"/>
    </row>
    <row r="864" spans="1:9" x14ac:dyDescent="0.25">
      <c r="E864"/>
      <c r="F864"/>
      <c r="G864"/>
      <c r="H864"/>
      <c r="I864"/>
    </row>
    <row r="865" spans="5:9" x14ac:dyDescent="0.25">
      <c r="E865"/>
      <c r="F865"/>
      <c r="G865"/>
      <c r="H865"/>
      <c r="I865"/>
    </row>
    <row r="866" spans="5:9" x14ac:dyDescent="0.25">
      <c r="E866"/>
      <c r="F866"/>
      <c r="G866"/>
      <c r="H866"/>
      <c r="I866"/>
    </row>
    <row r="867" spans="5:9" x14ac:dyDescent="0.25">
      <c r="E867"/>
      <c r="F867"/>
      <c r="G867"/>
      <c r="H867"/>
      <c r="I867"/>
    </row>
    <row r="868" spans="5:9" x14ac:dyDescent="0.25">
      <c r="E868"/>
      <c r="F868"/>
      <c r="G868"/>
      <c r="H868"/>
      <c r="I868"/>
    </row>
    <row r="869" spans="5:9" x14ac:dyDescent="0.25">
      <c r="E869"/>
      <c r="F869"/>
      <c r="G869"/>
      <c r="H869"/>
      <c r="I869"/>
    </row>
    <row r="870" spans="5:9" x14ac:dyDescent="0.25">
      <c r="E870"/>
      <c r="F870"/>
      <c r="G870"/>
      <c r="H870"/>
      <c r="I870"/>
    </row>
    <row r="871" spans="5:9" x14ac:dyDescent="0.25">
      <c r="E871"/>
      <c r="F871"/>
      <c r="G871"/>
      <c r="H871"/>
      <c r="I871"/>
    </row>
    <row r="872" spans="5:9" x14ac:dyDescent="0.25">
      <c r="E872"/>
      <c r="F872"/>
      <c r="G872"/>
      <c r="H872"/>
      <c r="I872"/>
    </row>
    <row r="873" spans="5:9" x14ac:dyDescent="0.25">
      <c r="E873"/>
      <c r="F873"/>
      <c r="G873"/>
      <c r="H873"/>
      <c r="I873"/>
    </row>
    <row r="874" spans="5:9" x14ac:dyDescent="0.25">
      <c r="E874"/>
      <c r="F874"/>
      <c r="G874"/>
      <c r="H874"/>
      <c r="I874"/>
    </row>
    <row r="875" spans="5:9" x14ac:dyDescent="0.25">
      <c r="E875"/>
      <c r="F875"/>
      <c r="G875"/>
      <c r="H875"/>
      <c r="I875"/>
    </row>
    <row r="876" spans="5:9" x14ac:dyDescent="0.25">
      <c r="E876"/>
      <c r="F876"/>
      <c r="G876"/>
      <c r="H876"/>
      <c r="I876"/>
    </row>
    <row r="877" spans="5:9" x14ac:dyDescent="0.25">
      <c r="E877"/>
      <c r="F877"/>
      <c r="G877"/>
      <c r="H877"/>
      <c r="I877"/>
    </row>
    <row r="878" spans="5:9" x14ac:dyDescent="0.25">
      <c r="E878"/>
      <c r="F878"/>
      <c r="G878"/>
      <c r="H878"/>
      <c r="I878"/>
    </row>
    <row r="879" spans="5:9" x14ac:dyDescent="0.25">
      <c r="H879"/>
      <c r="I879"/>
    </row>
    <row r="880" spans="5:9" x14ac:dyDescent="0.25">
      <c r="H880"/>
      <c r="I880"/>
    </row>
    <row r="881" spans="8:9" x14ac:dyDescent="0.25">
      <c r="H881"/>
      <c r="I881"/>
    </row>
    <row r="882" spans="8:9" x14ac:dyDescent="0.25">
      <c r="H882"/>
      <c r="I882"/>
    </row>
    <row r="883" spans="8:9" x14ac:dyDescent="0.25">
      <c r="H883"/>
      <c r="I883"/>
    </row>
    <row r="884" spans="8:9" x14ac:dyDescent="0.25">
      <c r="H884"/>
      <c r="I884"/>
    </row>
    <row r="885" spans="8:9" x14ac:dyDescent="0.25">
      <c r="H885"/>
      <c r="I885"/>
    </row>
    <row r="886" spans="8:9" x14ac:dyDescent="0.25">
      <c r="H886"/>
      <c r="I886"/>
    </row>
    <row r="887" spans="8:9" x14ac:dyDescent="0.25">
      <c r="H887"/>
      <c r="I887"/>
    </row>
    <row r="888" spans="8:9" x14ac:dyDescent="0.25">
      <c r="H888"/>
      <c r="I888"/>
    </row>
    <row r="889" spans="8:9" x14ac:dyDescent="0.25">
      <c r="H889"/>
      <c r="I889"/>
    </row>
    <row r="890" spans="8:9" x14ac:dyDescent="0.25">
      <c r="H890"/>
      <c r="I890"/>
    </row>
    <row r="891" spans="8:9" x14ac:dyDescent="0.25">
      <c r="H891"/>
      <c r="I891"/>
    </row>
    <row r="892" spans="8:9" x14ac:dyDescent="0.25">
      <c r="H892"/>
      <c r="I892"/>
    </row>
    <row r="893" spans="8:9" x14ac:dyDescent="0.25">
      <c r="H893"/>
      <c r="I893"/>
    </row>
  </sheetData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horizontalDpi="0" verticalDpi="0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56CC6-8220-46D8-BDAC-DAE55165A8AC}">
  <dimension ref="A1:I852"/>
  <sheetViews>
    <sheetView workbookViewId="0">
      <selection sqref="A1:F844"/>
    </sheetView>
  </sheetViews>
  <sheetFormatPr defaultRowHeight="15.75" x14ac:dyDescent="0.25"/>
  <cols>
    <col min="1" max="1" width="44" style="13" bestFit="1" customWidth="1"/>
    <col min="2" max="2" width="8.42578125" style="11" bestFit="1" customWidth="1"/>
    <col min="3" max="3" width="14.140625" style="11" bestFit="1" customWidth="1"/>
    <col min="4" max="4" width="11.85546875" style="12" bestFit="1" customWidth="1"/>
    <col min="5" max="5" width="10.42578125" style="12" bestFit="1" customWidth="1"/>
    <col min="6" max="6" width="11.42578125" style="12" bestFit="1" customWidth="1"/>
    <col min="7" max="7" width="12.42578125" style="12" bestFit="1" customWidth="1"/>
    <col min="8" max="9" width="11.140625" style="12" bestFit="1" customWidth="1"/>
  </cols>
  <sheetData>
    <row r="1" spans="1:9" x14ac:dyDescent="0.25">
      <c r="A1" s="13" t="s">
        <v>696</v>
      </c>
      <c r="B1" s="11" t="s">
        <v>427</v>
      </c>
      <c r="C1" s="11" t="s">
        <v>503</v>
      </c>
      <c r="D1" s="12" t="s">
        <v>753</v>
      </c>
      <c r="E1"/>
      <c r="F1"/>
      <c r="G1"/>
      <c r="H1"/>
      <c r="I1"/>
    </row>
    <row r="2" spans="1:9" x14ac:dyDescent="0.25">
      <c r="A2" s="13">
        <v>120</v>
      </c>
      <c r="B2" s="11" t="s">
        <v>287</v>
      </c>
      <c r="C2" s="11" t="s">
        <v>167</v>
      </c>
      <c r="D2" s="12">
        <v>655</v>
      </c>
      <c r="E2"/>
      <c r="F2"/>
      <c r="G2"/>
      <c r="H2"/>
      <c r="I2"/>
    </row>
    <row r="3" spans="1:9" x14ac:dyDescent="0.25">
      <c r="A3" s="13">
        <v>121</v>
      </c>
      <c r="B3" s="11" t="s">
        <v>287</v>
      </c>
      <c r="C3" s="11" t="s">
        <v>497</v>
      </c>
      <c r="D3" s="12">
        <v>4025</v>
      </c>
      <c r="E3"/>
      <c r="F3"/>
      <c r="G3"/>
      <c r="H3"/>
      <c r="I3"/>
    </row>
    <row r="4" spans="1:9" x14ac:dyDescent="0.25">
      <c r="A4" s="13">
        <v>122</v>
      </c>
      <c r="B4" s="11" t="s">
        <v>287</v>
      </c>
      <c r="C4" s="11" t="s">
        <v>497</v>
      </c>
      <c r="D4" s="12">
        <v>1395</v>
      </c>
      <c r="E4"/>
      <c r="F4"/>
      <c r="G4"/>
      <c r="H4"/>
      <c r="I4"/>
    </row>
    <row r="5" spans="1:9" x14ac:dyDescent="0.25">
      <c r="A5" s="13">
        <v>123</v>
      </c>
      <c r="B5" s="11" t="s">
        <v>287</v>
      </c>
      <c r="C5" s="11" t="s">
        <v>497</v>
      </c>
      <c r="D5" s="12">
        <v>1850</v>
      </c>
      <c r="E5"/>
      <c r="F5"/>
      <c r="G5"/>
      <c r="H5"/>
      <c r="I5"/>
    </row>
    <row r="6" spans="1:9" x14ac:dyDescent="0.25">
      <c r="A6" s="13">
        <v>127</v>
      </c>
      <c r="B6" s="11" t="s">
        <v>287</v>
      </c>
      <c r="C6" s="11" t="s">
        <v>497</v>
      </c>
      <c r="D6" s="12">
        <v>1335</v>
      </c>
      <c r="E6"/>
      <c r="F6"/>
      <c r="G6"/>
      <c r="H6"/>
      <c r="I6"/>
    </row>
    <row r="7" spans="1:9" x14ac:dyDescent="0.25">
      <c r="A7" s="13">
        <v>150</v>
      </c>
      <c r="B7" s="11" t="s">
        <v>287</v>
      </c>
      <c r="C7" s="11" t="s">
        <v>497</v>
      </c>
      <c r="D7" s="12">
        <v>1660</v>
      </c>
      <c r="E7"/>
      <c r="F7"/>
      <c r="G7"/>
      <c r="H7"/>
      <c r="I7"/>
    </row>
    <row r="8" spans="1:9" x14ac:dyDescent="0.25">
      <c r="A8" s="13">
        <v>170</v>
      </c>
      <c r="B8" s="11" t="s">
        <v>287</v>
      </c>
      <c r="C8" s="11" t="s">
        <v>497</v>
      </c>
      <c r="D8" s="12">
        <v>1505</v>
      </c>
      <c r="E8"/>
      <c r="F8"/>
      <c r="G8"/>
      <c r="H8"/>
      <c r="I8"/>
    </row>
    <row r="9" spans="1:9" x14ac:dyDescent="0.25">
      <c r="A9" s="13">
        <v>190</v>
      </c>
      <c r="B9" s="11" t="s">
        <v>287</v>
      </c>
      <c r="C9" s="11" t="s">
        <v>167</v>
      </c>
      <c r="D9" s="12">
        <v>600</v>
      </c>
      <c r="E9"/>
      <c r="F9"/>
      <c r="G9"/>
      <c r="H9"/>
      <c r="I9"/>
    </row>
    <row r="10" spans="1:9" x14ac:dyDescent="0.25">
      <c r="A10" s="13">
        <v>191</v>
      </c>
      <c r="B10" s="11" t="s">
        <v>287</v>
      </c>
      <c r="C10" s="11" t="s">
        <v>700</v>
      </c>
      <c r="D10" s="12">
        <v>900</v>
      </c>
      <c r="E10"/>
      <c r="F10"/>
      <c r="G10"/>
      <c r="H10"/>
      <c r="I10"/>
    </row>
    <row r="11" spans="1:9" x14ac:dyDescent="0.25">
      <c r="A11" s="13">
        <v>192</v>
      </c>
      <c r="B11" s="11" t="s">
        <v>287</v>
      </c>
      <c r="C11" s="11" t="s">
        <v>167</v>
      </c>
      <c r="D11" s="12">
        <v>595</v>
      </c>
      <c r="E11"/>
      <c r="F11"/>
      <c r="G11"/>
      <c r="H11"/>
      <c r="I11"/>
    </row>
    <row r="12" spans="1:9" x14ac:dyDescent="0.25">
      <c r="A12" s="13">
        <v>193</v>
      </c>
      <c r="B12" s="11" t="s">
        <v>287</v>
      </c>
      <c r="C12" s="11" t="s">
        <v>497</v>
      </c>
      <c r="D12" s="12">
        <v>3140</v>
      </c>
      <c r="E12"/>
      <c r="F12"/>
      <c r="G12"/>
      <c r="H12"/>
      <c r="I12"/>
    </row>
    <row r="13" spans="1:9" x14ac:dyDescent="0.25">
      <c r="A13" s="13">
        <v>194</v>
      </c>
      <c r="B13" s="11" t="s">
        <v>287</v>
      </c>
      <c r="C13" s="11" t="s">
        <v>497</v>
      </c>
      <c r="D13" s="12">
        <v>1470</v>
      </c>
      <c r="E13"/>
      <c r="F13"/>
      <c r="G13"/>
      <c r="H13"/>
      <c r="I13"/>
    </row>
    <row r="14" spans="1:9" x14ac:dyDescent="0.25">
      <c r="A14" s="13">
        <v>275</v>
      </c>
      <c r="B14" s="11" t="s">
        <v>287</v>
      </c>
      <c r="C14" s="11" t="s">
        <v>494</v>
      </c>
      <c r="D14" s="12">
        <v>250</v>
      </c>
      <c r="E14"/>
      <c r="F14"/>
      <c r="G14"/>
      <c r="H14"/>
      <c r="I14"/>
    </row>
    <row r="15" spans="1:9" x14ac:dyDescent="0.25">
      <c r="A15" s="13">
        <v>276</v>
      </c>
      <c r="B15" s="11" t="s">
        <v>287</v>
      </c>
      <c r="C15" s="11" t="s">
        <v>494</v>
      </c>
      <c r="D15" s="12">
        <v>165</v>
      </c>
      <c r="E15"/>
      <c r="F15"/>
      <c r="G15"/>
      <c r="H15"/>
      <c r="I15"/>
    </row>
    <row r="16" spans="1:9" x14ac:dyDescent="0.25">
      <c r="A16" s="13">
        <v>402</v>
      </c>
      <c r="B16" s="11" t="s">
        <v>287</v>
      </c>
      <c r="C16" s="11" t="s">
        <v>500</v>
      </c>
      <c r="D16" s="12">
        <v>255</v>
      </c>
      <c r="E16"/>
      <c r="F16"/>
      <c r="G16"/>
      <c r="H16"/>
      <c r="I16"/>
    </row>
    <row r="17" spans="1:9" x14ac:dyDescent="0.25">
      <c r="A17" s="13">
        <v>406</v>
      </c>
      <c r="B17" s="11" t="s">
        <v>287</v>
      </c>
      <c r="C17" s="11" t="s">
        <v>494</v>
      </c>
      <c r="D17" s="12">
        <v>160</v>
      </c>
      <c r="E17"/>
      <c r="F17"/>
      <c r="G17"/>
      <c r="H17"/>
      <c r="I17"/>
    </row>
    <row r="18" spans="1:9" x14ac:dyDescent="0.25">
      <c r="A18" s="13">
        <v>444</v>
      </c>
      <c r="B18" s="11" t="s">
        <v>287</v>
      </c>
      <c r="C18" s="11" t="s">
        <v>494</v>
      </c>
      <c r="D18" s="12">
        <v>150</v>
      </c>
      <c r="E18"/>
      <c r="F18"/>
      <c r="G18"/>
      <c r="H18"/>
      <c r="I18"/>
    </row>
    <row r="19" spans="1:9" x14ac:dyDescent="0.25">
      <c r="A19" s="13">
        <v>472</v>
      </c>
      <c r="B19" s="11" t="s">
        <v>287</v>
      </c>
      <c r="C19" s="11" t="s">
        <v>494</v>
      </c>
      <c r="D19" s="12">
        <v>230</v>
      </c>
      <c r="E19"/>
      <c r="F19"/>
      <c r="G19"/>
      <c r="H19"/>
      <c r="I19"/>
    </row>
    <row r="20" spans="1:9" x14ac:dyDescent="0.25">
      <c r="A20" s="13">
        <v>550</v>
      </c>
      <c r="B20" s="11" t="s">
        <v>287</v>
      </c>
      <c r="C20" s="11" t="s">
        <v>494</v>
      </c>
      <c r="D20" s="12">
        <v>345</v>
      </c>
      <c r="E20"/>
      <c r="F20"/>
      <c r="G20"/>
      <c r="H20"/>
      <c r="I20"/>
    </row>
    <row r="21" spans="1:9" x14ac:dyDescent="0.25">
      <c r="A21" s="13">
        <v>555</v>
      </c>
      <c r="B21" s="11" t="s">
        <v>287</v>
      </c>
      <c r="C21" s="11" t="s">
        <v>494</v>
      </c>
      <c r="D21" s="12">
        <v>185</v>
      </c>
      <c r="E21"/>
      <c r="F21"/>
      <c r="G21"/>
      <c r="H21"/>
      <c r="I21"/>
    </row>
    <row r="22" spans="1:9" x14ac:dyDescent="0.25">
      <c r="A22" s="13">
        <v>666</v>
      </c>
      <c r="B22" s="11" t="s">
        <v>287</v>
      </c>
      <c r="C22" s="11" t="s">
        <v>494</v>
      </c>
      <c r="D22" s="12">
        <v>220</v>
      </c>
      <c r="E22"/>
      <c r="F22"/>
      <c r="G22"/>
      <c r="H22"/>
      <c r="I22"/>
    </row>
    <row r="23" spans="1:9" x14ac:dyDescent="0.25">
      <c r="A23" s="13">
        <v>710</v>
      </c>
      <c r="B23" s="11" t="s">
        <v>287</v>
      </c>
      <c r="C23" s="11" t="s">
        <v>699</v>
      </c>
      <c r="D23" s="12">
        <v>490</v>
      </c>
      <c r="E23"/>
      <c r="F23"/>
      <c r="G23"/>
      <c r="H23"/>
      <c r="I23"/>
    </row>
    <row r="24" spans="1:9" x14ac:dyDescent="0.25">
      <c r="A24" s="13">
        <v>747</v>
      </c>
      <c r="B24" s="11" t="s">
        <v>287</v>
      </c>
      <c r="C24" s="11" t="s">
        <v>167</v>
      </c>
      <c r="D24" s="12">
        <v>480</v>
      </c>
      <c r="E24"/>
      <c r="F24"/>
      <c r="G24"/>
      <c r="H24"/>
      <c r="I24"/>
    </row>
    <row r="25" spans="1:9" x14ac:dyDescent="0.25">
      <c r="A25" s="13">
        <v>749</v>
      </c>
      <c r="B25" s="11" t="s">
        <v>287</v>
      </c>
      <c r="C25" s="11" t="s">
        <v>494</v>
      </c>
      <c r="D25" s="12">
        <v>370</v>
      </c>
      <c r="E25"/>
      <c r="F25"/>
      <c r="G25"/>
      <c r="H25"/>
      <c r="I25"/>
    </row>
    <row r="26" spans="1:9" x14ac:dyDescent="0.25">
      <c r="A26" s="13">
        <v>751</v>
      </c>
      <c r="B26" s="11" t="s">
        <v>287</v>
      </c>
      <c r="C26" s="11" t="s">
        <v>494</v>
      </c>
      <c r="D26" s="12">
        <v>300</v>
      </c>
      <c r="E26"/>
      <c r="F26"/>
      <c r="G26"/>
      <c r="H26"/>
      <c r="I26"/>
    </row>
    <row r="27" spans="1:9" x14ac:dyDescent="0.25">
      <c r="A27" s="13">
        <v>761</v>
      </c>
      <c r="B27" s="11" t="s">
        <v>287</v>
      </c>
      <c r="C27" s="11" t="s">
        <v>499</v>
      </c>
      <c r="D27" s="12">
        <v>250</v>
      </c>
      <c r="E27"/>
      <c r="F27"/>
      <c r="G27"/>
      <c r="H27"/>
      <c r="I27"/>
    </row>
    <row r="28" spans="1:9" x14ac:dyDescent="0.25">
      <c r="A28" s="13">
        <v>762</v>
      </c>
      <c r="B28" s="11" t="s">
        <v>287</v>
      </c>
      <c r="C28" s="11" t="s">
        <v>499</v>
      </c>
      <c r="D28" s="12">
        <v>250</v>
      </c>
      <c r="E28"/>
      <c r="F28"/>
      <c r="G28"/>
      <c r="H28"/>
      <c r="I28"/>
    </row>
    <row r="29" spans="1:9" x14ac:dyDescent="0.25">
      <c r="A29" s="13">
        <v>888</v>
      </c>
      <c r="B29" s="11" t="s">
        <v>287</v>
      </c>
      <c r="C29" s="11" t="s">
        <v>494</v>
      </c>
      <c r="D29" s="12">
        <v>300</v>
      </c>
      <c r="E29"/>
      <c r="F29"/>
      <c r="G29"/>
      <c r="H29"/>
      <c r="I29"/>
    </row>
    <row r="30" spans="1:9" x14ac:dyDescent="0.25">
      <c r="A30" s="13">
        <v>910</v>
      </c>
      <c r="B30" s="11" t="s">
        <v>287</v>
      </c>
      <c r="C30" s="11" t="s">
        <v>699</v>
      </c>
      <c r="D30" s="12">
        <v>750</v>
      </c>
      <c r="E30"/>
      <c r="F30"/>
      <c r="G30"/>
      <c r="H30"/>
      <c r="I30"/>
    </row>
    <row r="31" spans="1:9" x14ac:dyDescent="0.25">
      <c r="A31" s="13">
        <v>1000</v>
      </c>
      <c r="B31" s="11" t="s">
        <v>287</v>
      </c>
      <c r="C31" s="11" t="s">
        <v>699</v>
      </c>
      <c r="D31" s="12">
        <v>885</v>
      </c>
      <c r="E31"/>
      <c r="F31"/>
      <c r="G31"/>
      <c r="H31"/>
      <c r="I31"/>
    </row>
    <row r="32" spans="1:9" x14ac:dyDescent="0.25">
      <c r="A32" s="13">
        <v>1010</v>
      </c>
      <c r="B32" s="11" t="s">
        <v>287</v>
      </c>
      <c r="C32" s="11" t="s">
        <v>699</v>
      </c>
      <c r="D32" s="12">
        <v>700</v>
      </c>
      <c r="E32"/>
      <c r="F32"/>
      <c r="G32"/>
      <c r="H32"/>
      <c r="I32"/>
    </row>
    <row r="33" spans="1:9" x14ac:dyDescent="0.25">
      <c r="A33" s="13">
        <v>1111</v>
      </c>
      <c r="B33" s="11" t="s">
        <v>287</v>
      </c>
      <c r="C33" s="11" t="s">
        <v>494</v>
      </c>
      <c r="D33" s="12">
        <v>370</v>
      </c>
      <c r="E33"/>
      <c r="F33"/>
      <c r="G33"/>
      <c r="H33"/>
      <c r="I33"/>
    </row>
    <row r="34" spans="1:9" x14ac:dyDescent="0.25">
      <c r="A34" s="13">
        <v>1200</v>
      </c>
      <c r="B34" s="11" t="s">
        <v>287</v>
      </c>
      <c r="C34" s="11" t="s">
        <v>167</v>
      </c>
      <c r="D34" s="12">
        <v>750</v>
      </c>
      <c r="E34"/>
      <c r="F34"/>
      <c r="G34"/>
      <c r="H34"/>
      <c r="I34"/>
    </row>
    <row r="35" spans="1:9" x14ac:dyDescent="0.25">
      <c r="A35" s="13">
        <v>1211</v>
      </c>
      <c r="B35" s="11" t="s">
        <v>287</v>
      </c>
      <c r="C35" s="11" t="s">
        <v>497</v>
      </c>
      <c r="D35" s="12">
        <v>2365</v>
      </c>
      <c r="E35"/>
      <c r="F35"/>
      <c r="G35"/>
      <c r="H35"/>
      <c r="I35"/>
    </row>
    <row r="36" spans="1:9" x14ac:dyDescent="0.25">
      <c r="A36" s="13">
        <v>1212</v>
      </c>
      <c r="B36" s="11" t="s">
        <v>287</v>
      </c>
      <c r="C36" s="11" t="s">
        <v>497</v>
      </c>
      <c r="D36" s="12">
        <v>1705</v>
      </c>
      <c r="E36"/>
      <c r="F36"/>
      <c r="G36"/>
      <c r="H36"/>
      <c r="I36"/>
    </row>
    <row r="37" spans="1:9" x14ac:dyDescent="0.25">
      <c r="A37" s="13">
        <v>1213</v>
      </c>
      <c r="B37" s="11" t="s">
        <v>287</v>
      </c>
      <c r="C37" s="11" t="s">
        <v>497</v>
      </c>
      <c r="D37" s="12">
        <v>2245</v>
      </c>
      <c r="E37"/>
      <c r="F37"/>
      <c r="G37"/>
      <c r="H37"/>
      <c r="I37"/>
    </row>
    <row r="38" spans="1:9" x14ac:dyDescent="0.25">
      <c r="A38" s="13">
        <v>1214</v>
      </c>
      <c r="B38" s="11" t="s">
        <v>680</v>
      </c>
      <c r="C38" s="11" t="s">
        <v>497</v>
      </c>
      <c r="D38" s="12">
        <v>3265</v>
      </c>
      <c r="E38"/>
      <c r="F38"/>
      <c r="G38"/>
      <c r="H38"/>
      <c r="I38"/>
    </row>
    <row r="39" spans="1:9" x14ac:dyDescent="0.25">
      <c r="A39" s="13">
        <v>1400</v>
      </c>
      <c r="B39" s="11" t="s">
        <v>287</v>
      </c>
      <c r="C39" s="11" t="s">
        <v>167</v>
      </c>
      <c r="D39" s="12">
        <v>245</v>
      </c>
      <c r="E39"/>
      <c r="F39"/>
      <c r="G39"/>
      <c r="H39"/>
      <c r="I39"/>
    </row>
    <row r="40" spans="1:9" x14ac:dyDescent="0.25">
      <c r="A40" s="13">
        <v>1600</v>
      </c>
      <c r="B40" s="11" t="s">
        <v>287</v>
      </c>
      <c r="C40" s="11" t="s">
        <v>167</v>
      </c>
      <c r="D40" s="12">
        <v>345</v>
      </c>
      <c r="E40"/>
      <c r="F40"/>
      <c r="G40"/>
      <c r="H40"/>
      <c r="I40"/>
    </row>
    <row r="41" spans="1:9" x14ac:dyDescent="0.25">
      <c r="A41" s="13">
        <v>1651</v>
      </c>
      <c r="B41" s="11" t="s">
        <v>287</v>
      </c>
      <c r="C41" s="11" t="s">
        <v>699</v>
      </c>
      <c r="D41" s="12">
        <v>1130</v>
      </c>
      <c r="E41"/>
      <c r="F41"/>
      <c r="G41"/>
      <c r="H41"/>
      <c r="I41"/>
    </row>
    <row r="42" spans="1:9" x14ac:dyDescent="0.25">
      <c r="A42" s="13">
        <v>1800</v>
      </c>
      <c r="B42" s="11" t="s">
        <v>287</v>
      </c>
      <c r="C42" s="11" t="s">
        <v>167</v>
      </c>
      <c r="D42" s="12">
        <v>520</v>
      </c>
      <c r="E42"/>
      <c r="F42"/>
      <c r="G42"/>
      <c r="H42"/>
      <c r="I42"/>
    </row>
    <row r="43" spans="1:9" x14ac:dyDescent="0.25">
      <c r="A43" s="13">
        <v>2010</v>
      </c>
      <c r="B43" s="11" t="s">
        <v>287</v>
      </c>
      <c r="C43" s="11" t="s">
        <v>167</v>
      </c>
      <c r="D43" s="12">
        <v>660</v>
      </c>
      <c r="E43"/>
      <c r="F43"/>
      <c r="G43"/>
      <c r="H43"/>
      <c r="I43"/>
    </row>
    <row r="44" spans="1:9" x14ac:dyDescent="0.25">
      <c r="A44" s="13">
        <v>2011</v>
      </c>
      <c r="B44" s="11" t="s">
        <v>287</v>
      </c>
      <c r="C44" s="11" t="s">
        <v>167</v>
      </c>
      <c r="D44" s="12">
        <v>655</v>
      </c>
      <c r="E44"/>
      <c r="F44"/>
      <c r="G44"/>
      <c r="H44"/>
      <c r="I44"/>
    </row>
    <row r="45" spans="1:9" x14ac:dyDescent="0.25">
      <c r="A45" s="13">
        <v>2400</v>
      </c>
      <c r="B45" s="11" t="s">
        <v>287</v>
      </c>
      <c r="C45" s="11" t="s">
        <v>699</v>
      </c>
      <c r="D45" s="12">
        <v>1185</v>
      </c>
      <c r="E45"/>
      <c r="F45"/>
      <c r="G45"/>
      <c r="H45"/>
      <c r="I45"/>
    </row>
    <row r="46" spans="1:9" x14ac:dyDescent="0.25">
      <c r="A46" s="13">
        <v>2451</v>
      </c>
      <c r="B46" s="11" t="s">
        <v>287</v>
      </c>
      <c r="C46" s="11" t="s">
        <v>699</v>
      </c>
      <c r="D46" s="12">
        <v>1655</v>
      </c>
      <c r="E46"/>
      <c r="F46"/>
      <c r="G46"/>
      <c r="H46"/>
      <c r="I46"/>
    </row>
    <row r="47" spans="1:9" x14ac:dyDescent="0.25">
      <c r="A47" s="13">
        <v>2751</v>
      </c>
      <c r="B47" s="11" t="s">
        <v>287</v>
      </c>
      <c r="C47" s="11" t="s">
        <v>494</v>
      </c>
      <c r="D47" s="12">
        <v>175</v>
      </c>
      <c r="E47"/>
      <c r="F47"/>
      <c r="G47"/>
      <c r="H47"/>
      <c r="I47"/>
    </row>
    <row r="48" spans="1:9" x14ac:dyDescent="0.25">
      <c r="A48" s="13">
        <v>2752</v>
      </c>
      <c r="B48" s="11" t="s">
        <v>287</v>
      </c>
      <c r="C48" s="11" t="s">
        <v>494</v>
      </c>
      <c r="D48" s="12">
        <v>210</v>
      </c>
      <c r="E48"/>
      <c r="F48"/>
      <c r="G48"/>
      <c r="H48"/>
      <c r="I48"/>
    </row>
    <row r="49" spans="1:9" x14ac:dyDescent="0.25">
      <c r="A49" s="13">
        <v>2753</v>
      </c>
      <c r="B49" s="11" t="s">
        <v>287</v>
      </c>
      <c r="C49" s="11" t="s">
        <v>494</v>
      </c>
      <c r="D49" s="12">
        <v>295</v>
      </c>
      <c r="E49"/>
      <c r="F49"/>
      <c r="G49"/>
      <c r="H49"/>
      <c r="I49"/>
    </row>
    <row r="50" spans="1:9" x14ac:dyDescent="0.25">
      <c r="A50" s="13">
        <v>2754</v>
      </c>
      <c r="B50" s="11" t="s">
        <v>287</v>
      </c>
      <c r="C50" s="11" t="s">
        <v>494</v>
      </c>
      <c r="D50" s="12">
        <v>170</v>
      </c>
      <c r="E50"/>
      <c r="F50"/>
      <c r="G50"/>
      <c r="H50"/>
      <c r="I50"/>
    </row>
    <row r="51" spans="1:9" x14ac:dyDescent="0.25">
      <c r="A51" s="13">
        <v>2755</v>
      </c>
      <c r="B51" s="11" t="s">
        <v>287</v>
      </c>
      <c r="C51" s="11" t="s">
        <v>494</v>
      </c>
      <c r="D51" s="12">
        <v>180</v>
      </c>
      <c r="E51"/>
      <c r="F51"/>
      <c r="G51"/>
      <c r="H51"/>
      <c r="I51"/>
    </row>
    <row r="52" spans="1:9" x14ac:dyDescent="0.25">
      <c r="A52" s="13">
        <v>2756</v>
      </c>
      <c r="B52" s="11" t="s">
        <v>287</v>
      </c>
      <c r="C52" s="11" t="s">
        <v>494</v>
      </c>
      <c r="D52" s="12">
        <v>140</v>
      </c>
      <c r="E52"/>
      <c r="F52"/>
      <c r="G52"/>
      <c r="H52"/>
      <c r="I52"/>
    </row>
    <row r="53" spans="1:9" x14ac:dyDescent="0.25">
      <c r="A53" s="13">
        <v>2757</v>
      </c>
      <c r="B53" s="11" t="s">
        <v>287</v>
      </c>
      <c r="C53" s="11" t="s">
        <v>494</v>
      </c>
      <c r="D53" s="12">
        <v>150</v>
      </c>
      <c r="E53"/>
      <c r="F53"/>
      <c r="G53"/>
      <c r="H53"/>
      <c r="I53"/>
    </row>
    <row r="54" spans="1:9" x14ac:dyDescent="0.25">
      <c r="A54" s="13">
        <v>2758</v>
      </c>
      <c r="B54" s="11" t="s">
        <v>287</v>
      </c>
      <c r="C54" s="11" t="s">
        <v>494</v>
      </c>
      <c r="D54" s="12">
        <v>130</v>
      </c>
      <c r="E54"/>
      <c r="F54"/>
      <c r="G54"/>
      <c r="H54"/>
      <c r="I54"/>
    </row>
    <row r="55" spans="1:9" x14ac:dyDescent="0.25">
      <c r="A55" s="13">
        <v>2759</v>
      </c>
      <c r="B55" s="11" t="s">
        <v>287</v>
      </c>
      <c r="C55" s="11" t="s">
        <v>494</v>
      </c>
      <c r="D55" s="12">
        <v>180</v>
      </c>
      <c r="E55"/>
      <c r="F55"/>
      <c r="G55"/>
      <c r="H55"/>
      <c r="I55"/>
    </row>
    <row r="56" spans="1:9" x14ac:dyDescent="0.25">
      <c r="A56" s="13">
        <v>2760</v>
      </c>
      <c r="B56" s="11" t="s">
        <v>287</v>
      </c>
      <c r="C56" s="11" t="s">
        <v>494</v>
      </c>
      <c r="D56" s="12">
        <v>180</v>
      </c>
      <c r="E56"/>
      <c r="F56"/>
      <c r="G56"/>
      <c r="H56"/>
      <c r="I56"/>
    </row>
    <row r="57" spans="1:9" x14ac:dyDescent="0.25">
      <c r="A57" s="13">
        <v>2766</v>
      </c>
      <c r="B57" s="11" t="s">
        <v>287</v>
      </c>
      <c r="C57" s="11" t="s">
        <v>494</v>
      </c>
      <c r="D57" s="12">
        <v>175</v>
      </c>
      <c r="E57"/>
      <c r="F57"/>
      <c r="G57"/>
      <c r="H57"/>
      <c r="I57"/>
    </row>
    <row r="58" spans="1:9" x14ac:dyDescent="0.25">
      <c r="A58" s="13">
        <v>4502</v>
      </c>
      <c r="B58" s="11" t="s">
        <v>287</v>
      </c>
      <c r="C58" s="11" t="s">
        <v>494</v>
      </c>
      <c r="D58" s="12">
        <v>210</v>
      </c>
      <c r="E58"/>
      <c r="F58"/>
      <c r="G58"/>
      <c r="H58"/>
      <c r="I58"/>
    </row>
    <row r="59" spans="1:9" x14ac:dyDescent="0.25">
      <c r="A59" s="13">
        <v>4503</v>
      </c>
      <c r="B59" s="11" t="s">
        <v>287</v>
      </c>
      <c r="C59" s="11" t="s">
        <v>494</v>
      </c>
      <c r="D59" s="12">
        <v>150</v>
      </c>
      <c r="E59"/>
      <c r="F59"/>
      <c r="G59"/>
      <c r="H59"/>
      <c r="I59"/>
    </row>
    <row r="60" spans="1:9" x14ac:dyDescent="0.25">
      <c r="A60" s="13">
        <v>4509</v>
      </c>
      <c r="B60" s="11" t="s">
        <v>287</v>
      </c>
      <c r="C60" s="11" t="s">
        <v>494</v>
      </c>
      <c r="D60" s="12">
        <v>80</v>
      </c>
      <c r="E60"/>
      <c r="F60"/>
      <c r="G60"/>
      <c r="H60"/>
      <c r="I60"/>
    </row>
    <row r="61" spans="1:9" x14ac:dyDescent="0.25">
      <c r="A61" s="13" t="s">
        <v>1018</v>
      </c>
      <c r="B61" s="11" t="s">
        <v>287</v>
      </c>
      <c r="C61" s="11" t="s">
        <v>494</v>
      </c>
      <c r="D61" s="12">
        <v>270</v>
      </c>
      <c r="E61"/>
      <c r="F61"/>
      <c r="G61"/>
      <c r="H61"/>
      <c r="I61"/>
    </row>
    <row r="62" spans="1:9" x14ac:dyDescent="0.25">
      <c r="A62" s="13" t="s">
        <v>763</v>
      </c>
      <c r="B62" s="11" t="s">
        <v>680</v>
      </c>
      <c r="C62" s="11" t="s">
        <v>705</v>
      </c>
      <c r="D62" s="12">
        <v>6385</v>
      </c>
      <c r="E62"/>
      <c r="F62"/>
      <c r="G62"/>
      <c r="H62"/>
      <c r="I62"/>
    </row>
    <row r="63" spans="1:9" x14ac:dyDescent="0.25">
      <c r="A63" s="13" t="s">
        <v>764</v>
      </c>
      <c r="B63" s="11" t="s">
        <v>680</v>
      </c>
      <c r="C63" s="11" t="s">
        <v>705</v>
      </c>
      <c r="D63" s="12">
        <v>6960</v>
      </c>
      <c r="E63"/>
      <c r="F63"/>
      <c r="G63"/>
      <c r="H63"/>
      <c r="I63"/>
    </row>
    <row r="64" spans="1:9" x14ac:dyDescent="0.25">
      <c r="A64" s="13" t="s">
        <v>1017</v>
      </c>
      <c r="B64" s="11" t="s">
        <v>287</v>
      </c>
      <c r="C64" s="11" t="s">
        <v>494</v>
      </c>
      <c r="D64" s="12">
        <v>205</v>
      </c>
      <c r="E64"/>
      <c r="F64"/>
      <c r="G64"/>
      <c r="H64"/>
      <c r="I64"/>
    </row>
    <row r="65" spans="1:9" x14ac:dyDescent="0.25">
      <c r="A65" s="13" t="s">
        <v>1016</v>
      </c>
      <c r="B65" s="11" t="s">
        <v>287</v>
      </c>
      <c r="C65" s="11" t="s">
        <v>494</v>
      </c>
      <c r="D65" s="12">
        <v>235</v>
      </c>
      <c r="E65"/>
      <c r="F65"/>
      <c r="G65"/>
      <c r="H65"/>
      <c r="I65"/>
    </row>
    <row r="66" spans="1:9" x14ac:dyDescent="0.25">
      <c r="A66" s="13" t="s">
        <v>1019</v>
      </c>
      <c r="B66" s="11" t="s">
        <v>287</v>
      </c>
      <c r="C66" s="11" t="s">
        <v>494</v>
      </c>
      <c r="D66" s="12">
        <v>370</v>
      </c>
      <c r="E66"/>
      <c r="F66"/>
      <c r="G66"/>
      <c r="H66"/>
      <c r="I66"/>
    </row>
    <row r="67" spans="1:9" x14ac:dyDescent="0.25">
      <c r="A67" s="13" t="s">
        <v>1023</v>
      </c>
      <c r="B67" s="11" t="s">
        <v>287</v>
      </c>
      <c r="C67" s="11" t="s">
        <v>494</v>
      </c>
      <c r="D67" s="12">
        <v>230</v>
      </c>
      <c r="E67"/>
      <c r="F67"/>
      <c r="G67"/>
      <c r="H67"/>
      <c r="I67"/>
    </row>
    <row r="68" spans="1:9" x14ac:dyDescent="0.25">
      <c r="A68" s="13" t="s">
        <v>553</v>
      </c>
      <c r="B68" s="11" t="s">
        <v>287</v>
      </c>
      <c r="C68" s="11" t="s">
        <v>494</v>
      </c>
      <c r="D68" s="12">
        <v>120</v>
      </c>
      <c r="E68"/>
      <c r="F68"/>
      <c r="G68"/>
      <c r="H68"/>
      <c r="I68"/>
    </row>
    <row r="69" spans="1:9" x14ac:dyDescent="0.25">
      <c r="A69" s="13" t="s">
        <v>554</v>
      </c>
      <c r="B69" s="11" t="s">
        <v>287</v>
      </c>
      <c r="C69" s="11" t="s">
        <v>494</v>
      </c>
      <c r="D69" s="12">
        <v>185</v>
      </c>
      <c r="E69"/>
      <c r="F69"/>
      <c r="G69"/>
      <c r="H69"/>
      <c r="I69"/>
    </row>
    <row r="70" spans="1:9" x14ac:dyDescent="0.25">
      <c r="A70" s="13" t="s">
        <v>555</v>
      </c>
      <c r="B70" s="11" t="s">
        <v>287</v>
      </c>
      <c r="C70" s="11" t="s">
        <v>494</v>
      </c>
      <c r="D70" s="12">
        <v>175</v>
      </c>
      <c r="E70"/>
      <c r="F70"/>
      <c r="G70"/>
      <c r="H70"/>
      <c r="I70"/>
    </row>
    <row r="71" spans="1:9" x14ac:dyDescent="0.25">
      <c r="A71" s="13" t="s">
        <v>557</v>
      </c>
      <c r="B71" s="11" t="s">
        <v>287</v>
      </c>
      <c r="C71" s="11" t="s">
        <v>494</v>
      </c>
      <c r="D71" s="12">
        <v>205</v>
      </c>
      <c r="E71"/>
      <c r="F71"/>
      <c r="G71"/>
      <c r="H71"/>
      <c r="I71"/>
    </row>
    <row r="72" spans="1:9" x14ac:dyDescent="0.25">
      <c r="A72" s="13" t="s">
        <v>556</v>
      </c>
      <c r="B72" s="11" t="s">
        <v>287</v>
      </c>
      <c r="C72" s="11" t="s">
        <v>494</v>
      </c>
      <c r="D72" s="12">
        <v>340</v>
      </c>
      <c r="E72"/>
      <c r="F72"/>
      <c r="G72"/>
      <c r="H72"/>
      <c r="I72"/>
    </row>
    <row r="73" spans="1:9" x14ac:dyDescent="0.25">
      <c r="A73" s="13" t="s">
        <v>558</v>
      </c>
      <c r="B73" s="11" t="s">
        <v>287</v>
      </c>
      <c r="C73" s="11" t="s">
        <v>494</v>
      </c>
      <c r="D73" s="12">
        <v>260</v>
      </c>
      <c r="E73"/>
      <c r="F73"/>
      <c r="G73"/>
      <c r="H73"/>
      <c r="I73"/>
    </row>
    <row r="74" spans="1:9" x14ac:dyDescent="0.25">
      <c r="A74" s="13" t="s">
        <v>559</v>
      </c>
      <c r="B74" s="11" t="s">
        <v>287</v>
      </c>
      <c r="C74" s="11" t="s">
        <v>494</v>
      </c>
      <c r="D74" s="12">
        <v>290</v>
      </c>
      <c r="E74"/>
      <c r="F74"/>
      <c r="G74"/>
      <c r="H74"/>
      <c r="I74"/>
    </row>
    <row r="75" spans="1:9" x14ac:dyDescent="0.25">
      <c r="A75" s="13" t="s">
        <v>1024</v>
      </c>
      <c r="B75" s="11" t="s">
        <v>287</v>
      </c>
      <c r="C75" s="11" t="s">
        <v>494</v>
      </c>
      <c r="D75" s="12">
        <v>230</v>
      </c>
      <c r="E75"/>
      <c r="F75"/>
      <c r="G75"/>
      <c r="H75"/>
      <c r="I75"/>
    </row>
    <row r="76" spans="1:9" x14ac:dyDescent="0.25">
      <c r="A76" s="13" t="s">
        <v>114</v>
      </c>
      <c r="B76" s="11" t="s">
        <v>287</v>
      </c>
      <c r="C76" s="11" t="s">
        <v>494</v>
      </c>
      <c r="D76" s="12">
        <v>370</v>
      </c>
      <c r="E76"/>
      <c r="F76"/>
      <c r="G76"/>
      <c r="H76"/>
      <c r="I76"/>
    </row>
    <row r="77" spans="1:9" x14ac:dyDescent="0.25">
      <c r="A77" s="13" t="s">
        <v>63</v>
      </c>
      <c r="B77" s="11" t="s">
        <v>31</v>
      </c>
      <c r="C77" s="11" t="s">
        <v>31</v>
      </c>
      <c r="D77" s="12">
        <v>115</v>
      </c>
      <c r="E77"/>
      <c r="F77"/>
      <c r="G77"/>
      <c r="H77"/>
      <c r="I77"/>
    </row>
    <row r="78" spans="1:9" x14ac:dyDescent="0.25">
      <c r="A78" s="13">
        <v>847</v>
      </c>
      <c r="B78" s="11" t="s">
        <v>938</v>
      </c>
      <c r="C78" s="11" t="s">
        <v>494</v>
      </c>
      <c r="D78" s="12">
        <v>1050</v>
      </c>
      <c r="E78"/>
      <c r="F78"/>
      <c r="G78"/>
      <c r="H78"/>
      <c r="I78"/>
    </row>
    <row r="79" spans="1:9" x14ac:dyDescent="0.25">
      <c r="A79" s="13" t="s">
        <v>362</v>
      </c>
      <c r="B79" s="11" t="s">
        <v>153</v>
      </c>
      <c r="C79" s="11" t="s">
        <v>31</v>
      </c>
      <c r="D79" s="12">
        <v>290</v>
      </c>
      <c r="E79"/>
      <c r="F79"/>
      <c r="G79"/>
      <c r="H79"/>
      <c r="I79"/>
    </row>
    <row r="80" spans="1:9" x14ac:dyDescent="0.25">
      <c r="A80" s="13" t="s">
        <v>408</v>
      </c>
      <c r="B80" s="11" t="s">
        <v>153</v>
      </c>
      <c r="C80" s="11" t="s">
        <v>496</v>
      </c>
      <c r="D80" s="12">
        <v>470</v>
      </c>
      <c r="E80"/>
      <c r="F80"/>
      <c r="G80"/>
      <c r="H80"/>
      <c r="I80"/>
    </row>
    <row r="81" spans="1:9" x14ac:dyDescent="0.25">
      <c r="A81" s="13" t="s">
        <v>152</v>
      </c>
      <c r="B81" s="11" t="s">
        <v>153</v>
      </c>
      <c r="C81" s="11" t="s">
        <v>496</v>
      </c>
      <c r="D81" s="12">
        <v>345</v>
      </c>
      <c r="E81"/>
      <c r="F81"/>
      <c r="G81"/>
      <c r="H81"/>
      <c r="I81"/>
    </row>
    <row r="82" spans="1:9" x14ac:dyDescent="0.25">
      <c r="A82" s="13" t="s">
        <v>370</v>
      </c>
      <c r="B82" s="11" t="s">
        <v>153</v>
      </c>
      <c r="C82" s="11" t="s">
        <v>496</v>
      </c>
      <c r="D82" s="12">
        <v>385</v>
      </c>
      <c r="E82"/>
      <c r="F82"/>
      <c r="G82"/>
      <c r="H82"/>
      <c r="I82"/>
    </row>
    <row r="83" spans="1:9" x14ac:dyDescent="0.25">
      <c r="A83" s="13" t="s">
        <v>151</v>
      </c>
      <c r="B83" s="11" t="s">
        <v>153</v>
      </c>
      <c r="C83" s="11" t="s">
        <v>496</v>
      </c>
      <c r="D83" s="12">
        <v>395</v>
      </c>
      <c r="E83"/>
      <c r="F83"/>
      <c r="G83"/>
      <c r="H83"/>
      <c r="I83"/>
    </row>
    <row r="84" spans="1:9" x14ac:dyDescent="0.25">
      <c r="A84" s="13">
        <v>5201</v>
      </c>
      <c r="B84" s="11" t="s">
        <v>501</v>
      </c>
      <c r="C84" s="11" t="s">
        <v>494</v>
      </c>
      <c r="D84" s="12">
        <v>260</v>
      </c>
      <c r="E84"/>
      <c r="F84"/>
      <c r="G84"/>
      <c r="H84"/>
      <c r="I84"/>
    </row>
    <row r="85" spans="1:9" x14ac:dyDescent="0.25">
      <c r="A85" s="13">
        <v>101</v>
      </c>
      <c r="B85" s="11" t="s">
        <v>284</v>
      </c>
      <c r="C85" s="11" t="s">
        <v>698</v>
      </c>
      <c r="D85" s="12">
        <v>500</v>
      </c>
      <c r="E85"/>
      <c r="F85"/>
      <c r="G85"/>
      <c r="H85"/>
      <c r="I85"/>
    </row>
    <row r="86" spans="1:9" x14ac:dyDescent="0.25">
      <c r="A86" s="13">
        <v>102</v>
      </c>
      <c r="B86" s="11" t="s">
        <v>284</v>
      </c>
      <c r="C86" s="11" t="s">
        <v>699</v>
      </c>
      <c r="D86" s="12">
        <v>495</v>
      </c>
      <c r="E86"/>
      <c r="F86"/>
      <c r="G86"/>
      <c r="H86"/>
      <c r="I86"/>
    </row>
    <row r="87" spans="1:9" x14ac:dyDescent="0.25">
      <c r="A87" s="13">
        <v>105</v>
      </c>
      <c r="B87" s="11" t="s">
        <v>284</v>
      </c>
      <c r="C87" s="11" t="s">
        <v>497</v>
      </c>
      <c r="D87" s="12">
        <v>15010</v>
      </c>
      <c r="E87"/>
      <c r="F87"/>
      <c r="G87"/>
      <c r="H87"/>
      <c r="I87"/>
    </row>
    <row r="88" spans="1:9" x14ac:dyDescent="0.25">
      <c r="A88" s="13">
        <v>106</v>
      </c>
      <c r="B88" s="11" t="s">
        <v>284</v>
      </c>
      <c r="C88" s="11" t="s">
        <v>497</v>
      </c>
      <c r="D88" s="12">
        <v>10220</v>
      </c>
      <c r="E88"/>
      <c r="F88"/>
      <c r="G88"/>
      <c r="H88"/>
      <c r="I88"/>
    </row>
    <row r="89" spans="1:9" x14ac:dyDescent="0.25">
      <c r="A89" s="13">
        <v>107</v>
      </c>
      <c r="B89" s="11" t="s">
        <v>277</v>
      </c>
      <c r="C89" s="11" t="s">
        <v>497</v>
      </c>
      <c r="D89" s="12">
        <v>3250</v>
      </c>
      <c r="E89"/>
      <c r="F89"/>
      <c r="G89"/>
      <c r="H89"/>
      <c r="I89"/>
    </row>
    <row r="90" spans="1:9" x14ac:dyDescent="0.25">
      <c r="A90" s="13">
        <v>108</v>
      </c>
      <c r="B90" s="11" t="s">
        <v>277</v>
      </c>
      <c r="C90" s="11" t="s">
        <v>497</v>
      </c>
      <c r="D90" s="12">
        <v>4460</v>
      </c>
      <c r="E90"/>
      <c r="F90"/>
      <c r="G90"/>
      <c r="H90"/>
      <c r="I90"/>
    </row>
    <row r="91" spans="1:9" x14ac:dyDescent="0.25">
      <c r="A91" s="13">
        <v>109</v>
      </c>
      <c r="B91" s="11" t="s">
        <v>284</v>
      </c>
      <c r="C91" s="11" t="s">
        <v>497</v>
      </c>
      <c r="D91" s="12">
        <v>10230</v>
      </c>
      <c r="E91"/>
      <c r="F91"/>
      <c r="G91"/>
      <c r="H91"/>
      <c r="I91"/>
    </row>
    <row r="92" spans="1:9" x14ac:dyDescent="0.25">
      <c r="A92" s="13">
        <v>110</v>
      </c>
      <c r="B92" s="11" t="s">
        <v>277</v>
      </c>
      <c r="C92" s="11" t="s">
        <v>497</v>
      </c>
      <c r="D92" s="12">
        <v>4565</v>
      </c>
      <c r="E92"/>
      <c r="F92"/>
      <c r="G92"/>
      <c r="H92"/>
      <c r="I92"/>
    </row>
    <row r="93" spans="1:9" x14ac:dyDescent="0.25">
      <c r="A93" s="13">
        <v>112</v>
      </c>
      <c r="B93" s="11" t="s">
        <v>284</v>
      </c>
      <c r="C93" s="11" t="s">
        <v>497</v>
      </c>
      <c r="D93" s="12">
        <v>5435</v>
      </c>
      <c r="E93"/>
      <c r="F93"/>
      <c r="G93"/>
      <c r="H93"/>
      <c r="I93"/>
    </row>
    <row r="94" spans="1:9" x14ac:dyDescent="0.25">
      <c r="A94" s="13">
        <v>113</v>
      </c>
      <c r="B94" s="11" t="s">
        <v>277</v>
      </c>
      <c r="C94" s="11" t="s">
        <v>497</v>
      </c>
      <c r="D94" s="12">
        <v>6360</v>
      </c>
      <c r="E94"/>
      <c r="F94"/>
      <c r="G94"/>
      <c r="H94"/>
      <c r="I94"/>
    </row>
    <row r="95" spans="1:9" x14ac:dyDescent="0.25">
      <c r="A95" s="13">
        <v>114</v>
      </c>
      <c r="B95" s="11" t="s">
        <v>277</v>
      </c>
      <c r="C95" s="11" t="s">
        <v>494</v>
      </c>
      <c r="D95" s="12">
        <v>395</v>
      </c>
      <c r="E95"/>
      <c r="F95"/>
      <c r="G95"/>
      <c r="H95"/>
      <c r="I95"/>
    </row>
    <row r="96" spans="1:9" x14ac:dyDescent="0.25">
      <c r="A96" s="13">
        <v>115</v>
      </c>
      <c r="B96" s="11" t="s">
        <v>284</v>
      </c>
      <c r="C96" s="11" t="s">
        <v>497</v>
      </c>
      <c r="D96" s="12">
        <v>1665</v>
      </c>
      <c r="E96"/>
      <c r="F96"/>
      <c r="G96"/>
      <c r="H96"/>
      <c r="I96"/>
    </row>
    <row r="97" spans="1:9" x14ac:dyDescent="0.25">
      <c r="A97" s="13">
        <v>116</v>
      </c>
      <c r="B97" s="11" t="s">
        <v>277</v>
      </c>
      <c r="C97" s="11" t="s">
        <v>497</v>
      </c>
      <c r="D97" s="12">
        <v>5045</v>
      </c>
      <c r="E97"/>
      <c r="F97"/>
      <c r="G97"/>
      <c r="H97"/>
      <c r="I97"/>
    </row>
    <row r="98" spans="1:9" x14ac:dyDescent="0.25">
      <c r="A98" s="13">
        <v>117</v>
      </c>
      <c r="B98" s="11" t="s">
        <v>284</v>
      </c>
      <c r="C98" s="11" t="s">
        <v>497</v>
      </c>
      <c r="D98" s="12">
        <v>2725</v>
      </c>
      <c r="E98"/>
      <c r="F98"/>
      <c r="G98"/>
      <c r="H98"/>
      <c r="I98"/>
    </row>
    <row r="99" spans="1:9" x14ac:dyDescent="0.25">
      <c r="A99" s="13">
        <v>118</v>
      </c>
      <c r="B99" s="11" t="s">
        <v>284</v>
      </c>
      <c r="C99" s="11" t="s">
        <v>497</v>
      </c>
      <c r="D99" s="12">
        <v>3325</v>
      </c>
      <c r="E99"/>
      <c r="F99"/>
      <c r="G99"/>
      <c r="H99"/>
      <c r="I99"/>
    </row>
    <row r="100" spans="1:9" x14ac:dyDescent="0.25">
      <c r="A100" s="13">
        <v>119</v>
      </c>
      <c r="B100" s="11" t="s">
        <v>277</v>
      </c>
      <c r="C100" s="11" t="s">
        <v>497</v>
      </c>
      <c r="D100" s="12">
        <v>1550</v>
      </c>
      <c r="E100"/>
      <c r="F100"/>
      <c r="G100"/>
      <c r="H100"/>
      <c r="I100"/>
    </row>
    <row r="101" spans="1:9" x14ac:dyDescent="0.25">
      <c r="A101" s="13">
        <v>124</v>
      </c>
      <c r="B101" s="11" t="s">
        <v>277</v>
      </c>
      <c r="C101" s="11" t="s">
        <v>497</v>
      </c>
      <c r="D101" s="12">
        <v>3610</v>
      </c>
      <c r="E101"/>
      <c r="F101"/>
      <c r="G101"/>
      <c r="H101"/>
      <c r="I101"/>
    </row>
    <row r="102" spans="1:9" x14ac:dyDescent="0.25">
      <c r="A102" s="13">
        <v>125</v>
      </c>
      <c r="B102" s="11" t="s">
        <v>277</v>
      </c>
      <c r="C102" s="11" t="s">
        <v>497</v>
      </c>
      <c r="D102" s="12">
        <v>5775</v>
      </c>
      <c r="E102"/>
      <c r="F102"/>
      <c r="G102"/>
      <c r="H102"/>
      <c r="I102"/>
    </row>
    <row r="103" spans="1:9" x14ac:dyDescent="0.25">
      <c r="A103" s="13">
        <v>126</v>
      </c>
      <c r="B103" s="11" t="s">
        <v>277</v>
      </c>
      <c r="C103" s="11" t="s">
        <v>497</v>
      </c>
      <c r="D103" s="12">
        <v>2415</v>
      </c>
      <c r="E103"/>
      <c r="F103"/>
      <c r="G103"/>
      <c r="H103"/>
      <c r="I103"/>
    </row>
    <row r="104" spans="1:9" x14ac:dyDescent="0.25">
      <c r="A104" s="13">
        <v>128</v>
      </c>
      <c r="B104" s="11" t="s">
        <v>284</v>
      </c>
      <c r="C104" s="11" t="s">
        <v>497</v>
      </c>
      <c r="D104" s="12">
        <v>2530</v>
      </c>
      <c r="E104"/>
      <c r="F104"/>
      <c r="G104"/>
      <c r="H104"/>
      <c r="I104"/>
    </row>
    <row r="105" spans="1:9" x14ac:dyDescent="0.25">
      <c r="A105" s="13">
        <v>129</v>
      </c>
      <c r="B105" s="11" t="s">
        <v>277</v>
      </c>
      <c r="C105" s="11" t="s">
        <v>497</v>
      </c>
      <c r="D105" s="12">
        <v>2530</v>
      </c>
      <c r="E105"/>
      <c r="F105"/>
      <c r="G105"/>
      <c r="H105"/>
      <c r="I105"/>
    </row>
    <row r="106" spans="1:9" x14ac:dyDescent="0.25">
      <c r="A106" s="13">
        <v>130</v>
      </c>
      <c r="B106" s="11" t="s">
        <v>284</v>
      </c>
      <c r="C106" s="11" t="s">
        <v>497</v>
      </c>
      <c r="D106" s="12">
        <v>2175</v>
      </c>
      <c r="E106"/>
      <c r="F106"/>
      <c r="G106"/>
      <c r="H106"/>
      <c r="I106"/>
    </row>
    <row r="107" spans="1:9" x14ac:dyDescent="0.25">
      <c r="A107" s="13">
        <v>131</v>
      </c>
      <c r="B107" s="11" t="s">
        <v>277</v>
      </c>
      <c r="C107" s="11" t="s">
        <v>497</v>
      </c>
      <c r="D107" s="12">
        <v>3610</v>
      </c>
      <c r="E107"/>
      <c r="F107"/>
      <c r="G107"/>
      <c r="H107"/>
      <c r="I107"/>
    </row>
    <row r="108" spans="1:9" x14ac:dyDescent="0.25">
      <c r="A108" s="13">
        <v>132</v>
      </c>
      <c r="B108" s="11" t="s">
        <v>284</v>
      </c>
      <c r="C108" s="11" t="s">
        <v>497</v>
      </c>
      <c r="D108" s="12">
        <v>2055</v>
      </c>
      <c r="E108"/>
      <c r="F108"/>
      <c r="G108"/>
      <c r="H108"/>
      <c r="I108"/>
    </row>
    <row r="109" spans="1:9" x14ac:dyDescent="0.25">
      <c r="A109" s="13">
        <v>133</v>
      </c>
      <c r="B109" s="11" t="s">
        <v>277</v>
      </c>
      <c r="C109" s="11" t="s">
        <v>497</v>
      </c>
      <c r="D109" s="12">
        <v>7195</v>
      </c>
      <c r="E109"/>
      <c r="F109"/>
      <c r="G109"/>
      <c r="H109"/>
      <c r="I109"/>
    </row>
    <row r="110" spans="1:9" x14ac:dyDescent="0.25">
      <c r="A110" s="13">
        <v>134</v>
      </c>
      <c r="B110" s="11" t="s">
        <v>277</v>
      </c>
      <c r="C110" s="11" t="s">
        <v>497</v>
      </c>
      <c r="D110" s="12">
        <v>1095</v>
      </c>
      <c r="E110"/>
      <c r="F110"/>
      <c r="G110"/>
      <c r="H110"/>
      <c r="I110"/>
    </row>
    <row r="111" spans="1:9" x14ac:dyDescent="0.25">
      <c r="A111" s="13">
        <v>135</v>
      </c>
      <c r="B111" s="11" t="s">
        <v>277</v>
      </c>
      <c r="C111" s="11" t="s">
        <v>497</v>
      </c>
      <c r="D111" s="12">
        <v>1815</v>
      </c>
      <c r="E111"/>
      <c r="F111"/>
      <c r="G111"/>
      <c r="H111"/>
      <c r="I111"/>
    </row>
    <row r="112" spans="1:9" x14ac:dyDescent="0.25">
      <c r="A112" s="13">
        <v>136</v>
      </c>
      <c r="B112" s="11" t="s">
        <v>284</v>
      </c>
      <c r="C112" s="11" t="s">
        <v>497</v>
      </c>
      <c r="D112" s="12">
        <v>1670</v>
      </c>
      <c r="E112"/>
      <c r="F112"/>
      <c r="G112"/>
      <c r="H112"/>
      <c r="I112"/>
    </row>
    <row r="113" spans="1:9" x14ac:dyDescent="0.25">
      <c r="A113" s="13">
        <v>137</v>
      </c>
      <c r="B113" s="11" t="s">
        <v>277</v>
      </c>
      <c r="C113" s="11" t="s">
        <v>497</v>
      </c>
      <c r="D113" s="12">
        <v>7795</v>
      </c>
      <c r="E113"/>
      <c r="F113"/>
      <c r="G113"/>
      <c r="H113"/>
      <c r="I113"/>
    </row>
    <row r="114" spans="1:9" x14ac:dyDescent="0.25">
      <c r="A114" s="13">
        <v>138</v>
      </c>
      <c r="B114" s="11" t="s">
        <v>277</v>
      </c>
      <c r="C114" s="11" t="s">
        <v>497</v>
      </c>
      <c r="D114" s="12">
        <v>10785</v>
      </c>
      <c r="E114"/>
      <c r="F114"/>
      <c r="G114"/>
      <c r="H114"/>
      <c r="I114"/>
    </row>
    <row r="115" spans="1:9" x14ac:dyDescent="0.25">
      <c r="A115" s="13">
        <v>139</v>
      </c>
      <c r="B115" s="11" t="s">
        <v>277</v>
      </c>
      <c r="C115" s="11" t="s">
        <v>497</v>
      </c>
      <c r="D115" s="12">
        <v>6160</v>
      </c>
      <c r="E115"/>
      <c r="F115"/>
      <c r="G115"/>
      <c r="H115"/>
      <c r="I115"/>
    </row>
    <row r="116" spans="1:9" x14ac:dyDescent="0.25">
      <c r="A116" s="13">
        <v>140</v>
      </c>
      <c r="B116" s="11" t="s">
        <v>277</v>
      </c>
      <c r="C116" s="11" t="s">
        <v>494</v>
      </c>
      <c r="D116" s="12">
        <v>450</v>
      </c>
      <c r="E116"/>
      <c r="F116"/>
      <c r="G116"/>
      <c r="H116"/>
      <c r="I116"/>
    </row>
    <row r="117" spans="1:9" x14ac:dyDescent="0.25">
      <c r="A117" s="13">
        <v>141</v>
      </c>
      <c r="B117" s="11" t="s">
        <v>277</v>
      </c>
      <c r="C117" s="11" t="s">
        <v>497</v>
      </c>
      <c r="D117" s="12">
        <v>5415</v>
      </c>
      <c r="E117"/>
      <c r="F117"/>
      <c r="G117"/>
      <c r="H117"/>
      <c r="I117"/>
    </row>
    <row r="118" spans="1:9" x14ac:dyDescent="0.25">
      <c r="A118" s="13">
        <v>142</v>
      </c>
      <c r="B118" s="11" t="s">
        <v>284</v>
      </c>
      <c r="C118" s="11" t="s">
        <v>494</v>
      </c>
      <c r="D118" s="12">
        <v>795</v>
      </c>
      <c r="E118"/>
      <c r="F118"/>
      <c r="G118"/>
      <c r="H118"/>
      <c r="I118"/>
    </row>
    <row r="119" spans="1:9" x14ac:dyDescent="0.25">
      <c r="A119" s="13">
        <v>143</v>
      </c>
      <c r="B119" s="11" t="s">
        <v>284</v>
      </c>
      <c r="C119" s="11" t="s">
        <v>494</v>
      </c>
      <c r="D119" s="12">
        <v>1030</v>
      </c>
      <c r="E119"/>
      <c r="F119"/>
      <c r="G119"/>
      <c r="H119"/>
      <c r="I119"/>
    </row>
    <row r="120" spans="1:9" x14ac:dyDescent="0.25">
      <c r="A120" s="13">
        <v>144</v>
      </c>
      <c r="B120" s="11" t="s">
        <v>277</v>
      </c>
      <c r="C120" s="11" t="s">
        <v>497</v>
      </c>
      <c r="D120" s="12">
        <v>1770</v>
      </c>
      <c r="E120"/>
      <c r="F120"/>
      <c r="G120"/>
      <c r="H120"/>
      <c r="I120"/>
    </row>
    <row r="121" spans="1:9" x14ac:dyDescent="0.25">
      <c r="A121" s="13">
        <v>145</v>
      </c>
      <c r="B121" s="11" t="s">
        <v>277</v>
      </c>
      <c r="C121" s="11" t="s">
        <v>497</v>
      </c>
      <c r="D121" s="12">
        <v>15585</v>
      </c>
      <c r="E121"/>
      <c r="F121"/>
      <c r="G121"/>
      <c r="H121"/>
      <c r="I121"/>
    </row>
    <row r="122" spans="1:9" x14ac:dyDescent="0.25">
      <c r="A122" s="13">
        <v>146</v>
      </c>
      <c r="B122" s="11" t="s">
        <v>277</v>
      </c>
      <c r="C122" s="11" t="s">
        <v>497</v>
      </c>
      <c r="D122" s="12">
        <v>19170</v>
      </c>
      <c r="E122"/>
      <c r="F122"/>
      <c r="G122"/>
      <c r="H122"/>
      <c r="I122"/>
    </row>
    <row r="123" spans="1:9" x14ac:dyDescent="0.25">
      <c r="A123" s="13">
        <v>147</v>
      </c>
      <c r="B123" s="11" t="s">
        <v>284</v>
      </c>
      <c r="C123" s="11" t="s">
        <v>497</v>
      </c>
      <c r="D123" s="12">
        <v>21565</v>
      </c>
      <c r="E123"/>
      <c r="F123"/>
      <c r="G123"/>
      <c r="H123"/>
      <c r="I123"/>
    </row>
    <row r="124" spans="1:9" x14ac:dyDescent="0.25">
      <c r="A124" s="13">
        <v>148</v>
      </c>
      <c r="B124" s="11" t="s">
        <v>284</v>
      </c>
      <c r="C124" s="11" t="s">
        <v>497</v>
      </c>
      <c r="D124" s="12">
        <v>22760</v>
      </c>
      <c r="E124"/>
      <c r="F124"/>
      <c r="G124"/>
      <c r="H124"/>
      <c r="I124"/>
    </row>
    <row r="125" spans="1:9" x14ac:dyDescent="0.25">
      <c r="A125" s="13">
        <v>149</v>
      </c>
      <c r="B125" s="11" t="s">
        <v>284</v>
      </c>
      <c r="C125" s="11" t="s">
        <v>497</v>
      </c>
      <c r="D125" s="12">
        <v>4740</v>
      </c>
      <c r="E125"/>
      <c r="F125"/>
      <c r="G125"/>
      <c r="H125"/>
      <c r="I125"/>
    </row>
    <row r="126" spans="1:9" x14ac:dyDescent="0.25">
      <c r="A126" s="13">
        <v>151</v>
      </c>
      <c r="B126" s="11" t="s">
        <v>284</v>
      </c>
      <c r="C126" s="11" t="s">
        <v>497</v>
      </c>
      <c r="D126" s="12">
        <v>4515</v>
      </c>
      <c r="E126"/>
      <c r="F126"/>
      <c r="G126"/>
      <c r="H126"/>
      <c r="I126"/>
    </row>
    <row r="127" spans="1:9" x14ac:dyDescent="0.25">
      <c r="A127" s="13">
        <v>152</v>
      </c>
      <c r="B127" s="11" t="s">
        <v>284</v>
      </c>
      <c r="C127" s="11" t="s">
        <v>497</v>
      </c>
      <c r="D127" s="12">
        <v>4385</v>
      </c>
      <c r="E127"/>
      <c r="F127"/>
      <c r="G127"/>
      <c r="H127"/>
      <c r="I127"/>
    </row>
    <row r="128" spans="1:9" x14ac:dyDescent="0.25">
      <c r="A128" s="13">
        <v>153</v>
      </c>
      <c r="B128" s="11" t="s">
        <v>284</v>
      </c>
      <c r="C128" s="11" t="s">
        <v>497</v>
      </c>
      <c r="D128" s="12">
        <v>3625</v>
      </c>
      <c r="E128"/>
      <c r="F128"/>
      <c r="G128"/>
      <c r="H128"/>
      <c r="I128"/>
    </row>
    <row r="129" spans="1:9" x14ac:dyDescent="0.25">
      <c r="A129" s="13">
        <v>154</v>
      </c>
      <c r="B129" s="11" t="s">
        <v>284</v>
      </c>
      <c r="C129" s="11" t="s">
        <v>497</v>
      </c>
      <c r="D129" s="12">
        <v>4125</v>
      </c>
      <c r="E129"/>
      <c r="F129"/>
      <c r="G129"/>
      <c r="H129"/>
      <c r="I129"/>
    </row>
    <row r="130" spans="1:9" x14ac:dyDescent="0.25">
      <c r="A130" s="13">
        <v>155</v>
      </c>
      <c r="B130" s="11" t="s">
        <v>284</v>
      </c>
      <c r="C130" s="11" t="s">
        <v>497</v>
      </c>
      <c r="D130" s="12">
        <v>13790</v>
      </c>
      <c r="E130"/>
      <c r="F130"/>
      <c r="G130"/>
      <c r="H130"/>
      <c r="I130"/>
    </row>
    <row r="131" spans="1:9" x14ac:dyDescent="0.25">
      <c r="A131" s="13">
        <v>160</v>
      </c>
      <c r="B131" s="11" t="s">
        <v>284</v>
      </c>
      <c r="C131" s="11" t="s">
        <v>497</v>
      </c>
      <c r="D131" s="12">
        <v>865</v>
      </c>
      <c r="E131"/>
      <c r="F131"/>
      <c r="G131"/>
      <c r="H131"/>
      <c r="I131"/>
    </row>
    <row r="132" spans="1:9" x14ac:dyDescent="0.25">
      <c r="A132" s="13">
        <v>161</v>
      </c>
      <c r="B132" s="11" t="s">
        <v>284</v>
      </c>
      <c r="C132" s="11" t="s">
        <v>497</v>
      </c>
      <c r="D132" s="12">
        <v>885</v>
      </c>
      <c r="E132"/>
      <c r="F132"/>
      <c r="G132"/>
      <c r="H132"/>
      <c r="I132"/>
    </row>
    <row r="133" spans="1:9" x14ac:dyDescent="0.25">
      <c r="A133" s="13">
        <v>203</v>
      </c>
      <c r="B133" s="11" t="s">
        <v>284</v>
      </c>
      <c r="C133" s="11" t="s">
        <v>493</v>
      </c>
      <c r="D133" s="12">
        <v>365</v>
      </c>
      <c r="E133"/>
      <c r="F133"/>
      <c r="G133"/>
      <c r="H133"/>
      <c r="I133"/>
    </row>
    <row r="134" spans="1:9" x14ac:dyDescent="0.25">
      <c r="A134" s="13">
        <v>208</v>
      </c>
      <c r="B134" s="11" t="s">
        <v>284</v>
      </c>
      <c r="C134" s="11" t="s">
        <v>493</v>
      </c>
      <c r="D134" s="12">
        <v>460</v>
      </c>
      <c r="E134"/>
      <c r="F134"/>
      <c r="G134"/>
      <c r="H134"/>
      <c r="I134"/>
    </row>
    <row r="135" spans="1:9" x14ac:dyDescent="0.25">
      <c r="A135" s="13">
        <v>215</v>
      </c>
      <c r="B135" s="11" t="s">
        <v>284</v>
      </c>
      <c r="C135" s="11" t="s">
        <v>493</v>
      </c>
      <c r="D135" s="12">
        <v>585</v>
      </c>
      <c r="E135"/>
      <c r="F135"/>
      <c r="G135"/>
      <c r="H135"/>
      <c r="I135"/>
    </row>
    <row r="136" spans="1:9" x14ac:dyDescent="0.25">
      <c r="A136" s="13">
        <v>216</v>
      </c>
      <c r="B136" s="11" t="s">
        <v>284</v>
      </c>
      <c r="C136" s="11" t="s">
        <v>493</v>
      </c>
      <c r="D136" s="12">
        <v>535</v>
      </c>
      <c r="E136"/>
      <c r="F136"/>
      <c r="G136"/>
      <c r="H136"/>
      <c r="I136"/>
    </row>
    <row r="137" spans="1:9" x14ac:dyDescent="0.25">
      <c r="A137" s="13">
        <v>221</v>
      </c>
      <c r="B137" s="11" t="s">
        <v>277</v>
      </c>
      <c r="C137" s="11" t="s">
        <v>497</v>
      </c>
      <c r="D137" s="12">
        <v>375</v>
      </c>
      <c r="E137"/>
      <c r="F137"/>
      <c r="G137"/>
      <c r="H137"/>
      <c r="I137"/>
    </row>
    <row r="138" spans="1:9" x14ac:dyDescent="0.25">
      <c r="A138" s="13">
        <v>223</v>
      </c>
      <c r="B138" s="11" t="s">
        <v>277</v>
      </c>
      <c r="C138" s="11" t="s">
        <v>494</v>
      </c>
      <c r="D138" s="12">
        <v>270</v>
      </c>
      <c r="E138"/>
      <c r="F138"/>
      <c r="G138"/>
      <c r="H138"/>
      <c r="I138"/>
    </row>
    <row r="139" spans="1:9" x14ac:dyDescent="0.25">
      <c r="A139" s="13">
        <v>224</v>
      </c>
      <c r="B139" s="11" t="s">
        <v>277</v>
      </c>
      <c r="C139" s="11" t="s">
        <v>497</v>
      </c>
      <c r="D139" s="12">
        <v>1170</v>
      </c>
      <c r="E139"/>
      <c r="F139"/>
      <c r="G139"/>
      <c r="H139"/>
      <c r="I139"/>
    </row>
    <row r="140" spans="1:9" x14ac:dyDescent="0.25">
      <c r="A140" s="13">
        <v>225</v>
      </c>
      <c r="B140" s="11" t="s">
        <v>277</v>
      </c>
      <c r="C140" s="11" t="s">
        <v>497</v>
      </c>
      <c r="D140" s="12">
        <v>530</v>
      </c>
      <c r="E140"/>
      <c r="F140"/>
      <c r="G140"/>
      <c r="H140"/>
      <c r="I140"/>
    </row>
    <row r="141" spans="1:9" x14ac:dyDescent="0.25">
      <c r="A141" s="13">
        <v>226</v>
      </c>
      <c r="B141" s="11" t="s">
        <v>277</v>
      </c>
      <c r="C141" s="11" t="s">
        <v>167</v>
      </c>
      <c r="D141" s="12">
        <v>490</v>
      </c>
      <c r="E141"/>
      <c r="F141"/>
      <c r="G141"/>
      <c r="H141"/>
      <c r="I141"/>
    </row>
    <row r="142" spans="1:9" x14ac:dyDescent="0.25">
      <c r="A142" s="13">
        <v>227</v>
      </c>
      <c r="B142" s="11" t="s">
        <v>284</v>
      </c>
      <c r="C142" s="11" t="s">
        <v>497</v>
      </c>
      <c r="D142" s="12">
        <v>460</v>
      </c>
      <c r="E142"/>
      <c r="F142"/>
      <c r="G142"/>
      <c r="H142"/>
      <c r="I142"/>
    </row>
    <row r="143" spans="1:9" x14ac:dyDescent="0.25">
      <c r="A143" s="13">
        <v>228</v>
      </c>
      <c r="B143" s="11" t="s">
        <v>277</v>
      </c>
      <c r="C143" s="11" t="s">
        <v>494</v>
      </c>
      <c r="D143" s="12">
        <v>360</v>
      </c>
      <c r="E143"/>
      <c r="F143"/>
      <c r="G143"/>
      <c r="H143"/>
      <c r="I143"/>
    </row>
    <row r="144" spans="1:9" x14ac:dyDescent="0.25">
      <c r="A144" s="13">
        <v>229</v>
      </c>
      <c r="B144" s="11" t="s">
        <v>277</v>
      </c>
      <c r="C144" s="11" t="s">
        <v>494</v>
      </c>
      <c r="D144" s="12">
        <v>340</v>
      </c>
      <c r="E144"/>
      <c r="F144"/>
      <c r="G144"/>
      <c r="H144"/>
      <c r="I144"/>
    </row>
    <row r="145" spans="1:9" x14ac:dyDescent="0.25">
      <c r="A145" s="13">
        <v>231</v>
      </c>
      <c r="B145" s="11" t="s">
        <v>277</v>
      </c>
      <c r="C145" s="11" t="s">
        <v>494</v>
      </c>
      <c r="D145" s="12">
        <v>280</v>
      </c>
      <c r="E145"/>
      <c r="F145"/>
      <c r="G145"/>
      <c r="H145"/>
      <c r="I145"/>
    </row>
    <row r="146" spans="1:9" x14ac:dyDescent="0.25">
      <c r="A146" s="13">
        <v>232</v>
      </c>
      <c r="B146" s="11" t="s">
        <v>277</v>
      </c>
      <c r="C146" s="11" t="s">
        <v>494</v>
      </c>
      <c r="D146" s="12">
        <v>380</v>
      </c>
      <c r="E146"/>
      <c r="F146"/>
      <c r="G146"/>
      <c r="H146"/>
      <c r="I146"/>
    </row>
    <row r="147" spans="1:9" x14ac:dyDescent="0.25">
      <c r="A147" s="13">
        <v>233</v>
      </c>
      <c r="B147" s="11" t="s">
        <v>277</v>
      </c>
      <c r="C147" s="11" t="s">
        <v>494</v>
      </c>
      <c r="D147" s="12">
        <v>365</v>
      </c>
      <c r="E147"/>
      <c r="F147"/>
      <c r="G147"/>
      <c r="H147"/>
      <c r="I147"/>
    </row>
    <row r="148" spans="1:9" x14ac:dyDescent="0.25">
      <c r="A148" s="13">
        <v>234</v>
      </c>
      <c r="B148" s="11" t="s">
        <v>277</v>
      </c>
      <c r="C148" s="11" t="s">
        <v>494</v>
      </c>
      <c r="D148" s="12">
        <v>270</v>
      </c>
      <c r="E148"/>
      <c r="F148"/>
      <c r="G148"/>
      <c r="H148"/>
      <c r="I148"/>
    </row>
    <row r="149" spans="1:9" x14ac:dyDescent="0.25">
      <c r="A149" s="13">
        <v>235</v>
      </c>
      <c r="B149" s="11" t="s">
        <v>277</v>
      </c>
      <c r="C149" s="11" t="s">
        <v>494</v>
      </c>
      <c r="D149" s="12">
        <v>340</v>
      </c>
      <c r="E149"/>
      <c r="F149"/>
      <c r="G149"/>
      <c r="H149"/>
      <c r="I149"/>
    </row>
    <row r="150" spans="1:9" x14ac:dyDescent="0.25">
      <c r="A150" s="13">
        <v>236</v>
      </c>
      <c r="B150" s="11" t="s">
        <v>277</v>
      </c>
      <c r="C150" s="11" t="s">
        <v>497</v>
      </c>
      <c r="D150" s="12">
        <v>335</v>
      </c>
      <c r="E150"/>
      <c r="F150"/>
      <c r="G150"/>
      <c r="H150"/>
      <c r="I150"/>
    </row>
    <row r="151" spans="1:9" x14ac:dyDescent="0.25">
      <c r="A151" s="13">
        <v>238</v>
      </c>
      <c r="B151" s="11" t="s">
        <v>277</v>
      </c>
      <c r="C151" s="11" t="s">
        <v>494</v>
      </c>
      <c r="D151" s="12">
        <v>265</v>
      </c>
      <c r="E151"/>
      <c r="F151"/>
      <c r="G151"/>
      <c r="H151"/>
      <c r="I151"/>
    </row>
    <row r="152" spans="1:9" x14ac:dyDescent="0.25">
      <c r="A152" s="13">
        <v>239</v>
      </c>
      <c r="B152" s="11" t="s">
        <v>277</v>
      </c>
      <c r="C152" s="11" t="s">
        <v>497</v>
      </c>
      <c r="D152" s="12">
        <v>535</v>
      </c>
      <c r="E152"/>
      <c r="F152"/>
      <c r="G152"/>
      <c r="H152"/>
      <c r="I152"/>
    </row>
    <row r="153" spans="1:9" x14ac:dyDescent="0.25">
      <c r="A153" s="13">
        <v>240</v>
      </c>
      <c r="B153" s="11" t="s">
        <v>277</v>
      </c>
      <c r="C153" s="11" t="s">
        <v>498</v>
      </c>
      <c r="D153" s="12">
        <v>130</v>
      </c>
      <c r="E153"/>
      <c r="F153"/>
      <c r="G153"/>
      <c r="H153"/>
      <c r="I153"/>
    </row>
    <row r="154" spans="1:9" x14ac:dyDescent="0.25">
      <c r="A154" s="13">
        <v>242</v>
      </c>
      <c r="B154" s="11" t="s">
        <v>284</v>
      </c>
      <c r="C154" s="11" t="s">
        <v>498</v>
      </c>
      <c r="D154" s="12">
        <v>155</v>
      </c>
      <c r="E154"/>
      <c r="F154"/>
      <c r="G154"/>
      <c r="H154"/>
      <c r="I154"/>
    </row>
    <row r="155" spans="1:9" x14ac:dyDescent="0.25">
      <c r="A155" s="13">
        <v>244</v>
      </c>
      <c r="B155" s="11" t="s">
        <v>284</v>
      </c>
      <c r="C155" s="11" t="s">
        <v>538</v>
      </c>
      <c r="D155" s="12">
        <v>380</v>
      </c>
      <c r="E155"/>
      <c r="F155"/>
      <c r="G155"/>
      <c r="H155"/>
      <c r="I155"/>
    </row>
    <row r="156" spans="1:9" x14ac:dyDescent="0.25">
      <c r="A156" s="13">
        <v>245</v>
      </c>
      <c r="B156" s="11" t="s">
        <v>277</v>
      </c>
      <c r="C156" s="11" t="s">
        <v>494</v>
      </c>
      <c r="D156" s="12">
        <v>290</v>
      </c>
      <c r="E156"/>
      <c r="F156"/>
      <c r="G156"/>
      <c r="H156"/>
      <c r="I156"/>
    </row>
    <row r="157" spans="1:9" x14ac:dyDescent="0.25">
      <c r="A157" s="13">
        <v>246</v>
      </c>
      <c r="B157" s="11" t="s">
        <v>277</v>
      </c>
      <c r="C157" s="11" t="s">
        <v>167</v>
      </c>
      <c r="D157" s="12">
        <v>285</v>
      </c>
      <c r="E157"/>
      <c r="F157"/>
      <c r="G157"/>
      <c r="H157"/>
      <c r="I157"/>
    </row>
    <row r="158" spans="1:9" x14ac:dyDescent="0.25">
      <c r="A158" s="13">
        <v>249</v>
      </c>
      <c r="B158" s="11" t="s">
        <v>277</v>
      </c>
      <c r="C158" s="11" t="s">
        <v>494</v>
      </c>
      <c r="D158" s="12">
        <v>290</v>
      </c>
      <c r="E158"/>
      <c r="F158"/>
      <c r="G158"/>
      <c r="H158"/>
      <c r="I158"/>
    </row>
    <row r="159" spans="1:9" x14ac:dyDescent="0.25">
      <c r="A159" s="13">
        <v>250</v>
      </c>
      <c r="B159" s="11" t="s">
        <v>277</v>
      </c>
      <c r="C159" s="11" t="s">
        <v>497</v>
      </c>
      <c r="D159" s="12">
        <v>460</v>
      </c>
      <c r="E159"/>
      <c r="F159"/>
      <c r="G159"/>
      <c r="H159"/>
      <c r="I159"/>
    </row>
    <row r="160" spans="1:9" x14ac:dyDescent="0.25">
      <c r="A160" s="13">
        <v>252</v>
      </c>
      <c r="B160" s="11" t="s">
        <v>277</v>
      </c>
      <c r="C160" s="11" t="s">
        <v>497</v>
      </c>
      <c r="D160" s="12">
        <v>600</v>
      </c>
      <c r="E160"/>
      <c r="F160"/>
      <c r="G160"/>
      <c r="H160"/>
      <c r="I160"/>
    </row>
    <row r="161" spans="1:9" x14ac:dyDescent="0.25">
      <c r="A161" s="13">
        <v>253</v>
      </c>
      <c r="B161" s="11" t="s">
        <v>277</v>
      </c>
      <c r="C161" s="11" t="s">
        <v>497</v>
      </c>
      <c r="D161" s="12">
        <v>430</v>
      </c>
      <c r="E161"/>
      <c r="F161"/>
      <c r="G161"/>
      <c r="H161"/>
      <c r="I161"/>
    </row>
    <row r="162" spans="1:9" x14ac:dyDescent="0.25">
      <c r="A162" s="13">
        <v>254</v>
      </c>
      <c r="B162" s="11" t="s">
        <v>277</v>
      </c>
      <c r="C162" s="11" t="s">
        <v>497</v>
      </c>
      <c r="D162" s="12">
        <v>345</v>
      </c>
      <c r="E162"/>
      <c r="F162"/>
      <c r="G162"/>
      <c r="H162"/>
      <c r="I162"/>
    </row>
    <row r="163" spans="1:9" x14ac:dyDescent="0.25">
      <c r="A163" s="13">
        <v>255</v>
      </c>
      <c r="B163" s="11" t="s">
        <v>277</v>
      </c>
      <c r="C163" s="11" t="s">
        <v>497</v>
      </c>
      <c r="D163" s="12">
        <v>900</v>
      </c>
      <c r="E163"/>
      <c r="F163"/>
      <c r="G163"/>
      <c r="H163"/>
      <c r="I163"/>
    </row>
    <row r="164" spans="1:9" x14ac:dyDescent="0.25">
      <c r="A164" s="13">
        <v>256</v>
      </c>
      <c r="B164" s="11" t="s">
        <v>277</v>
      </c>
      <c r="C164" s="11" t="s">
        <v>497</v>
      </c>
      <c r="D164" s="12">
        <v>710</v>
      </c>
      <c r="E164"/>
      <c r="F164"/>
      <c r="G164"/>
      <c r="H164"/>
      <c r="I164"/>
    </row>
    <row r="165" spans="1:9" x14ac:dyDescent="0.25">
      <c r="A165" s="13">
        <v>257</v>
      </c>
      <c r="B165" s="11" t="s">
        <v>277</v>
      </c>
      <c r="C165" s="11" t="s">
        <v>497</v>
      </c>
      <c r="D165" s="12">
        <v>555</v>
      </c>
      <c r="E165"/>
      <c r="F165"/>
      <c r="G165"/>
      <c r="H165"/>
      <c r="I165"/>
    </row>
    <row r="166" spans="1:9" x14ac:dyDescent="0.25">
      <c r="A166" s="13">
        <v>258</v>
      </c>
      <c r="B166" s="11" t="s">
        <v>277</v>
      </c>
      <c r="C166" s="11" t="s">
        <v>497</v>
      </c>
      <c r="D166" s="12">
        <v>615</v>
      </c>
      <c r="E166"/>
      <c r="F166"/>
      <c r="G166"/>
      <c r="H166"/>
      <c r="I166"/>
    </row>
    <row r="167" spans="1:9" x14ac:dyDescent="0.25">
      <c r="A167" s="13">
        <v>259</v>
      </c>
      <c r="B167" s="11" t="s">
        <v>277</v>
      </c>
      <c r="C167" s="11" t="s">
        <v>497</v>
      </c>
      <c r="D167" s="12">
        <v>720</v>
      </c>
      <c r="E167"/>
      <c r="F167"/>
      <c r="G167"/>
      <c r="H167"/>
      <c r="I167"/>
    </row>
    <row r="168" spans="1:9" x14ac:dyDescent="0.25">
      <c r="A168" s="13">
        <v>260</v>
      </c>
      <c r="B168" s="11" t="s">
        <v>277</v>
      </c>
      <c r="C168" s="11" t="s">
        <v>497</v>
      </c>
      <c r="D168" s="12">
        <v>575</v>
      </c>
      <c r="E168"/>
      <c r="F168"/>
      <c r="G168"/>
      <c r="H168"/>
      <c r="I168"/>
    </row>
    <row r="169" spans="1:9" x14ac:dyDescent="0.25">
      <c r="A169" s="13">
        <v>261</v>
      </c>
      <c r="B169" s="11" t="s">
        <v>277</v>
      </c>
      <c r="C169" s="11" t="s">
        <v>497</v>
      </c>
      <c r="D169" s="12">
        <v>705</v>
      </c>
      <c r="E169"/>
      <c r="F169"/>
      <c r="G169"/>
      <c r="H169"/>
      <c r="I169"/>
    </row>
    <row r="170" spans="1:9" x14ac:dyDescent="0.25">
      <c r="A170" s="13">
        <v>262</v>
      </c>
      <c r="B170" s="11" t="s">
        <v>277</v>
      </c>
      <c r="C170" s="11" t="s">
        <v>497</v>
      </c>
      <c r="D170" s="12">
        <v>675</v>
      </c>
      <c r="E170"/>
      <c r="F170"/>
      <c r="G170"/>
      <c r="H170"/>
      <c r="I170"/>
    </row>
    <row r="171" spans="1:9" x14ac:dyDescent="0.25">
      <c r="A171" s="13">
        <v>263</v>
      </c>
      <c r="B171" s="11" t="s">
        <v>277</v>
      </c>
      <c r="C171" s="11" t="s">
        <v>497</v>
      </c>
      <c r="D171" s="12">
        <v>795</v>
      </c>
      <c r="E171"/>
      <c r="F171"/>
      <c r="G171"/>
      <c r="H171"/>
      <c r="I171"/>
    </row>
    <row r="172" spans="1:9" x14ac:dyDescent="0.25">
      <c r="A172" s="13">
        <v>264</v>
      </c>
      <c r="B172" s="11" t="s">
        <v>277</v>
      </c>
      <c r="C172" s="11" t="s">
        <v>497</v>
      </c>
      <c r="D172" s="12">
        <v>600</v>
      </c>
      <c r="E172"/>
      <c r="F172"/>
      <c r="G172"/>
      <c r="H172"/>
      <c r="I172"/>
    </row>
    <row r="173" spans="1:9" x14ac:dyDescent="0.25">
      <c r="A173" s="13">
        <v>266</v>
      </c>
      <c r="B173" s="11" t="s">
        <v>277</v>
      </c>
      <c r="C173" s="11" t="s">
        <v>497</v>
      </c>
      <c r="D173" s="12">
        <v>750</v>
      </c>
      <c r="E173"/>
      <c r="F173"/>
      <c r="G173"/>
      <c r="H173"/>
      <c r="I173"/>
    </row>
    <row r="174" spans="1:9" x14ac:dyDescent="0.25">
      <c r="A174" s="13">
        <v>267</v>
      </c>
      <c r="B174" s="11" t="s">
        <v>277</v>
      </c>
      <c r="C174" s="11" t="s">
        <v>497</v>
      </c>
      <c r="D174" s="12">
        <v>690</v>
      </c>
      <c r="E174"/>
      <c r="F174"/>
      <c r="G174"/>
      <c r="H174"/>
      <c r="I174"/>
    </row>
    <row r="175" spans="1:9" x14ac:dyDescent="0.25">
      <c r="A175" s="13">
        <v>269</v>
      </c>
      <c r="B175" s="11" t="s">
        <v>277</v>
      </c>
      <c r="C175" s="11" t="s">
        <v>494</v>
      </c>
      <c r="D175" s="12">
        <v>310</v>
      </c>
      <c r="E175"/>
      <c r="F175"/>
      <c r="G175"/>
      <c r="H175"/>
      <c r="I175"/>
    </row>
    <row r="176" spans="1:9" x14ac:dyDescent="0.25">
      <c r="A176" s="13">
        <v>271</v>
      </c>
      <c r="B176" s="11" t="s">
        <v>277</v>
      </c>
      <c r="C176" s="11" t="s">
        <v>494</v>
      </c>
      <c r="D176" s="12">
        <v>365</v>
      </c>
      <c r="E176"/>
      <c r="F176"/>
      <c r="G176"/>
      <c r="H176"/>
      <c r="I176"/>
    </row>
    <row r="177" spans="1:9" x14ac:dyDescent="0.25">
      <c r="A177" s="13">
        <v>272</v>
      </c>
      <c r="B177" s="11" t="s">
        <v>277</v>
      </c>
      <c r="C177" s="11" t="s">
        <v>494</v>
      </c>
      <c r="D177" s="12">
        <v>365</v>
      </c>
      <c r="E177"/>
      <c r="F177"/>
      <c r="G177"/>
      <c r="H177"/>
      <c r="I177"/>
    </row>
    <row r="178" spans="1:9" x14ac:dyDescent="0.25">
      <c r="A178" s="13">
        <v>273</v>
      </c>
      <c r="B178" s="11" t="s">
        <v>277</v>
      </c>
      <c r="C178" s="11" t="s">
        <v>494</v>
      </c>
      <c r="D178" s="12">
        <v>95</v>
      </c>
      <c r="E178"/>
      <c r="F178"/>
      <c r="G178"/>
      <c r="H178"/>
      <c r="I178"/>
    </row>
    <row r="179" spans="1:9" x14ac:dyDescent="0.25">
      <c r="A179" s="13">
        <v>274</v>
      </c>
      <c r="B179" s="11" t="s">
        <v>277</v>
      </c>
      <c r="C179" s="11" t="s">
        <v>494</v>
      </c>
      <c r="D179" s="12">
        <v>130</v>
      </c>
      <c r="E179"/>
      <c r="F179"/>
      <c r="G179"/>
      <c r="H179"/>
      <c r="I179"/>
    </row>
    <row r="180" spans="1:9" x14ac:dyDescent="0.25">
      <c r="A180" s="13">
        <v>280</v>
      </c>
      <c r="B180" s="11" t="s">
        <v>277</v>
      </c>
      <c r="C180" s="11" t="s">
        <v>494</v>
      </c>
      <c r="D180" s="12">
        <v>90</v>
      </c>
      <c r="E180"/>
      <c r="F180"/>
      <c r="G180"/>
      <c r="H180"/>
      <c r="I180"/>
    </row>
    <row r="181" spans="1:9" x14ac:dyDescent="0.25">
      <c r="A181" s="13">
        <v>281</v>
      </c>
      <c r="B181" s="11" t="s">
        <v>277</v>
      </c>
      <c r="C181" s="11" t="s">
        <v>494</v>
      </c>
      <c r="D181" s="12">
        <v>155</v>
      </c>
      <c r="E181"/>
      <c r="F181"/>
      <c r="G181"/>
      <c r="H181"/>
      <c r="I181"/>
    </row>
    <row r="182" spans="1:9" x14ac:dyDescent="0.25">
      <c r="A182" s="13">
        <v>284</v>
      </c>
      <c r="B182" s="11" t="s">
        <v>277</v>
      </c>
      <c r="C182" s="11" t="s">
        <v>494</v>
      </c>
      <c r="D182" s="12">
        <v>115</v>
      </c>
      <c r="E182"/>
      <c r="F182"/>
      <c r="G182"/>
      <c r="H182"/>
      <c r="I182"/>
    </row>
    <row r="183" spans="1:9" x14ac:dyDescent="0.25">
      <c r="A183" s="13">
        <v>286</v>
      </c>
      <c r="B183" s="11" t="s">
        <v>277</v>
      </c>
      <c r="C183" s="11" t="s">
        <v>494</v>
      </c>
      <c r="D183" s="12">
        <v>185</v>
      </c>
      <c r="E183"/>
      <c r="F183"/>
      <c r="G183"/>
      <c r="H183"/>
      <c r="I183"/>
    </row>
    <row r="184" spans="1:9" x14ac:dyDescent="0.25">
      <c r="A184" s="13">
        <v>288</v>
      </c>
      <c r="B184" s="11" t="s">
        <v>277</v>
      </c>
      <c r="C184" s="11" t="s">
        <v>494</v>
      </c>
      <c r="D184" s="12">
        <v>135</v>
      </c>
      <c r="E184"/>
      <c r="F184"/>
      <c r="G184"/>
      <c r="H184"/>
      <c r="I184"/>
    </row>
    <row r="185" spans="1:9" x14ac:dyDescent="0.25">
      <c r="A185" s="13">
        <v>289</v>
      </c>
      <c r="B185" s="11" t="s">
        <v>277</v>
      </c>
      <c r="C185" s="11" t="s">
        <v>494</v>
      </c>
      <c r="D185" s="12">
        <v>140</v>
      </c>
      <c r="E185"/>
      <c r="F185"/>
      <c r="G185"/>
      <c r="H185"/>
      <c r="I185"/>
    </row>
    <row r="186" spans="1:9" x14ac:dyDescent="0.25">
      <c r="A186" s="13">
        <v>291</v>
      </c>
      <c r="B186" s="11" t="s">
        <v>284</v>
      </c>
      <c r="C186" s="11" t="s">
        <v>493</v>
      </c>
      <c r="D186" s="12">
        <v>825</v>
      </c>
      <c r="E186"/>
      <c r="F186"/>
      <c r="G186"/>
      <c r="H186"/>
      <c r="I186"/>
    </row>
    <row r="187" spans="1:9" x14ac:dyDescent="0.25">
      <c r="A187" s="13">
        <v>292</v>
      </c>
      <c r="B187" s="11" t="s">
        <v>284</v>
      </c>
      <c r="C187" s="11" t="s">
        <v>493</v>
      </c>
      <c r="D187" s="12">
        <v>825</v>
      </c>
      <c r="E187"/>
      <c r="F187"/>
      <c r="G187"/>
      <c r="H187"/>
      <c r="I187"/>
    </row>
    <row r="188" spans="1:9" x14ac:dyDescent="0.25">
      <c r="A188" s="13">
        <v>333</v>
      </c>
      <c r="B188" s="11" t="s">
        <v>277</v>
      </c>
      <c r="C188" s="11" t="s">
        <v>494</v>
      </c>
      <c r="D188" s="12">
        <v>95</v>
      </c>
      <c r="E188"/>
      <c r="F188"/>
      <c r="G188"/>
      <c r="H188"/>
      <c r="I188"/>
    </row>
    <row r="189" spans="1:9" x14ac:dyDescent="0.25">
      <c r="A189" s="13">
        <v>401</v>
      </c>
      <c r="B189" s="11" t="s">
        <v>277</v>
      </c>
      <c r="C189" s="11" t="s">
        <v>494</v>
      </c>
      <c r="D189" s="12">
        <v>150</v>
      </c>
      <c r="E189"/>
      <c r="F189"/>
      <c r="G189"/>
      <c r="H189"/>
      <c r="I189"/>
    </row>
    <row r="190" spans="1:9" x14ac:dyDescent="0.25">
      <c r="A190" s="13">
        <v>403</v>
      </c>
      <c r="B190" s="11" t="s">
        <v>277</v>
      </c>
      <c r="C190" s="11" t="s">
        <v>494</v>
      </c>
      <c r="D190" s="12">
        <v>160</v>
      </c>
      <c r="E190"/>
      <c r="F190"/>
      <c r="G190"/>
      <c r="H190"/>
      <c r="I190"/>
    </row>
    <row r="191" spans="1:9" x14ac:dyDescent="0.25">
      <c r="A191" s="13">
        <v>404</v>
      </c>
      <c r="B191" s="11" t="s">
        <v>277</v>
      </c>
      <c r="C191" s="11" t="s">
        <v>494</v>
      </c>
      <c r="D191" s="12">
        <v>150</v>
      </c>
      <c r="E191"/>
      <c r="F191"/>
      <c r="G191"/>
      <c r="H191"/>
      <c r="I191"/>
    </row>
    <row r="192" spans="1:9" x14ac:dyDescent="0.25">
      <c r="A192" s="13">
        <v>405</v>
      </c>
      <c r="B192" s="11" t="s">
        <v>277</v>
      </c>
      <c r="C192" s="11" t="s">
        <v>494</v>
      </c>
      <c r="D192" s="12">
        <v>150</v>
      </c>
      <c r="E192"/>
      <c r="F192"/>
      <c r="G192"/>
      <c r="H192"/>
      <c r="I192"/>
    </row>
    <row r="193" spans="1:9" x14ac:dyDescent="0.25">
      <c r="A193" s="13">
        <v>407</v>
      </c>
      <c r="B193" s="11" t="s">
        <v>277</v>
      </c>
      <c r="C193" s="11" t="s">
        <v>494</v>
      </c>
      <c r="D193" s="12">
        <v>220</v>
      </c>
      <c r="E193"/>
      <c r="F193"/>
      <c r="G193"/>
      <c r="H193"/>
      <c r="I193"/>
    </row>
    <row r="194" spans="1:9" x14ac:dyDescent="0.25">
      <c r="A194" s="13">
        <v>408</v>
      </c>
      <c r="B194" s="11" t="s">
        <v>277</v>
      </c>
      <c r="C194" s="11" t="s">
        <v>494</v>
      </c>
      <c r="D194" s="12">
        <v>160</v>
      </c>
      <c r="E194"/>
      <c r="F194"/>
      <c r="G194"/>
      <c r="H194"/>
      <c r="I194"/>
    </row>
    <row r="195" spans="1:9" x14ac:dyDescent="0.25">
      <c r="A195" s="13">
        <v>409</v>
      </c>
      <c r="B195" s="11" t="s">
        <v>277</v>
      </c>
      <c r="C195" s="11" t="s">
        <v>494</v>
      </c>
      <c r="D195" s="12">
        <v>130</v>
      </c>
      <c r="E195"/>
      <c r="F195"/>
      <c r="G195"/>
      <c r="H195"/>
      <c r="I195"/>
    </row>
    <row r="196" spans="1:9" x14ac:dyDescent="0.25">
      <c r="A196" s="13">
        <v>410</v>
      </c>
      <c r="B196" s="11" t="s">
        <v>277</v>
      </c>
      <c r="C196" s="11" t="s">
        <v>494</v>
      </c>
      <c r="D196" s="12">
        <v>180</v>
      </c>
      <c r="E196"/>
      <c r="F196"/>
      <c r="G196"/>
      <c r="H196"/>
      <c r="I196"/>
    </row>
    <row r="197" spans="1:9" x14ac:dyDescent="0.25">
      <c r="A197" s="13">
        <v>411</v>
      </c>
      <c r="B197" s="11" t="s">
        <v>277</v>
      </c>
      <c r="C197" s="11" t="s">
        <v>494</v>
      </c>
      <c r="D197" s="12">
        <v>125</v>
      </c>
      <c r="E197"/>
      <c r="F197"/>
      <c r="G197"/>
      <c r="H197"/>
      <c r="I197"/>
    </row>
    <row r="198" spans="1:9" x14ac:dyDescent="0.25">
      <c r="A198" s="13">
        <v>412</v>
      </c>
      <c r="B198" s="11" t="s">
        <v>277</v>
      </c>
      <c r="C198" s="11" t="s">
        <v>494</v>
      </c>
      <c r="D198" s="12">
        <v>165</v>
      </c>
      <c r="E198"/>
      <c r="F198"/>
      <c r="G198"/>
      <c r="H198"/>
      <c r="I198"/>
    </row>
    <row r="199" spans="1:9" x14ac:dyDescent="0.25">
      <c r="A199" s="13">
        <v>413</v>
      </c>
      <c r="B199" s="11" t="s">
        <v>277</v>
      </c>
      <c r="C199" s="11" t="s">
        <v>494</v>
      </c>
      <c r="D199" s="12">
        <v>125</v>
      </c>
      <c r="E199"/>
      <c r="F199"/>
      <c r="G199"/>
      <c r="H199"/>
      <c r="I199"/>
    </row>
    <row r="200" spans="1:9" x14ac:dyDescent="0.25">
      <c r="A200" s="13">
        <v>414</v>
      </c>
      <c r="B200" s="11" t="s">
        <v>277</v>
      </c>
      <c r="C200" s="11" t="s">
        <v>494</v>
      </c>
      <c r="D200" s="12">
        <v>150</v>
      </c>
      <c r="E200"/>
      <c r="F200"/>
      <c r="G200"/>
      <c r="H200"/>
      <c r="I200"/>
    </row>
    <row r="201" spans="1:9" x14ac:dyDescent="0.25">
      <c r="A201" s="13">
        <v>415</v>
      </c>
      <c r="B201" s="11" t="s">
        <v>277</v>
      </c>
      <c r="C201" s="11" t="s">
        <v>494</v>
      </c>
      <c r="D201" s="12">
        <v>150</v>
      </c>
      <c r="E201"/>
      <c r="F201"/>
      <c r="G201"/>
      <c r="H201"/>
      <c r="I201"/>
    </row>
    <row r="202" spans="1:9" x14ac:dyDescent="0.25">
      <c r="A202" s="13">
        <v>416</v>
      </c>
      <c r="B202" s="11" t="s">
        <v>277</v>
      </c>
      <c r="C202" s="11" t="s">
        <v>494</v>
      </c>
      <c r="D202" s="12">
        <v>130</v>
      </c>
      <c r="E202"/>
      <c r="F202"/>
      <c r="G202"/>
      <c r="H202"/>
      <c r="I202"/>
    </row>
    <row r="203" spans="1:9" x14ac:dyDescent="0.25">
      <c r="A203" s="13">
        <v>417</v>
      </c>
      <c r="B203" s="11" t="s">
        <v>277</v>
      </c>
      <c r="C203" s="11" t="s">
        <v>494</v>
      </c>
      <c r="D203" s="12">
        <v>195</v>
      </c>
      <c r="E203"/>
      <c r="F203"/>
      <c r="G203"/>
      <c r="H203"/>
      <c r="I203"/>
    </row>
    <row r="204" spans="1:9" x14ac:dyDescent="0.25">
      <c r="A204" s="13">
        <v>418</v>
      </c>
      <c r="B204" s="11" t="s">
        <v>284</v>
      </c>
      <c r="C204" s="11" t="s">
        <v>494</v>
      </c>
      <c r="D204" s="12">
        <v>165</v>
      </c>
      <c r="E204"/>
      <c r="F204"/>
      <c r="G204"/>
      <c r="H204"/>
      <c r="I204"/>
    </row>
    <row r="205" spans="1:9" x14ac:dyDescent="0.25">
      <c r="A205" s="13">
        <v>424</v>
      </c>
      <c r="B205" s="11" t="s">
        <v>277</v>
      </c>
      <c r="C205" s="11" t="s">
        <v>494</v>
      </c>
      <c r="D205" s="12">
        <v>210</v>
      </c>
      <c r="E205"/>
      <c r="F205"/>
      <c r="G205"/>
      <c r="H205"/>
      <c r="I205"/>
    </row>
    <row r="206" spans="1:9" x14ac:dyDescent="0.25">
      <c r="A206" s="13">
        <v>426</v>
      </c>
      <c r="B206" s="11" t="s">
        <v>277</v>
      </c>
      <c r="C206" s="11" t="s">
        <v>494</v>
      </c>
      <c r="D206" s="12">
        <v>185</v>
      </c>
      <c r="E206"/>
      <c r="F206"/>
      <c r="G206"/>
      <c r="H206"/>
      <c r="I206"/>
    </row>
    <row r="207" spans="1:9" x14ac:dyDescent="0.25">
      <c r="A207" s="13">
        <v>427</v>
      </c>
      <c r="B207" s="11" t="s">
        <v>277</v>
      </c>
      <c r="C207" s="11" t="s">
        <v>494</v>
      </c>
      <c r="D207" s="12">
        <v>150</v>
      </c>
      <c r="E207"/>
      <c r="F207"/>
      <c r="G207"/>
      <c r="H207"/>
      <c r="I207"/>
    </row>
    <row r="208" spans="1:9" x14ac:dyDescent="0.25">
      <c r="A208" s="13">
        <v>429</v>
      </c>
      <c r="B208" s="11" t="s">
        <v>277</v>
      </c>
      <c r="C208" s="11" t="s">
        <v>494</v>
      </c>
      <c r="D208" s="12">
        <v>135</v>
      </c>
      <c r="E208"/>
      <c r="F208"/>
      <c r="G208"/>
      <c r="H208"/>
      <c r="I208"/>
    </row>
    <row r="209" spans="1:9" x14ac:dyDescent="0.25">
      <c r="A209" s="13">
        <v>430</v>
      </c>
      <c r="B209" s="11" t="s">
        <v>277</v>
      </c>
      <c r="C209" s="11" t="s">
        <v>494</v>
      </c>
      <c r="D209" s="12">
        <v>125</v>
      </c>
      <c r="E209"/>
      <c r="F209"/>
      <c r="G209"/>
      <c r="H209"/>
      <c r="I209"/>
    </row>
    <row r="210" spans="1:9" x14ac:dyDescent="0.25">
      <c r="A210" s="13">
        <v>432</v>
      </c>
      <c r="B210" s="11" t="s">
        <v>277</v>
      </c>
      <c r="C210" s="11" t="s">
        <v>494</v>
      </c>
      <c r="D210" s="12">
        <v>160</v>
      </c>
      <c r="E210"/>
      <c r="F210"/>
      <c r="G210"/>
      <c r="H210"/>
      <c r="I210"/>
    </row>
    <row r="211" spans="1:9" x14ac:dyDescent="0.25">
      <c r="A211" s="13">
        <v>438</v>
      </c>
      <c r="B211" s="11" t="s">
        <v>277</v>
      </c>
      <c r="C211" s="11" t="s">
        <v>494</v>
      </c>
      <c r="D211" s="12">
        <v>185</v>
      </c>
      <c r="E211"/>
      <c r="F211"/>
      <c r="G211"/>
      <c r="H211"/>
      <c r="I211"/>
    </row>
    <row r="212" spans="1:9" x14ac:dyDescent="0.25">
      <c r="A212" s="13">
        <v>442</v>
      </c>
      <c r="B212" s="11" t="s">
        <v>277</v>
      </c>
      <c r="C212" s="11" t="s">
        <v>494</v>
      </c>
      <c r="D212" s="12">
        <v>165</v>
      </c>
      <c r="E212"/>
      <c r="F212"/>
      <c r="G212"/>
      <c r="H212"/>
      <c r="I212"/>
    </row>
    <row r="213" spans="1:9" x14ac:dyDescent="0.25">
      <c r="A213" s="13">
        <v>446</v>
      </c>
      <c r="B213" s="11" t="s">
        <v>277</v>
      </c>
      <c r="C213" s="11" t="s">
        <v>494</v>
      </c>
      <c r="D213" s="12">
        <v>165</v>
      </c>
      <c r="E213"/>
      <c r="F213"/>
      <c r="G213"/>
      <c r="H213"/>
      <c r="I213"/>
    </row>
    <row r="214" spans="1:9" x14ac:dyDescent="0.25">
      <c r="A214" s="13">
        <v>448</v>
      </c>
      <c r="B214" s="11" t="s">
        <v>277</v>
      </c>
      <c r="C214" s="11" t="s">
        <v>494</v>
      </c>
      <c r="D214" s="12">
        <v>205</v>
      </c>
      <c r="E214"/>
      <c r="F214"/>
      <c r="G214"/>
      <c r="H214"/>
      <c r="I214"/>
    </row>
    <row r="215" spans="1:9" x14ac:dyDescent="0.25">
      <c r="A215" s="13">
        <v>449</v>
      </c>
      <c r="B215" s="11" t="s">
        <v>277</v>
      </c>
      <c r="C215" s="11" t="s">
        <v>494</v>
      </c>
      <c r="D215" s="12">
        <v>115</v>
      </c>
      <c r="E215"/>
      <c r="F215"/>
      <c r="G215"/>
      <c r="H215"/>
      <c r="I215"/>
    </row>
    <row r="216" spans="1:9" x14ac:dyDescent="0.25">
      <c r="A216" s="13">
        <v>474</v>
      </c>
      <c r="B216" s="11" t="s">
        <v>277</v>
      </c>
      <c r="C216" s="11" t="s">
        <v>494</v>
      </c>
      <c r="D216" s="12">
        <v>165</v>
      </c>
      <c r="E216"/>
      <c r="F216"/>
      <c r="G216"/>
      <c r="H216"/>
      <c r="I216"/>
    </row>
    <row r="217" spans="1:9" x14ac:dyDescent="0.25">
      <c r="A217" s="13">
        <v>477</v>
      </c>
      <c r="B217" s="11" t="s">
        <v>277</v>
      </c>
      <c r="C217" s="11" t="s">
        <v>494</v>
      </c>
      <c r="D217" s="12">
        <v>80</v>
      </c>
      <c r="E217"/>
      <c r="F217"/>
      <c r="G217"/>
      <c r="H217"/>
      <c r="I217"/>
    </row>
    <row r="218" spans="1:9" x14ac:dyDescent="0.25">
      <c r="A218" s="13">
        <v>480</v>
      </c>
      <c r="B218" s="11" t="s">
        <v>277</v>
      </c>
      <c r="C218" s="11" t="s">
        <v>494</v>
      </c>
      <c r="D218" s="12">
        <v>115</v>
      </c>
      <c r="E218"/>
      <c r="F218"/>
      <c r="G218"/>
      <c r="H218"/>
      <c r="I218"/>
    </row>
    <row r="219" spans="1:9" x14ac:dyDescent="0.25">
      <c r="A219" s="13">
        <v>481</v>
      </c>
      <c r="B219" s="11" t="s">
        <v>277</v>
      </c>
      <c r="C219" s="11" t="s">
        <v>494</v>
      </c>
      <c r="D219" s="12">
        <v>105</v>
      </c>
      <c r="E219"/>
      <c r="F219"/>
      <c r="G219"/>
      <c r="H219"/>
      <c r="I219"/>
    </row>
    <row r="220" spans="1:9" x14ac:dyDescent="0.25">
      <c r="A220" s="13">
        <v>484</v>
      </c>
      <c r="B220" s="11" t="s">
        <v>277</v>
      </c>
      <c r="C220" s="11" t="s">
        <v>494</v>
      </c>
      <c r="D220" s="12">
        <v>185</v>
      </c>
      <c r="E220"/>
      <c r="F220"/>
      <c r="G220"/>
      <c r="H220"/>
      <c r="I220"/>
    </row>
    <row r="221" spans="1:9" x14ac:dyDescent="0.25">
      <c r="A221" s="13">
        <v>491</v>
      </c>
      <c r="B221" s="11" t="s">
        <v>277</v>
      </c>
      <c r="C221" s="11" t="s">
        <v>494</v>
      </c>
      <c r="D221" s="12">
        <v>85</v>
      </c>
      <c r="E221"/>
      <c r="F221"/>
      <c r="G221"/>
      <c r="H221"/>
      <c r="I221"/>
    </row>
    <row r="222" spans="1:9" x14ac:dyDescent="0.25">
      <c r="A222" s="13">
        <v>493</v>
      </c>
      <c r="B222" s="11" t="s">
        <v>277</v>
      </c>
      <c r="C222" s="11" t="s">
        <v>494</v>
      </c>
      <c r="D222" s="12">
        <v>200</v>
      </c>
      <c r="E222"/>
      <c r="F222"/>
      <c r="G222"/>
      <c r="H222"/>
      <c r="I222"/>
    </row>
    <row r="223" spans="1:9" x14ac:dyDescent="0.25">
      <c r="A223" s="13">
        <v>601</v>
      </c>
      <c r="B223" s="11" t="s">
        <v>277</v>
      </c>
      <c r="C223" s="11" t="s">
        <v>494</v>
      </c>
      <c r="D223" s="12">
        <v>520</v>
      </c>
      <c r="E223"/>
      <c r="F223"/>
      <c r="G223"/>
      <c r="H223"/>
      <c r="I223"/>
    </row>
    <row r="224" spans="1:9" x14ac:dyDescent="0.25">
      <c r="A224" s="13">
        <v>602</v>
      </c>
      <c r="B224" s="11" t="s">
        <v>277</v>
      </c>
      <c r="C224" s="11" t="s">
        <v>494</v>
      </c>
      <c r="D224" s="12">
        <v>455</v>
      </c>
      <c r="E224"/>
      <c r="F224"/>
      <c r="G224"/>
      <c r="H224"/>
      <c r="I224"/>
    </row>
    <row r="225" spans="1:9" x14ac:dyDescent="0.25">
      <c r="A225" s="13">
        <v>603</v>
      </c>
      <c r="B225" s="11" t="s">
        <v>277</v>
      </c>
      <c r="C225" s="11" t="s">
        <v>494</v>
      </c>
      <c r="D225" s="12">
        <v>450</v>
      </c>
      <c r="E225"/>
      <c r="F225"/>
      <c r="G225"/>
      <c r="H225"/>
      <c r="I225"/>
    </row>
    <row r="226" spans="1:9" x14ac:dyDescent="0.25">
      <c r="A226" s="13">
        <v>604</v>
      </c>
      <c r="B226" s="11" t="s">
        <v>277</v>
      </c>
      <c r="C226" s="11" t="s">
        <v>494</v>
      </c>
      <c r="D226" s="12">
        <v>525</v>
      </c>
      <c r="E226"/>
      <c r="F226"/>
      <c r="G226"/>
      <c r="H226"/>
      <c r="I226"/>
    </row>
    <row r="227" spans="1:9" x14ac:dyDescent="0.25">
      <c r="A227" s="13">
        <v>605</v>
      </c>
      <c r="B227" s="11" t="s">
        <v>277</v>
      </c>
      <c r="C227" s="11" t="s">
        <v>494</v>
      </c>
      <c r="D227" s="12">
        <v>520</v>
      </c>
      <c r="E227"/>
      <c r="F227"/>
      <c r="G227"/>
      <c r="H227"/>
      <c r="I227"/>
    </row>
    <row r="228" spans="1:9" x14ac:dyDescent="0.25">
      <c r="A228" s="13">
        <v>607</v>
      </c>
      <c r="B228" s="11" t="s">
        <v>277</v>
      </c>
      <c r="C228" s="11" t="s">
        <v>494</v>
      </c>
      <c r="D228" s="12">
        <v>565</v>
      </c>
      <c r="E228"/>
      <c r="F228"/>
      <c r="G228"/>
      <c r="H228"/>
      <c r="I228"/>
    </row>
    <row r="229" spans="1:9" x14ac:dyDescent="0.25">
      <c r="A229" s="13">
        <v>608</v>
      </c>
      <c r="B229" s="11" t="s">
        <v>277</v>
      </c>
      <c r="C229" s="11" t="s">
        <v>494</v>
      </c>
      <c r="D229" s="12">
        <v>520</v>
      </c>
      <c r="E229"/>
      <c r="F229"/>
      <c r="G229"/>
      <c r="H229"/>
      <c r="I229"/>
    </row>
    <row r="230" spans="1:9" x14ac:dyDescent="0.25">
      <c r="A230" s="13">
        <v>609</v>
      </c>
      <c r="B230" s="11" t="s">
        <v>277</v>
      </c>
      <c r="C230" s="11" t="s">
        <v>494</v>
      </c>
      <c r="D230" s="12">
        <v>575</v>
      </c>
      <c r="E230"/>
      <c r="F230"/>
      <c r="G230"/>
      <c r="H230"/>
      <c r="I230"/>
    </row>
    <row r="231" spans="1:9" x14ac:dyDescent="0.25">
      <c r="A231" s="13">
        <v>610</v>
      </c>
      <c r="B231" s="11" t="s">
        <v>277</v>
      </c>
      <c r="C231" s="11" t="s">
        <v>494</v>
      </c>
      <c r="D231" s="12">
        <v>625</v>
      </c>
      <c r="E231"/>
      <c r="F231"/>
      <c r="G231"/>
      <c r="H231"/>
      <c r="I231"/>
    </row>
    <row r="232" spans="1:9" x14ac:dyDescent="0.25">
      <c r="A232" s="13">
        <v>626</v>
      </c>
      <c r="B232" s="11" t="s">
        <v>277</v>
      </c>
      <c r="C232" s="11" t="s">
        <v>494</v>
      </c>
      <c r="D232" s="12">
        <v>790</v>
      </c>
      <c r="E232"/>
      <c r="F232"/>
      <c r="G232"/>
      <c r="H232"/>
      <c r="I232"/>
    </row>
    <row r="233" spans="1:9" x14ac:dyDescent="0.25">
      <c r="A233" s="13">
        <v>627</v>
      </c>
      <c r="B233" s="11" t="s">
        <v>277</v>
      </c>
      <c r="C233" s="11" t="s">
        <v>494</v>
      </c>
      <c r="D233" s="12">
        <v>785</v>
      </c>
      <c r="E233"/>
      <c r="F233"/>
      <c r="G233"/>
      <c r="H233"/>
      <c r="I233"/>
    </row>
    <row r="234" spans="1:9" x14ac:dyDescent="0.25">
      <c r="A234" s="13">
        <v>628</v>
      </c>
      <c r="B234" s="11" t="s">
        <v>277</v>
      </c>
      <c r="C234" s="11" t="s">
        <v>494</v>
      </c>
      <c r="D234" s="12">
        <v>635</v>
      </c>
      <c r="E234"/>
      <c r="F234"/>
      <c r="G234"/>
      <c r="H234"/>
      <c r="I234"/>
    </row>
    <row r="235" spans="1:9" x14ac:dyDescent="0.25">
      <c r="A235" s="13">
        <v>629</v>
      </c>
      <c r="B235" s="11" t="s">
        <v>277</v>
      </c>
      <c r="C235" s="11" t="s">
        <v>494</v>
      </c>
      <c r="D235" s="12">
        <v>735</v>
      </c>
      <c r="E235"/>
      <c r="F235"/>
      <c r="G235"/>
      <c r="H235"/>
      <c r="I235"/>
    </row>
    <row r="236" spans="1:9" x14ac:dyDescent="0.25">
      <c r="A236" s="13">
        <v>630</v>
      </c>
      <c r="B236" s="11" t="s">
        <v>277</v>
      </c>
      <c r="C236" s="11" t="s">
        <v>494</v>
      </c>
      <c r="D236" s="12">
        <v>700</v>
      </c>
      <c r="E236"/>
      <c r="F236"/>
      <c r="G236"/>
      <c r="H236"/>
      <c r="I236"/>
    </row>
    <row r="237" spans="1:9" x14ac:dyDescent="0.25">
      <c r="A237" s="13">
        <v>631</v>
      </c>
      <c r="B237" s="11" t="s">
        <v>284</v>
      </c>
      <c r="C237" s="11" t="s">
        <v>494</v>
      </c>
      <c r="D237" s="12">
        <v>540</v>
      </c>
      <c r="E237"/>
      <c r="F237"/>
      <c r="G237"/>
      <c r="H237"/>
      <c r="I237"/>
    </row>
    <row r="238" spans="1:9" x14ac:dyDescent="0.25">
      <c r="A238" s="13">
        <v>632</v>
      </c>
      <c r="B238" s="11" t="s">
        <v>277</v>
      </c>
      <c r="C238" s="11" t="s">
        <v>494</v>
      </c>
      <c r="D238" s="12">
        <v>505</v>
      </c>
      <c r="E238"/>
      <c r="F238"/>
      <c r="G238"/>
      <c r="H238"/>
      <c r="I238"/>
    </row>
    <row r="239" spans="1:9" x14ac:dyDescent="0.25">
      <c r="A239" s="13">
        <v>745</v>
      </c>
      <c r="B239" s="11" t="s">
        <v>277</v>
      </c>
      <c r="C239" s="11" t="s">
        <v>494</v>
      </c>
      <c r="D239" s="12">
        <v>140</v>
      </c>
      <c r="E239"/>
      <c r="F239"/>
      <c r="G239"/>
      <c r="H239"/>
      <c r="I239"/>
    </row>
    <row r="240" spans="1:9" x14ac:dyDescent="0.25">
      <c r="A240" s="13">
        <v>750</v>
      </c>
      <c r="B240" s="11" t="s">
        <v>277</v>
      </c>
      <c r="C240" s="11" t="s">
        <v>494</v>
      </c>
      <c r="D240" s="12">
        <v>255</v>
      </c>
      <c r="E240"/>
      <c r="F240"/>
      <c r="G240"/>
      <c r="H240"/>
      <c r="I240"/>
    </row>
    <row r="241" spans="1:9" x14ac:dyDescent="0.25">
      <c r="A241" s="13">
        <v>764</v>
      </c>
      <c r="B241" s="11" t="s">
        <v>277</v>
      </c>
      <c r="C241" s="11" t="s">
        <v>494</v>
      </c>
      <c r="D241" s="12">
        <v>240</v>
      </c>
      <c r="E241"/>
      <c r="F241"/>
      <c r="G241"/>
      <c r="H241"/>
      <c r="I241"/>
    </row>
    <row r="242" spans="1:9" x14ac:dyDescent="0.25">
      <c r="A242" s="13">
        <v>765</v>
      </c>
      <c r="B242" s="11" t="s">
        <v>277</v>
      </c>
      <c r="C242" s="11" t="s">
        <v>494</v>
      </c>
      <c r="D242" s="12">
        <v>160</v>
      </c>
      <c r="E242"/>
      <c r="F242"/>
      <c r="G242"/>
      <c r="H242"/>
      <c r="I242"/>
    </row>
    <row r="243" spans="1:9" x14ac:dyDescent="0.25">
      <c r="A243" s="13">
        <v>766</v>
      </c>
      <c r="B243" s="11" t="s">
        <v>277</v>
      </c>
      <c r="C243" s="11" t="s">
        <v>494</v>
      </c>
      <c r="D243" s="12">
        <v>175</v>
      </c>
      <c r="E243"/>
      <c r="F243"/>
      <c r="G243"/>
      <c r="H243"/>
      <c r="I243"/>
    </row>
    <row r="244" spans="1:9" x14ac:dyDescent="0.25">
      <c r="A244" s="13">
        <v>767</v>
      </c>
      <c r="B244" s="11" t="s">
        <v>277</v>
      </c>
      <c r="C244" s="11" t="s">
        <v>494</v>
      </c>
      <c r="D244" s="12">
        <v>320</v>
      </c>
      <c r="E244"/>
      <c r="F244"/>
      <c r="G244"/>
      <c r="H244"/>
      <c r="I244"/>
    </row>
    <row r="245" spans="1:9" x14ac:dyDescent="0.25">
      <c r="A245" s="13">
        <v>772</v>
      </c>
      <c r="B245" s="11" t="s">
        <v>277</v>
      </c>
      <c r="C245" s="11" t="s">
        <v>494</v>
      </c>
      <c r="D245" s="12">
        <v>180</v>
      </c>
      <c r="E245"/>
      <c r="F245"/>
      <c r="G245"/>
      <c r="H245"/>
      <c r="I245"/>
    </row>
    <row r="246" spans="1:9" x14ac:dyDescent="0.25">
      <c r="A246" s="13">
        <v>801</v>
      </c>
      <c r="B246" s="11" t="s">
        <v>277</v>
      </c>
      <c r="C246" s="11" t="s">
        <v>497</v>
      </c>
      <c r="D246" s="12">
        <v>1650</v>
      </c>
      <c r="E246"/>
      <c r="F246"/>
      <c r="G246"/>
      <c r="H246"/>
      <c r="I246"/>
    </row>
    <row r="247" spans="1:9" x14ac:dyDescent="0.25">
      <c r="A247" s="13">
        <v>802</v>
      </c>
      <c r="B247" s="11" t="s">
        <v>277</v>
      </c>
      <c r="C247" s="11" t="s">
        <v>497</v>
      </c>
      <c r="D247" s="12">
        <v>2680</v>
      </c>
      <c r="E247"/>
      <c r="F247"/>
      <c r="G247"/>
      <c r="H247"/>
      <c r="I247"/>
    </row>
    <row r="248" spans="1:9" x14ac:dyDescent="0.25">
      <c r="A248" s="13">
        <v>803</v>
      </c>
      <c r="B248" s="11" t="s">
        <v>277</v>
      </c>
      <c r="C248" s="11" t="s">
        <v>497</v>
      </c>
      <c r="D248" s="12">
        <v>1950</v>
      </c>
      <c r="E248"/>
      <c r="F248"/>
      <c r="G248"/>
      <c r="H248"/>
      <c r="I248"/>
    </row>
    <row r="249" spans="1:9" x14ac:dyDescent="0.25">
      <c r="A249" s="13">
        <v>804</v>
      </c>
      <c r="B249" s="11" t="s">
        <v>277</v>
      </c>
      <c r="C249" s="11" t="s">
        <v>497</v>
      </c>
      <c r="D249" s="12">
        <v>2785</v>
      </c>
      <c r="E249"/>
      <c r="F249"/>
      <c r="G249"/>
      <c r="H249"/>
      <c r="I249"/>
    </row>
    <row r="250" spans="1:9" x14ac:dyDescent="0.25">
      <c r="A250" s="13">
        <v>805</v>
      </c>
      <c r="B250" s="11" t="s">
        <v>277</v>
      </c>
      <c r="C250" s="11" t="s">
        <v>497</v>
      </c>
      <c r="D250" s="12">
        <v>1675</v>
      </c>
      <c r="E250"/>
      <c r="F250"/>
      <c r="G250"/>
      <c r="H250"/>
      <c r="I250"/>
    </row>
    <row r="251" spans="1:9" x14ac:dyDescent="0.25">
      <c r="A251" s="13">
        <v>806</v>
      </c>
      <c r="B251" s="11" t="s">
        <v>277</v>
      </c>
      <c r="C251" s="11" t="s">
        <v>497</v>
      </c>
      <c r="D251" s="12">
        <v>4250</v>
      </c>
      <c r="E251"/>
      <c r="F251"/>
      <c r="G251"/>
      <c r="H251"/>
      <c r="I251"/>
    </row>
    <row r="252" spans="1:9" x14ac:dyDescent="0.25">
      <c r="A252" s="13">
        <v>807</v>
      </c>
      <c r="B252" s="11" t="s">
        <v>277</v>
      </c>
      <c r="C252" s="11" t="s">
        <v>497</v>
      </c>
      <c r="D252" s="12">
        <v>1275</v>
      </c>
      <c r="E252"/>
      <c r="F252"/>
      <c r="G252"/>
      <c r="H252"/>
      <c r="I252"/>
    </row>
    <row r="253" spans="1:9" x14ac:dyDescent="0.25">
      <c r="A253" s="13">
        <v>808</v>
      </c>
      <c r="B253" s="11" t="s">
        <v>277</v>
      </c>
      <c r="C253" s="11" t="s">
        <v>497</v>
      </c>
      <c r="D253" s="12">
        <v>1530</v>
      </c>
      <c r="E253"/>
      <c r="F253"/>
      <c r="G253"/>
      <c r="H253"/>
      <c r="I253"/>
    </row>
    <row r="254" spans="1:9" x14ac:dyDescent="0.25">
      <c r="A254" s="13">
        <v>809</v>
      </c>
      <c r="B254" s="11" t="s">
        <v>277</v>
      </c>
      <c r="C254" s="11" t="s">
        <v>497</v>
      </c>
      <c r="D254" s="12">
        <v>2425</v>
      </c>
      <c r="E254"/>
      <c r="F254"/>
      <c r="G254"/>
      <c r="H254"/>
      <c r="I254"/>
    </row>
    <row r="255" spans="1:9" x14ac:dyDescent="0.25">
      <c r="A255" s="13">
        <v>810</v>
      </c>
      <c r="B255" s="11" t="s">
        <v>277</v>
      </c>
      <c r="C255" s="11" t="s">
        <v>497</v>
      </c>
      <c r="D255" s="12">
        <v>2545</v>
      </c>
      <c r="E255"/>
      <c r="F255"/>
      <c r="G255"/>
      <c r="H255"/>
      <c r="I255"/>
    </row>
    <row r="256" spans="1:9" x14ac:dyDescent="0.25">
      <c r="A256" s="13">
        <v>811</v>
      </c>
      <c r="B256" s="11" t="s">
        <v>277</v>
      </c>
      <c r="C256" s="11" t="s">
        <v>497</v>
      </c>
      <c r="D256" s="12">
        <v>1470</v>
      </c>
      <c r="E256"/>
      <c r="F256"/>
      <c r="G256"/>
      <c r="H256"/>
      <c r="I256"/>
    </row>
    <row r="257" spans="1:9" x14ac:dyDescent="0.25">
      <c r="A257" s="13">
        <v>812</v>
      </c>
      <c r="B257" s="11" t="s">
        <v>277</v>
      </c>
      <c r="C257" s="11" t="s">
        <v>497</v>
      </c>
      <c r="D257" s="12">
        <v>1005</v>
      </c>
      <c r="E257"/>
      <c r="F257"/>
      <c r="G257"/>
      <c r="H257"/>
      <c r="I257"/>
    </row>
    <row r="258" spans="1:9" x14ac:dyDescent="0.25">
      <c r="A258" s="13">
        <v>813</v>
      </c>
      <c r="B258" s="11" t="s">
        <v>277</v>
      </c>
      <c r="C258" s="11" t="s">
        <v>497</v>
      </c>
      <c r="D258" s="12">
        <v>3470</v>
      </c>
      <c r="E258"/>
      <c r="F258"/>
      <c r="G258"/>
      <c r="H258"/>
      <c r="I258"/>
    </row>
    <row r="259" spans="1:9" x14ac:dyDescent="0.25">
      <c r="A259" s="13">
        <v>814</v>
      </c>
      <c r="B259" s="11" t="s">
        <v>277</v>
      </c>
      <c r="C259" s="11" t="s">
        <v>497</v>
      </c>
      <c r="D259" s="12">
        <v>1555</v>
      </c>
      <c r="E259"/>
      <c r="F259"/>
      <c r="G259"/>
      <c r="H259"/>
      <c r="I259"/>
    </row>
    <row r="260" spans="1:9" x14ac:dyDescent="0.25">
      <c r="A260" s="13">
        <v>815</v>
      </c>
      <c r="B260" s="11" t="s">
        <v>277</v>
      </c>
      <c r="C260" s="11" t="s">
        <v>497</v>
      </c>
      <c r="D260" s="12">
        <v>1410</v>
      </c>
      <c r="E260"/>
      <c r="F260"/>
      <c r="G260"/>
      <c r="H260"/>
      <c r="I260"/>
    </row>
    <row r="261" spans="1:9" x14ac:dyDescent="0.25">
      <c r="A261" s="13">
        <v>816</v>
      </c>
      <c r="B261" s="11" t="s">
        <v>284</v>
      </c>
      <c r="C261" s="11" t="s">
        <v>497</v>
      </c>
      <c r="D261" s="12">
        <v>1050</v>
      </c>
      <c r="E261"/>
      <c r="F261"/>
      <c r="G261"/>
      <c r="H261"/>
      <c r="I261"/>
    </row>
    <row r="262" spans="1:9" x14ac:dyDescent="0.25">
      <c r="A262" s="13">
        <v>817</v>
      </c>
      <c r="B262" s="11" t="s">
        <v>277</v>
      </c>
      <c r="C262" s="11" t="s">
        <v>497</v>
      </c>
      <c r="D262" s="12">
        <v>2010</v>
      </c>
      <c r="E262"/>
      <c r="F262"/>
      <c r="G262"/>
      <c r="H262"/>
      <c r="I262"/>
    </row>
    <row r="263" spans="1:9" x14ac:dyDescent="0.25">
      <c r="A263" s="13">
        <v>818</v>
      </c>
      <c r="B263" s="11" t="s">
        <v>277</v>
      </c>
      <c r="C263" s="11" t="s">
        <v>497</v>
      </c>
      <c r="D263" s="12">
        <v>1050</v>
      </c>
      <c r="E263"/>
      <c r="F263"/>
      <c r="G263"/>
      <c r="H263"/>
      <c r="I263"/>
    </row>
    <row r="264" spans="1:9" x14ac:dyDescent="0.25">
      <c r="A264" s="13">
        <v>819</v>
      </c>
      <c r="B264" s="11" t="s">
        <v>277</v>
      </c>
      <c r="C264" s="11" t="s">
        <v>497</v>
      </c>
      <c r="D264" s="12">
        <v>980</v>
      </c>
      <c r="E264"/>
      <c r="F264"/>
      <c r="G264"/>
      <c r="H264"/>
      <c r="I264"/>
    </row>
    <row r="265" spans="1:9" x14ac:dyDescent="0.25">
      <c r="A265" s="13">
        <v>820</v>
      </c>
      <c r="B265" s="11" t="s">
        <v>277</v>
      </c>
      <c r="C265" s="11" t="s">
        <v>497</v>
      </c>
      <c r="D265" s="12">
        <v>980</v>
      </c>
      <c r="E265"/>
      <c r="F265"/>
      <c r="G265"/>
      <c r="H265"/>
      <c r="I265"/>
    </row>
    <row r="266" spans="1:9" x14ac:dyDescent="0.25">
      <c r="A266" s="13">
        <v>821</v>
      </c>
      <c r="B266" s="11" t="s">
        <v>277</v>
      </c>
      <c r="C266" s="11" t="s">
        <v>497</v>
      </c>
      <c r="D266" s="12">
        <v>930</v>
      </c>
      <c r="E266"/>
      <c r="F266"/>
      <c r="G266"/>
      <c r="H266"/>
      <c r="I266"/>
    </row>
    <row r="267" spans="1:9" x14ac:dyDescent="0.25">
      <c r="A267" s="13">
        <v>822</v>
      </c>
      <c r="B267" s="11" t="s">
        <v>277</v>
      </c>
      <c r="C267" s="11" t="s">
        <v>497</v>
      </c>
      <c r="D267" s="12">
        <v>980</v>
      </c>
      <c r="E267"/>
      <c r="F267"/>
      <c r="G267"/>
      <c r="H267"/>
      <c r="I267"/>
    </row>
    <row r="268" spans="1:9" x14ac:dyDescent="0.25">
      <c r="A268" s="13">
        <v>823</v>
      </c>
      <c r="B268" s="11" t="s">
        <v>277</v>
      </c>
      <c r="C268" s="11" t="s">
        <v>497</v>
      </c>
      <c r="D268" s="12">
        <v>1110</v>
      </c>
      <c r="E268"/>
      <c r="F268"/>
      <c r="G268"/>
      <c r="H268"/>
      <c r="I268"/>
    </row>
    <row r="269" spans="1:9" x14ac:dyDescent="0.25">
      <c r="A269" s="13">
        <v>824</v>
      </c>
      <c r="B269" s="11" t="s">
        <v>277</v>
      </c>
      <c r="C269" s="11" t="s">
        <v>497</v>
      </c>
      <c r="D269" s="12">
        <v>1140</v>
      </c>
      <c r="E269"/>
      <c r="F269"/>
      <c r="G269"/>
      <c r="H269"/>
      <c r="I269"/>
    </row>
    <row r="270" spans="1:9" x14ac:dyDescent="0.25">
      <c r="A270" s="13">
        <v>825</v>
      </c>
      <c r="B270" s="11" t="s">
        <v>277</v>
      </c>
      <c r="C270" s="11" t="s">
        <v>497</v>
      </c>
      <c r="D270" s="12">
        <v>1230</v>
      </c>
      <c r="E270"/>
      <c r="F270"/>
      <c r="G270"/>
      <c r="H270"/>
      <c r="I270"/>
    </row>
    <row r="271" spans="1:9" x14ac:dyDescent="0.25">
      <c r="A271" s="13">
        <v>826</v>
      </c>
      <c r="B271" s="11" t="s">
        <v>277</v>
      </c>
      <c r="C271" s="11" t="s">
        <v>497</v>
      </c>
      <c r="D271" s="12">
        <v>2635</v>
      </c>
      <c r="E271"/>
      <c r="F271"/>
      <c r="G271"/>
      <c r="H271"/>
      <c r="I271"/>
    </row>
    <row r="272" spans="1:9" x14ac:dyDescent="0.25">
      <c r="A272" s="13">
        <v>827</v>
      </c>
      <c r="B272" s="11" t="s">
        <v>277</v>
      </c>
      <c r="C272" s="11" t="s">
        <v>497</v>
      </c>
      <c r="D272" s="12">
        <v>2070</v>
      </c>
      <c r="E272"/>
      <c r="F272"/>
      <c r="G272"/>
      <c r="H272"/>
      <c r="I272"/>
    </row>
    <row r="273" spans="1:9" x14ac:dyDescent="0.25">
      <c r="A273" s="13">
        <v>828</v>
      </c>
      <c r="B273" s="11" t="s">
        <v>277</v>
      </c>
      <c r="C273" s="11" t="s">
        <v>497</v>
      </c>
      <c r="D273" s="12">
        <v>1200</v>
      </c>
      <c r="E273"/>
      <c r="F273"/>
      <c r="G273"/>
      <c r="H273"/>
      <c r="I273"/>
    </row>
    <row r="274" spans="1:9" x14ac:dyDescent="0.25">
      <c r="A274" s="13">
        <v>829</v>
      </c>
      <c r="B274" s="11" t="s">
        <v>277</v>
      </c>
      <c r="C274" s="11" t="s">
        <v>497</v>
      </c>
      <c r="D274" s="12">
        <v>3025</v>
      </c>
      <c r="E274"/>
      <c r="F274"/>
      <c r="G274"/>
      <c r="H274"/>
      <c r="I274"/>
    </row>
    <row r="275" spans="1:9" x14ac:dyDescent="0.25">
      <c r="A275" s="13">
        <v>830</v>
      </c>
      <c r="B275" s="11" t="s">
        <v>277</v>
      </c>
      <c r="C275" s="11" t="s">
        <v>497</v>
      </c>
      <c r="D275" s="12">
        <v>1200</v>
      </c>
      <c r="E275"/>
      <c r="F275"/>
      <c r="G275"/>
      <c r="H275"/>
      <c r="I275"/>
    </row>
    <row r="276" spans="1:9" x14ac:dyDescent="0.25">
      <c r="A276" s="13">
        <v>831</v>
      </c>
      <c r="B276" s="11" t="s">
        <v>277</v>
      </c>
      <c r="C276" s="11" t="s">
        <v>497</v>
      </c>
      <c r="D276" s="12">
        <v>1530</v>
      </c>
      <c r="E276"/>
      <c r="F276"/>
      <c r="G276"/>
      <c r="H276"/>
      <c r="I276"/>
    </row>
    <row r="277" spans="1:9" x14ac:dyDescent="0.25">
      <c r="A277" s="13">
        <v>832</v>
      </c>
      <c r="B277" s="11" t="s">
        <v>277</v>
      </c>
      <c r="C277" s="11" t="s">
        <v>497</v>
      </c>
      <c r="D277" s="12">
        <v>1290</v>
      </c>
      <c r="E277"/>
      <c r="F277"/>
      <c r="G277"/>
      <c r="H277"/>
      <c r="I277"/>
    </row>
    <row r="278" spans="1:9" x14ac:dyDescent="0.25">
      <c r="A278" s="13">
        <v>833</v>
      </c>
      <c r="B278" s="11" t="s">
        <v>277</v>
      </c>
      <c r="C278" s="11" t="s">
        <v>497</v>
      </c>
      <c r="D278" s="12">
        <v>955</v>
      </c>
      <c r="E278"/>
      <c r="F278"/>
      <c r="G278"/>
      <c r="H278"/>
      <c r="I278"/>
    </row>
    <row r="279" spans="1:9" x14ac:dyDescent="0.25">
      <c r="A279" s="13">
        <v>834</v>
      </c>
      <c r="B279" s="11" t="s">
        <v>277</v>
      </c>
      <c r="C279" s="11" t="s">
        <v>497</v>
      </c>
      <c r="D279" s="12">
        <v>1230</v>
      </c>
      <c r="E279"/>
      <c r="F279"/>
      <c r="G279"/>
      <c r="H279"/>
      <c r="I279"/>
    </row>
    <row r="280" spans="1:9" x14ac:dyDescent="0.25">
      <c r="A280" s="13">
        <v>835</v>
      </c>
      <c r="B280" s="11" t="s">
        <v>277</v>
      </c>
      <c r="C280" s="11" t="s">
        <v>497</v>
      </c>
      <c r="D280" s="12">
        <v>1350</v>
      </c>
      <c r="E280"/>
      <c r="F280"/>
      <c r="G280"/>
      <c r="H280"/>
      <c r="I280"/>
    </row>
    <row r="281" spans="1:9" x14ac:dyDescent="0.25">
      <c r="A281" s="13">
        <v>836</v>
      </c>
      <c r="B281" s="11" t="s">
        <v>277</v>
      </c>
      <c r="C281" s="11" t="s">
        <v>497</v>
      </c>
      <c r="D281" s="12">
        <v>1050</v>
      </c>
      <c r="E281"/>
      <c r="F281"/>
      <c r="G281"/>
      <c r="H281"/>
      <c r="I281"/>
    </row>
    <row r="282" spans="1:9" x14ac:dyDescent="0.25">
      <c r="A282" s="13">
        <v>837</v>
      </c>
      <c r="B282" s="11" t="s">
        <v>277</v>
      </c>
      <c r="C282" s="11" t="s">
        <v>497</v>
      </c>
      <c r="D282" s="12">
        <v>1170</v>
      </c>
      <c r="E282"/>
      <c r="F282"/>
      <c r="G282"/>
      <c r="H282"/>
      <c r="I282"/>
    </row>
    <row r="283" spans="1:9" x14ac:dyDescent="0.25">
      <c r="A283" s="13">
        <v>838</v>
      </c>
      <c r="B283" s="11" t="s">
        <v>277</v>
      </c>
      <c r="C283" s="11" t="s">
        <v>497</v>
      </c>
      <c r="D283" s="12">
        <v>750</v>
      </c>
      <c r="E283"/>
      <c r="F283"/>
      <c r="G283"/>
      <c r="H283"/>
      <c r="I283"/>
    </row>
    <row r="284" spans="1:9" x14ac:dyDescent="0.25">
      <c r="A284" s="13">
        <v>839</v>
      </c>
      <c r="B284" s="11" t="s">
        <v>277</v>
      </c>
      <c r="C284" s="11" t="s">
        <v>497</v>
      </c>
      <c r="D284" s="12">
        <v>950</v>
      </c>
      <c r="E284"/>
      <c r="F284"/>
      <c r="G284"/>
      <c r="H284"/>
      <c r="I284"/>
    </row>
    <row r="285" spans="1:9" x14ac:dyDescent="0.25">
      <c r="A285" s="13">
        <v>840</v>
      </c>
      <c r="B285" s="11" t="s">
        <v>277</v>
      </c>
      <c r="C285" s="11" t="s">
        <v>497</v>
      </c>
      <c r="D285" s="12">
        <v>900</v>
      </c>
      <c r="E285"/>
      <c r="F285"/>
      <c r="G285"/>
      <c r="H285"/>
      <c r="I285"/>
    </row>
    <row r="286" spans="1:9" x14ac:dyDescent="0.25">
      <c r="A286" s="13">
        <v>907</v>
      </c>
      <c r="B286" s="11" t="s">
        <v>277</v>
      </c>
      <c r="C286" s="11" t="s">
        <v>497</v>
      </c>
      <c r="D286" s="12">
        <v>2335</v>
      </c>
      <c r="E286"/>
      <c r="F286"/>
      <c r="G286"/>
      <c r="H286"/>
      <c r="I286"/>
    </row>
    <row r="287" spans="1:9" x14ac:dyDescent="0.25">
      <c r="A287" s="13">
        <v>948</v>
      </c>
      <c r="B287" s="11" t="s">
        <v>284</v>
      </c>
      <c r="C287" s="11" t="s">
        <v>493</v>
      </c>
      <c r="D287" s="12">
        <v>755</v>
      </c>
      <c r="E287"/>
      <c r="F287"/>
      <c r="G287"/>
      <c r="H287"/>
      <c r="I287"/>
    </row>
    <row r="288" spans="1:9" x14ac:dyDescent="0.25">
      <c r="A288" s="13">
        <v>949</v>
      </c>
      <c r="B288" s="11" t="s">
        <v>284</v>
      </c>
      <c r="C288" s="11" t="s">
        <v>493</v>
      </c>
      <c r="D288" s="12">
        <v>845</v>
      </c>
      <c r="E288"/>
      <c r="F288"/>
      <c r="G288"/>
      <c r="H288"/>
      <c r="I288"/>
    </row>
    <row r="289" spans="1:9" x14ac:dyDescent="0.25">
      <c r="A289" s="13">
        <v>951</v>
      </c>
      <c r="B289" s="11" t="s">
        <v>284</v>
      </c>
      <c r="C289" s="11" t="s">
        <v>493</v>
      </c>
      <c r="D289" s="12">
        <v>865</v>
      </c>
      <c r="E289"/>
      <c r="F289"/>
      <c r="G289"/>
      <c r="H289"/>
      <c r="I289"/>
    </row>
    <row r="290" spans="1:9" x14ac:dyDescent="0.25">
      <c r="A290" s="13">
        <v>959</v>
      </c>
      <c r="B290" s="11" t="s">
        <v>284</v>
      </c>
      <c r="C290" s="11" t="s">
        <v>493</v>
      </c>
      <c r="D290" s="12">
        <v>815</v>
      </c>
      <c r="E290"/>
      <c r="F290"/>
      <c r="G290"/>
      <c r="H290"/>
      <c r="I290"/>
    </row>
    <row r="291" spans="1:9" x14ac:dyDescent="0.25">
      <c r="A291" s="13">
        <v>960</v>
      </c>
      <c r="B291" s="11" t="s">
        <v>284</v>
      </c>
      <c r="C291" s="11" t="s">
        <v>493</v>
      </c>
      <c r="D291" s="12">
        <v>980</v>
      </c>
      <c r="E291"/>
      <c r="F291"/>
      <c r="G291"/>
      <c r="H291"/>
      <c r="I291"/>
    </row>
    <row r="292" spans="1:9" x14ac:dyDescent="0.25">
      <c r="A292" s="13">
        <v>962</v>
      </c>
      <c r="B292" s="11" t="s">
        <v>284</v>
      </c>
      <c r="C292" s="11" t="s">
        <v>493</v>
      </c>
      <c r="D292" s="12">
        <v>960</v>
      </c>
      <c r="E292"/>
      <c r="F292"/>
      <c r="G292"/>
      <c r="H292"/>
      <c r="I292"/>
    </row>
    <row r="293" spans="1:9" x14ac:dyDescent="0.25">
      <c r="A293" s="13">
        <v>965</v>
      </c>
      <c r="B293" s="11" t="s">
        <v>284</v>
      </c>
      <c r="C293" s="11" t="s">
        <v>493</v>
      </c>
      <c r="D293" s="12">
        <v>690</v>
      </c>
      <c r="E293"/>
      <c r="F293"/>
      <c r="G293"/>
      <c r="H293"/>
      <c r="I293"/>
    </row>
    <row r="294" spans="1:9" x14ac:dyDescent="0.25">
      <c r="A294" s="13">
        <v>968</v>
      </c>
      <c r="B294" s="11" t="s">
        <v>284</v>
      </c>
      <c r="C294" s="11" t="s">
        <v>493</v>
      </c>
      <c r="D294" s="12">
        <v>960</v>
      </c>
      <c r="E294"/>
      <c r="F294"/>
      <c r="G294"/>
      <c r="H294"/>
      <c r="I294"/>
    </row>
    <row r="295" spans="1:9" x14ac:dyDescent="0.25">
      <c r="A295" s="13">
        <v>969</v>
      </c>
      <c r="B295" s="11" t="s">
        <v>284</v>
      </c>
      <c r="C295" s="11" t="s">
        <v>493</v>
      </c>
      <c r="D295" s="12">
        <v>750</v>
      </c>
      <c r="E295"/>
      <c r="F295"/>
      <c r="G295"/>
      <c r="H295"/>
      <c r="I295"/>
    </row>
    <row r="296" spans="1:9" x14ac:dyDescent="0.25">
      <c r="A296" s="13">
        <v>970</v>
      </c>
      <c r="B296" s="11" t="s">
        <v>284</v>
      </c>
      <c r="C296" s="11" t="s">
        <v>493</v>
      </c>
      <c r="D296" s="12">
        <v>1040</v>
      </c>
      <c r="E296"/>
      <c r="F296"/>
      <c r="G296"/>
      <c r="H296"/>
      <c r="I296"/>
    </row>
    <row r="297" spans="1:9" x14ac:dyDescent="0.25">
      <c r="A297" s="13">
        <v>971</v>
      </c>
      <c r="B297" s="11" t="s">
        <v>284</v>
      </c>
      <c r="C297" s="11" t="s">
        <v>493</v>
      </c>
      <c r="D297" s="12">
        <v>795</v>
      </c>
      <c r="E297"/>
      <c r="F297"/>
      <c r="G297"/>
      <c r="H297"/>
      <c r="I297"/>
    </row>
    <row r="298" spans="1:9" x14ac:dyDescent="0.25">
      <c r="A298" s="13">
        <v>973</v>
      </c>
      <c r="B298" s="11" t="s">
        <v>284</v>
      </c>
      <c r="C298" s="11" t="s">
        <v>493</v>
      </c>
      <c r="D298" s="12">
        <v>995</v>
      </c>
      <c r="E298"/>
      <c r="F298"/>
      <c r="G298"/>
      <c r="H298"/>
      <c r="I298"/>
    </row>
    <row r="299" spans="1:9" x14ac:dyDescent="0.25">
      <c r="A299" s="13">
        <v>1004</v>
      </c>
      <c r="B299" s="11" t="s">
        <v>284</v>
      </c>
      <c r="C299" s="11" t="s">
        <v>493</v>
      </c>
      <c r="D299" s="12">
        <v>880</v>
      </c>
      <c r="E299"/>
      <c r="F299"/>
      <c r="G299"/>
      <c r="H299"/>
      <c r="I299"/>
    </row>
    <row r="300" spans="1:9" x14ac:dyDescent="0.25">
      <c r="A300" s="13">
        <v>1005</v>
      </c>
      <c r="B300" s="11" t="s">
        <v>284</v>
      </c>
      <c r="C300" s="11" t="s">
        <v>493</v>
      </c>
      <c r="D300" s="12">
        <v>950</v>
      </c>
      <c r="E300"/>
      <c r="F300"/>
      <c r="G300"/>
      <c r="H300"/>
      <c r="I300"/>
    </row>
    <row r="301" spans="1:9" x14ac:dyDescent="0.25">
      <c r="A301" s="13">
        <v>1006</v>
      </c>
      <c r="B301" s="11" t="s">
        <v>284</v>
      </c>
      <c r="C301" s="11" t="s">
        <v>493</v>
      </c>
      <c r="D301" s="12">
        <v>1185</v>
      </c>
      <c r="E301"/>
      <c r="F301"/>
      <c r="G301"/>
      <c r="H301"/>
      <c r="I301"/>
    </row>
    <row r="302" spans="1:9" x14ac:dyDescent="0.25">
      <c r="A302" s="13">
        <v>1007</v>
      </c>
      <c r="B302" s="11" t="s">
        <v>284</v>
      </c>
      <c r="C302" s="11" t="s">
        <v>493</v>
      </c>
      <c r="D302" s="12">
        <v>960</v>
      </c>
      <c r="E302"/>
      <c r="F302"/>
      <c r="G302"/>
      <c r="H302"/>
      <c r="I302"/>
    </row>
    <row r="303" spans="1:9" x14ac:dyDescent="0.25">
      <c r="A303" s="13">
        <v>1008</v>
      </c>
      <c r="B303" s="11" t="s">
        <v>284</v>
      </c>
      <c r="C303" s="11" t="s">
        <v>493</v>
      </c>
      <c r="D303" s="12">
        <v>1075</v>
      </c>
      <c r="E303"/>
      <c r="F303"/>
      <c r="G303"/>
      <c r="H303"/>
      <c r="I303"/>
    </row>
    <row r="304" spans="1:9" x14ac:dyDescent="0.25">
      <c r="A304" s="13">
        <v>1009</v>
      </c>
      <c r="B304" s="11" t="s">
        <v>284</v>
      </c>
      <c r="C304" s="11" t="s">
        <v>493</v>
      </c>
      <c r="D304" s="12">
        <v>795</v>
      </c>
      <c r="E304"/>
      <c r="F304"/>
      <c r="G304"/>
      <c r="H304"/>
      <c r="I304"/>
    </row>
    <row r="305" spans="1:9" x14ac:dyDescent="0.25">
      <c r="A305" s="13">
        <v>1011</v>
      </c>
      <c r="B305" s="11" t="s">
        <v>284</v>
      </c>
      <c r="C305" s="11" t="s">
        <v>493</v>
      </c>
      <c r="D305" s="12">
        <v>950</v>
      </c>
      <c r="E305"/>
      <c r="F305"/>
      <c r="G305"/>
      <c r="H305"/>
      <c r="I305"/>
    </row>
    <row r="306" spans="1:9" x14ac:dyDescent="0.25">
      <c r="A306" s="13">
        <v>1012</v>
      </c>
      <c r="B306" s="11" t="s">
        <v>284</v>
      </c>
      <c r="C306" s="11" t="s">
        <v>493</v>
      </c>
      <c r="D306" s="12">
        <v>1060</v>
      </c>
      <c r="E306"/>
      <c r="F306"/>
      <c r="G306"/>
      <c r="H306"/>
      <c r="I306"/>
    </row>
    <row r="307" spans="1:9" x14ac:dyDescent="0.25">
      <c r="A307" s="13">
        <v>1016</v>
      </c>
      <c r="B307" s="11" t="s">
        <v>284</v>
      </c>
      <c r="C307" s="11" t="s">
        <v>493</v>
      </c>
      <c r="D307" s="12">
        <v>1060</v>
      </c>
      <c r="E307"/>
      <c r="F307"/>
      <c r="G307"/>
      <c r="H307"/>
      <c r="I307"/>
    </row>
    <row r="308" spans="1:9" x14ac:dyDescent="0.25">
      <c r="A308" s="13">
        <v>1017</v>
      </c>
      <c r="B308" s="11" t="s">
        <v>284</v>
      </c>
      <c r="C308" s="11" t="s">
        <v>493</v>
      </c>
      <c r="D308" s="12">
        <v>805</v>
      </c>
      <c r="E308"/>
      <c r="F308"/>
      <c r="G308"/>
      <c r="H308"/>
      <c r="I308"/>
    </row>
    <row r="309" spans="1:9" x14ac:dyDescent="0.25">
      <c r="A309" s="13">
        <v>1018</v>
      </c>
      <c r="B309" s="11" t="s">
        <v>284</v>
      </c>
      <c r="C309" s="11" t="s">
        <v>493</v>
      </c>
      <c r="D309" s="12">
        <v>740</v>
      </c>
      <c r="E309"/>
      <c r="F309"/>
      <c r="G309"/>
      <c r="H309"/>
      <c r="I309"/>
    </row>
    <row r="310" spans="1:9" x14ac:dyDescent="0.25">
      <c r="A310" s="13">
        <v>1019</v>
      </c>
      <c r="B310" s="11" t="s">
        <v>284</v>
      </c>
      <c r="C310" s="11" t="s">
        <v>493</v>
      </c>
      <c r="D310" s="12">
        <v>770</v>
      </c>
      <c r="E310"/>
      <c r="F310"/>
      <c r="G310"/>
      <c r="H310"/>
      <c r="I310"/>
    </row>
    <row r="311" spans="1:9" x14ac:dyDescent="0.25">
      <c r="A311" s="13">
        <v>1020</v>
      </c>
      <c r="B311" s="11" t="s">
        <v>284</v>
      </c>
      <c r="C311" s="11" t="s">
        <v>493</v>
      </c>
      <c r="D311" s="12">
        <v>950</v>
      </c>
      <c r="E311"/>
      <c r="F311"/>
      <c r="G311"/>
      <c r="H311"/>
      <c r="I311"/>
    </row>
    <row r="312" spans="1:9" x14ac:dyDescent="0.25">
      <c r="A312" s="13">
        <v>1021</v>
      </c>
      <c r="B312" s="11" t="s">
        <v>284</v>
      </c>
      <c r="C312" s="11" t="s">
        <v>493</v>
      </c>
      <c r="D312" s="12">
        <v>1270</v>
      </c>
      <c r="E312"/>
      <c r="F312"/>
      <c r="G312"/>
      <c r="H312"/>
      <c r="I312"/>
    </row>
    <row r="313" spans="1:9" x14ac:dyDescent="0.25">
      <c r="A313" s="13">
        <v>1030</v>
      </c>
      <c r="B313" s="11" t="s">
        <v>284</v>
      </c>
      <c r="C313" s="11" t="s">
        <v>493</v>
      </c>
      <c r="D313" s="12">
        <v>865</v>
      </c>
      <c r="E313"/>
      <c r="F313"/>
      <c r="G313"/>
      <c r="H313"/>
      <c r="I313"/>
    </row>
    <row r="314" spans="1:9" x14ac:dyDescent="0.25">
      <c r="A314" s="13">
        <v>2241</v>
      </c>
      <c r="B314" s="11" t="s">
        <v>277</v>
      </c>
      <c r="C314" s="11" t="s">
        <v>497</v>
      </c>
      <c r="D314" s="12">
        <v>1230</v>
      </c>
      <c r="E314"/>
      <c r="F314"/>
      <c r="G314"/>
      <c r="H314"/>
      <c r="I314"/>
    </row>
    <row r="315" spans="1:9" x14ac:dyDescent="0.25">
      <c r="A315" s="13">
        <v>2251</v>
      </c>
      <c r="B315" s="11" t="s">
        <v>284</v>
      </c>
      <c r="C315" s="11" t="s">
        <v>497</v>
      </c>
      <c r="D315" s="12">
        <v>690</v>
      </c>
      <c r="E315"/>
      <c r="F315"/>
      <c r="G315"/>
      <c r="H315"/>
      <c r="I315"/>
    </row>
    <row r="316" spans="1:9" x14ac:dyDescent="0.25">
      <c r="A316" s="13">
        <v>2291</v>
      </c>
      <c r="B316" s="11" t="s">
        <v>277</v>
      </c>
      <c r="C316" s="11" t="s">
        <v>494</v>
      </c>
      <c r="D316" s="12">
        <v>320</v>
      </c>
      <c r="E316"/>
      <c r="F316"/>
      <c r="G316"/>
      <c r="H316"/>
      <c r="I316"/>
    </row>
    <row r="317" spans="1:9" x14ac:dyDescent="0.25">
      <c r="A317" s="13">
        <v>2292</v>
      </c>
      <c r="B317" s="11" t="s">
        <v>277</v>
      </c>
      <c r="C317" s="11" t="s">
        <v>494</v>
      </c>
      <c r="D317" s="12">
        <v>290</v>
      </c>
      <c r="E317"/>
      <c r="F317"/>
      <c r="G317"/>
      <c r="H317"/>
      <c r="I317"/>
    </row>
    <row r="318" spans="1:9" x14ac:dyDescent="0.25">
      <c r="A318" s="13">
        <v>2301</v>
      </c>
      <c r="B318" s="11" t="s">
        <v>277</v>
      </c>
      <c r="C318" s="11" t="s">
        <v>494</v>
      </c>
      <c r="D318" s="12">
        <v>380</v>
      </c>
      <c r="E318"/>
      <c r="F318"/>
      <c r="G318"/>
      <c r="H318"/>
      <c r="I318"/>
    </row>
    <row r="319" spans="1:9" x14ac:dyDescent="0.25">
      <c r="A319" s="13">
        <v>2302</v>
      </c>
      <c r="B319" s="11" t="s">
        <v>277</v>
      </c>
      <c r="C319" s="11" t="s">
        <v>494</v>
      </c>
      <c r="D319" s="12">
        <v>395</v>
      </c>
      <c r="E319"/>
      <c r="F319"/>
      <c r="G319"/>
      <c r="H319"/>
      <c r="I319"/>
    </row>
    <row r="320" spans="1:9" x14ac:dyDescent="0.25">
      <c r="A320" s="13">
        <v>2311</v>
      </c>
      <c r="B320" s="11" t="s">
        <v>277</v>
      </c>
      <c r="C320" s="11" t="s">
        <v>494</v>
      </c>
      <c r="D320" s="12">
        <v>340</v>
      </c>
      <c r="E320"/>
      <c r="F320"/>
      <c r="G320"/>
      <c r="H320"/>
      <c r="I320"/>
    </row>
    <row r="321" spans="1:9" x14ac:dyDescent="0.25">
      <c r="A321" s="13">
        <v>2312</v>
      </c>
      <c r="B321" s="11" t="s">
        <v>277</v>
      </c>
      <c r="C321" s="11" t="s">
        <v>494</v>
      </c>
      <c r="D321" s="12">
        <v>660</v>
      </c>
      <c r="E321"/>
      <c r="F321"/>
      <c r="G321"/>
      <c r="H321"/>
      <c r="I321"/>
    </row>
    <row r="322" spans="1:9" x14ac:dyDescent="0.25">
      <c r="A322" s="13">
        <v>2313</v>
      </c>
      <c r="B322" s="11" t="s">
        <v>277</v>
      </c>
      <c r="C322" s="11" t="s">
        <v>494</v>
      </c>
      <c r="D322" s="12">
        <v>415</v>
      </c>
      <c r="E322"/>
      <c r="F322"/>
      <c r="G322"/>
      <c r="H322"/>
      <c r="I322"/>
    </row>
    <row r="323" spans="1:9" x14ac:dyDescent="0.25">
      <c r="A323" s="13">
        <v>2314</v>
      </c>
      <c r="B323" s="11" t="s">
        <v>277</v>
      </c>
      <c r="C323" s="11" t="s">
        <v>494</v>
      </c>
      <c r="D323" s="12">
        <v>385</v>
      </c>
      <c r="E323"/>
      <c r="F323"/>
      <c r="G323"/>
      <c r="H323"/>
      <c r="I323"/>
    </row>
    <row r="324" spans="1:9" x14ac:dyDescent="0.25">
      <c r="A324" s="13">
        <v>2315</v>
      </c>
      <c r="B324" s="11" t="s">
        <v>277</v>
      </c>
      <c r="C324" s="11" t="s">
        <v>494</v>
      </c>
      <c r="D324" s="12">
        <v>430</v>
      </c>
      <c r="E324"/>
      <c r="F324"/>
      <c r="G324"/>
      <c r="H324"/>
      <c r="I324"/>
    </row>
    <row r="325" spans="1:9" x14ac:dyDescent="0.25">
      <c r="A325" s="13">
        <v>2316</v>
      </c>
      <c r="B325" s="11" t="s">
        <v>277</v>
      </c>
      <c r="C325" s="11" t="s">
        <v>494</v>
      </c>
      <c r="D325" s="12">
        <v>525</v>
      </c>
      <c r="E325"/>
      <c r="F325"/>
      <c r="G325"/>
      <c r="H325"/>
      <c r="I325"/>
    </row>
    <row r="326" spans="1:9" x14ac:dyDescent="0.25">
      <c r="A326" s="13">
        <v>2317</v>
      </c>
      <c r="B326" s="11" t="s">
        <v>277</v>
      </c>
      <c r="C326" s="11" t="s">
        <v>494</v>
      </c>
      <c r="D326" s="12">
        <v>510</v>
      </c>
      <c r="E326"/>
      <c r="F326"/>
      <c r="G326"/>
      <c r="H326"/>
      <c r="I326"/>
    </row>
    <row r="327" spans="1:9" x14ac:dyDescent="0.25">
      <c r="A327" s="13">
        <v>2318</v>
      </c>
      <c r="B327" s="11" t="s">
        <v>277</v>
      </c>
      <c r="C327" s="11" t="s">
        <v>494</v>
      </c>
      <c r="D327" s="12">
        <v>510</v>
      </c>
      <c r="E327"/>
      <c r="F327"/>
      <c r="G327"/>
      <c r="H327"/>
      <c r="I327"/>
    </row>
    <row r="328" spans="1:9" x14ac:dyDescent="0.25">
      <c r="A328" s="13">
        <v>2320</v>
      </c>
      <c r="B328" s="11" t="s">
        <v>277</v>
      </c>
      <c r="C328" s="11" t="s">
        <v>494</v>
      </c>
      <c r="D328" s="12">
        <v>450</v>
      </c>
      <c r="E328"/>
      <c r="F328"/>
      <c r="G328"/>
      <c r="H328"/>
      <c r="I328"/>
    </row>
    <row r="329" spans="1:9" x14ac:dyDescent="0.25">
      <c r="A329" s="13">
        <v>2331</v>
      </c>
      <c r="B329" s="11" t="s">
        <v>277</v>
      </c>
      <c r="C329" s="11" t="s">
        <v>494</v>
      </c>
      <c r="D329" s="12">
        <v>310</v>
      </c>
      <c r="E329"/>
      <c r="F329"/>
      <c r="G329"/>
      <c r="H329"/>
      <c r="I329"/>
    </row>
    <row r="330" spans="1:9" x14ac:dyDescent="0.25">
      <c r="A330" s="13">
        <v>2332</v>
      </c>
      <c r="B330" s="11" t="s">
        <v>277</v>
      </c>
      <c r="C330" s="11" t="s">
        <v>494</v>
      </c>
      <c r="D330" s="12">
        <v>360</v>
      </c>
      <c r="E330"/>
      <c r="F330"/>
      <c r="G330"/>
      <c r="H330"/>
      <c r="I330"/>
    </row>
    <row r="331" spans="1:9" x14ac:dyDescent="0.25">
      <c r="A331" s="13">
        <v>2334</v>
      </c>
      <c r="B331" s="11" t="s">
        <v>277</v>
      </c>
      <c r="C331" s="11" t="s">
        <v>494</v>
      </c>
      <c r="D331" s="12">
        <v>450</v>
      </c>
      <c r="E331"/>
      <c r="F331"/>
      <c r="G331"/>
      <c r="H331"/>
      <c r="I331"/>
    </row>
    <row r="332" spans="1:9" x14ac:dyDescent="0.25">
      <c r="A332" s="13">
        <v>2335</v>
      </c>
      <c r="B332" s="11" t="s">
        <v>277</v>
      </c>
      <c r="C332" s="11" t="s">
        <v>494</v>
      </c>
      <c r="D332" s="12">
        <v>275</v>
      </c>
      <c r="E332"/>
      <c r="F332"/>
      <c r="G332"/>
      <c r="H332"/>
      <c r="I332"/>
    </row>
    <row r="333" spans="1:9" x14ac:dyDescent="0.25">
      <c r="A333" s="13">
        <v>2336</v>
      </c>
      <c r="B333" s="11" t="s">
        <v>284</v>
      </c>
      <c r="C333" s="11" t="s">
        <v>494</v>
      </c>
      <c r="D333" s="12">
        <v>520</v>
      </c>
      <c r="E333"/>
      <c r="F333"/>
      <c r="G333"/>
      <c r="H333"/>
      <c r="I333"/>
    </row>
    <row r="334" spans="1:9" x14ac:dyDescent="0.25">
      <c r="A334" s="13">
        <v>2337</v>
      </c>
      <c r="B334" s="11" t="s">
        <v>277</v>
      </c>
      <c r="C334" s="11" t="s">
        <v>494</v>
      </c>
      <c r="D334" s="12">
        <v>475</v>
      </c>
      <c r="E334"/>
      <c r="F334"/>
      <c r="G334"/>
      <c r="H334"/>
      <c r="I334"/>
    </row>
    <row r="335" spans="1:9" x14ac:dyDescent="0.25">
      <c r="A335" s="13">
        <v>2351</v>
      </c>
      <c r="B335" s="11" t="s">
        <v>277</v>
      </c>
      <c r="C335" s="11" t="s">
        <v>494</v>
      </c>
      <c r="D335" s="12">
        <v>395</v>
      </c>
      <c r="E335"/>
      <c r="F335"/>
      <c r="G335"/>
      <c r="H335"/>
      <c r="I335"/>
    </row>
    <row r="336" spans="1:9" x14ac:dyDescent="0.25">
      <c r="A336" s="13">
        <v>2391</v>
      </c>
      <c r="B336" s="11" t="s">
        <v>277</v>
      </c>
      <c r="C336" s="11" t="s">
        <v>497</v>
      </c>
      <c r="D336" s="12">
        <v>890</v>
      </c>
      <c r="E336"/>
      <c r="F336"/>
      <c r="G336"/>
      <c r="H336"/>
      <c r="I336"/>
    </row>
    <row r="337" spans="1:9" x14ac:dyDescent="0.25">
      <c r="A337" s="13">
        <v>2392</v>
      </c>
      <c r="B337" s="11" t="s">
        <v>277</v>
      </c>
      <c r="C337" s="11" t="s">
        <v>497</v>
      </c>
      <c r="D337" s="12">
        <v>890</v>
      </c>
      <c r="E337"/>
      <c r="F337"/>
      <c r="G337"/>
      <c r="H337"/>
      <c r="I337"/>
    </row>
    <row r="338" spans="1:9" x14ac:dyDescent="0.25">
      <c r="A338" s="13">
        <v>2393</v>
      </c>
      <c r="B338" s="11" t="s">
        <v>277</v>
      </c>
      <c r="C338" s="11" t="s">
        <v>497</v>
      </c>
      <c r="D338" s="12">
        <v>675</v>
      </c>
      <c r="E338"/>
      <c r="F338"/>
      <c r="G338"/>
      <c r="H338"/>
      <c r="I338"/>
    </row>
    <row r="339" spans="1:9" x14ac:dyDescent="0.25">
      <c r="A339" s="13">
        <v>2394</v>
      </c>
      <c r="B339" s="11" t="s">
        <v>277</v>
      </c>
      <c r="C339" s="11" t="s">
        <v>497</v>
      </c>
      <c r="D339" s="12">
        <v>675</v>
      </c>
      <c r="E339"/>
      <c r="F339"/>
      <c r="G339"/>
      <c r="H339"/>
      <c r="I339"/>
    </row>
    <row r="340" spans="1:9" x14ac:dyDescent="0.25">
      <c r="A340" s="13">
        <v>2395</v>
      </c>
      <c r="B340" s="11" t="s">
        <v>277</v>
      </c>
      <c r="C340" s="11" t="s">
        <v>497</v>
      </c>
      <c r="D340" s="12">
        <v>675</v>
      </c>
      <c r="E340"/>
      <c r="F340"/>
      <c r="G340"/>
      <c r="H340"/>
      <c r="I340"/>
    </row>
    <row r="341" spans="1:9" x14ac:dyDescent="0.25">
      <c r="A341" s="13">
        <v>2396</v>
      </c>
      <c r="B341" s="11" t="s">
        <v>277</v>
      </c>
      <c r="C341" s="11" t="s">
        <v>497</v>
      </c>
      <c r="D341" s="12">
        <v>560</v>
      </c>
      <c r="E341"/>
      <c r="F341"/>
      <c r="G341"/>
      <c r="H341"/>
      <c r="I341"/>
    </row>
    <row r="342" spans="1:9" x14ac:dyDescent="0.25">
      <c r="A342" s="13">
        <v>2397</v>
      </c>
      <c r="B342" s="11" t="s">
        <v>277</v>
      </c>
      <c r="C342" s="11" t="s">
        <v>497</v>
      </c>
      <c r="D342" s="12">
        <v>425</v>
      </c>
      <c r="E342"/>
      <c r="F342"/>
      <c r="G342"/>
      <c r="H342"/>
      <c r="I342"/>
    </row>
    <row r="343" spans="1:9" x14ac:dyDescent="0.25">
      <c r="A343" s="13">
        <v>2398</v>
      </c>
      <c r="B343" s="11" t="s">
        <v>277</v>
      </c>
      <c r="C343" s="11" t="s">
        <v>497</v>
      </c>
      <c r="D343" s="12">
        <v>675</v>
      </c>
      <c r="E343"/>
      <c r="F343"/>
      <c r="G343"/>
      <c r="H343"/>
      <c r="I343"/>
    </row>
    <row r="344" spans="1:9" x14ac:dyDescent="0.25">
      <c r="A344" s="13">
        <v>2399</v>
      </c>
      <c r="B344" s="11" t="s">
        <v>277</v>
      </c>
      <c r="C344" s="11" t="s">
        <v>497</v>
      </c>
      <c r="D344" s="12">
        <v>675</v>
      </c>
      <c r="E344"/>
      <c r="F344"/>
      <c r="G344"/>
      <c r="H344"/>
      <c r="I344"/>
    </row>
    <row r="345" spans="1:9" x14ac:dyDescent="0.25">
      <c r="A345" s="13">
        <v>2401</v>
      </c>
      <c r="B345" s="11" t="s">
        <v>277</v>
      </c>
      <c r="C345" s="11" t="s">
        <v>498</v>
      </c>
      <c r="D345" s="12">
        <v>165</v>
      </c>
      <c r="E345"/>
      <c r="F345"/>
      <c r="G345"/>
      <c r="H345"/>
      <c r="I345"/>
    </row>
    <row r="346" spans="1:9" x14ac:dyDescent="0.25">
      <c r="A346" s="13">
        <v>2402</v>
      </c>
      <c r="B346" s="11" t="s">
        <v>277</v>
      </c>
      <c r="C346" s="11" t="s">
        <v>498</v>
      </c>
      <c r="D346" s="12">
        <v>125</v>
      </c>
      <c r="E346"/>
      <c r="F346"/>
      <c r="G346"/>
      <c r="H346"/>
      <c r="I346"/>
    </row>
    <row r="347" spans="1:9" x14ac:dyDescent="0.25">
      <c r="A347" s="13">
        <v>2403</v>
      </c>
      <c r="B347" s="11" t="s">
        <v>277</v>
      </c>
      <c r="C347" s="11" t="s">
        <v>498</v>
      </c>
      <c r="D347" s="12">
        <v>150</v>
      </c>
      <c r="E347"/>
      <c r="F347"/>
      <c r="G347"/>
      <c r="H347"/>
      <c r="I347"/>
    </row>
    <row r="348" spans="1:9" x14ac:dyDescent="0.25">
      <c r="A348" s="13">
        <v>2404</v>
      </c>
      <c r="B348" s="11" t="s">
        <v>277</v>
      </c>
      <c r="C348" s="11" t="s">
        <v>498</v>
      </c>
      <c r="D348" s="12">
        <v>150</v>
      </c>
      <c r="E348"/>
      <c r="F348"/>
      <c r="G348"/>
      <c r="H348"/>
      <c r="I348"/>
    </row>
    <row r="349" spans="1:9" x14ac:dyDescent="0.25">
      <c r="A349" s="13">
        <v>2405</v>
      </c>
      <c r="B349" s="11" t="s">
        <v>277</v>
      </c>
      <c r="C349" s="11" t="s">
        <v>498</v>
      </c>
      <c r="D349" s="12">
        <v>175</v>
      </c>
      <c r="E349"/>
      <c r="F349"/>
      <c r="G349"/>
      <c r="H349"/>
      <c r="I349"/>
    </row>
    <row r="350" spans="1:9" x14ac:dyDescent="0.25">
      <c r="A350" s="13">
        <v>2406</v>
      </c>
      <c r="B350" s="11" t="s">
        <v>277</v>
      </c>
      <c r="C350" s="11" t="s">
        <v>498</v>
      </c>
      <c r="D350" s="12">
        <v>205</v>
      </c>
      <c r="E350"/>
      <c r="F350"/>
      <c r="G350"/>
      <c r="H350"/>
      <c r="I350"/>
    </row>
    <row r="351" spans="1:9" x14ac:dyDescent="0.25">
      <c r="A351" s="13">
        <v>2407</v>
      </c>
      <c r="B351" s="11" t="s">
        <v>277</v>
      </c>
      <c r="C351" s="11" t="s">
        <v>498</v>
      </c>
      <c r="D351" s="12">
        <v>160</v>
      </c>
      <c r="E351"/>
      <c r="F351"/>
      <c r="G351"/>
      <c r="H351"/>
      <c r="I351"/>
    </row>
    <row r="352" spans="1:9" x14ac:dyDescent="0.25">
      <c r="A352" s="13">
        <v>2408</v>
      </c>
      <c r="B352" s="11" t="s">
        <v>277</v>
      </c>
      <c r="C352" s="11" t="s">
        <v>498</v>
      </c>
      <c r="D352" s="12">
        <v>180</v>
      </c>
      <c r="E352"/>
      <c r="F352"/>
      <c r="G352"/>
      <c r="H352"/>
      <c r="I352"/>
    </row>
    <row r="353" spans="1:9" x14ac:dyDescent="0.25">
      <c r="A353" s="13">
        <v>2409</v>
      </c>
      <c r="B353" s="11" t="s">
        <v>277</v>
      </c>
      <c r="C353" s="11" t="s">
        <v>498</v>
      </c>
      <c r="D353" s="12">
        <v>175</v>
      </c>
      <c r="E353"/>
      <c r="F353"/>
      <c r="G353"/>
      <c r="H353"/>
      <c r="I353"/>
    </row>
    <row r="354" spans="1:9" x14ac:dyDescent="0.25">
      <c r="A354" s="13">
        <v>2410</v>
      </c>
      <c r="B354" s="11" t="s">
        <v>277</v>
      </c>
      <c r="C354" s="11" t="s">
        <v>498</v>
      </c>
      <c r="D354" s="12">
        <v>130</v>
      </c>
      <c r="E354"/>
      <c r="F354"/>
      <c r="G354"/>
      <c r="H354"/>
      <c r="I354"/>
    </row>
    <row r="355" spans="1:9" x14ac:dyDescent="0.25">
      <c r="A355" s="13">
        <v>2411</v>
      </c>
      <c r="B355" s="11" t="s">
        <v>277</v>
      </c>
      <c r="C355" s="11" t="s">
        <v>498</v>
      </c>
      <c r="D355" s="12">
        <v>115</v>
      </c>
      <c r="E355"/>
      <c r="F355"/>
      <c r="G355"/>
      <c r="H355"/>
      <c r="I355"/>
    </row>
    <row r="356" spans="1:9" x14ac:dyDescent="0.25">
      <c r="A356" s="13">
        <v>2412</v>
      </c>
      <c r="B356" s="11" t="s">
        <v>277</v>
      </c>
      <c r="C356" s="11" t="s">
        <v>498</v>
      </c>
      <c r="D356" s="12">
        <v>135</v>
      </c>
      <c r="E356"/>
      <c r="F356"/>
      <c r="G356"/>
      <c r="H356"/>
      <c r="I356"/>
    </row>
    <row r="357" spans="1:9" x14ac:dyDescent="0.25">
      <c r="A357" s="13">
        <v>2413</v>
      </c>
      <c r="B357" s="11" t="s">
        <v>277</v>
      </c>
      <c r="C357" s="11" t="s">
        <v>498</v>
      </c>
      <c r="D357" s="12">
        <v>115</v>
      </c>
      <c r="E357"/>
      <c r="F357"/>
      <c r="G357"/>
      <c r="H357"/>
      <c r="I357"/>
    </row>
    <row r="358" spans="1:9" x14ac:dyDescent="0.25">
      <c r="A358" s="13">
        <v>2414</v>
      </c>
      <c r="B358" s="11" t="s">
        <v>277</v>
      </c>
      <c r="C358" s="11" t="s">
        <v>498</v>
      </c>
      <c r="D358" s="12">
        <v>115</v>
      </c>
      <c r="E358"/>
      <c r="F358"/>
      <c r="G358"/>
      <c r="H358"/>
      <c r="I358"/>
    </row>
    <row r="359" spans="1:9" x14ac:dyDescent="0.25">
      <c r="A359" s="13">
        <v>2415</v>
      </c>
      <c r="B359" s="11" t="s">
        <v>284</v>
      </c>
      <c r="C359" s="11" t="s">
        <v>498</v>
      </c>
      <c r="D359" s="12">
        <v>245</v>
      </c>
      <c r="E359"/>
      <c r="F359"/>
      <c r="G359"/>
      <c r="H359"/>
      <c r="I359"/>
    </row>
    <row r="360" spans="1:9" x14ac:dyDescent="0.25">
      <c r="A360" s="13">
        <v>2421</v>
      </c>
      <c r="B360" s="11" t="s">
        <v>284</v>
      </c>
      <c r="C360" s="11" t="s">
        <v>498</v>
      </c>
      <c r="D360" s="12">
        <v>135</v>
      </c>
      <c r="E360"/>
      <c r="F360"/>
      <c r="G360"/>
      <c r="H360"/>
      <c r="I360"/>
    </row>
    <row r="361" spans="1:9" x14ac:dyDescent="0.25">
      <c r="A361" s="13">
        <v>2422</v>
      </c>
      <c r="B361" s="11" t="s">
        <v>284</v>
      </c>
      <c r="C361" s="11" t="s">
        <v>498</v>
      </c>
      <c r="D361" s="12">
        <v>140</v>
      </c>
      <c r="E361"/>
      <c r="F361"/>
      <c r="G361"/>
      <c r="H361"/>
      <c r="I361"/>
    </row>
    <row r="362" spans="1:9" x14ac:dyDescent="0.25">
      <c r="A362" s="13">
        <v>2423</v>
      </c>
      <c r="B362" s="11" t="s">
        <v>284</v>
      </c>
      <c r="C362" s="11" t="s">
        <v>498</v>
      </c>
      <c r="D362" s="12">
        <v>140</v>
      </c>
      <c r="E362"/>
      <c r="F362"/>
      <c r="G362"/>
      <c r="H362"/>
      <c r="I362"/>
    </row>
    <row r="363" spans="1:9" x14ac:dyDescent="0.25">
      <c r="A363" s="13">
        <v>2424</v>
      </c>
      <c r="B363" s="11" t="s">
        <v>284</v>
      </c>
      <c r="C363" s="11" t="s">
        <v>498</v>
      </c>
      <c r="D363" s="12">
        <v>120</v>
      </c>
      <c r="E363"/>
      <c r="F363"/>
      <c r="G363"/>
      <c r="H363"/>
      <c r="I363"/>
    </row>
    <row r="364" spans="1:9" x14ac:dyDescent="0.25">
      <c r="A364" s="13">
        <v>2425</v>
      </c>
      <c r="B364" s="11" t="s">
        <v>284</v>
      </c>
      <c r="C364" s="11" t="s">
        <v>498</v>
      </c>
      <c r="D364" s="12">
        <v>120</v>
      </c>
      <c r="E364"/>
      <c r="F364"/>
      <c r="G364"/>
      <c r="H364"/>
      <c r="I364"/>
    </row>
    <row r="365" spans="1:9" x14ac:dyDescent="0.25">
      <c r="A365" s="13">
        <v>2426</v>
      </c>
      <c r="B365" s="11" t="s">
        <v>284</v>
      </c>
      <c r="C365" s="11" t="s">
        <v>498</v>
      </c>
      <c r="D365" s="12">
        <v>130</v>
      </c>
      <c r="E365"/>
      <c r="F365"/>
      <c r="G365"/>
      <c r="H365"/>
      <c r="I365"/>
    </row>
    <row r="366" spans="1:9" x14ac:dyDescent="0.25">
      <c r="A366" s="13">
        <v>2427</v>
      </c>
      <c r="B366" s="11" t="s">
        <v>284</v>
      </c>
      <c r="C366" s="11" t="s">
        <v>498</v>
      </c>
      <c r="D366" s="12">
        <v>135</v>
      </c>
      <c r="E366"/>
      <c r="F366"/>
      <c r="G366"/>
      <c r="H366"/>
      <c r="I366"/>
    </row>
    <row r="367" spans="1:9" x14ac:dyDescent="0.25">
      <c r="A367" s="13">
        <v>2428</v>
      </c>
      <c r="B367" s="11" t="s">
        <v>284</v>
      </c>
      <c r="C367" s="11" t="s">
        <v>498</v>
      </c>
      <c r="D367" s="12">
        <v>130</v>
      </c>
      <c r="E367"/>
      <c r="F367"/>
      <c r="G367"/>
      <c r="H367"/>
      <c r="I367"/>
    </row>
    <row r="368" spans="1:9" x14ac:dyDescent="0.25">
      <c r="A368" s="13">
        <v>2441</v>
      </c>
      <c r="B368" s="11" t="s">
        <v>277</v>
      </c>
      <c r="C368" s="11" t="s">
        <v>498</v>
      </c>
      <c r="D368" s="12">
        <v>140</v>
      </c>
      <c r="E368"/>
      <c r="F368"/>
      <c r="G368"/>
      <c r="H368"/>
      <c r="I368"/>
    </row>
    <row r="369" spans="1:9" x14ac:dyDescent="0.25">
      <c r="A369" s="13">
        <v>2442</v>
      </c>
      <c r="B369" s="11" t="s">
        <v>277</v>
      </c>
      <c r="C369" s="11" t="s">
        <v>498</v>
      </c>
      <c r="D369" s="12">
        <v>135</v>
      </c>
      <c r="E369"/>
      <c r="F369"/>
      <c r="G369"/>
      <c r="H369"/>
      <c r="I369"/>
    </row>
    <row r="370" spans="1:9" x14ac:dyDescent="0.25">
      <c r="A370" s="13">
        <v>2443</v>
      </c>
      <c r="B370" s="11" t="s">
        <v>277</v>
      </c>
      <c r="C370" s="11" t="s">
        <v>498</v>
      </c>
      <c r="D370" s="12">
        <v>150</v>
      </c>
      <c r="E370"/>
      <c r="F370"/>
      <c r="G370"/>
      <c r="H370"/>
      <c r="I370"/>
    </row>
    <row r="371" spans="1:9" x14ac:dyDescent="0.25">
      <c r="A371" s="13">
        <v>2444</v>
      </c>
      <c r="B371" s="11" t="s">
        <v>277</v>
      </c>
      <c r="C371" s="11" t="s">
        <v>498</v>
      </c>
      <c r="D371" s="12">
        <v>205</v>
      </c>
      <c r="E371"/>
      <c r="F371"/>
      <c r="G371"/>
      <c r="H371"/>
      <c r="I371"/>
    </row>
    <row r="372" spans="1:9" x14ac:dyDescent="0.25">
      <c r="A372" s="13">
        <v>2445</v>
      </c>
      <c r="B372" s="11" t="s">
        <v>277</v>
      </c>
      <c r="C372" s="11" t="s">
        <v>498</v>
      </c>
      <c r="D372" s="12">
        <v>200</v>
      </c>
      <c r="E372"/>
      <c r="F372"/>
      <c r="G372"/>
      <c r="H372"/>
      <c r="I372"/>
    </row>
    <row r="373" spans="1:9" x14ac:dyDescent="0.25">
      <c r="A373" s="13">
        <v>2452</v>
      </c>
      <c r="B373" s="11" t="s">
        <v>277</v>
      </c>
      <c r="C373" s="11" t="s">
        <v>167</v>
      </c>
      <c r="D373" s="12">
        <v>360</v>
      </c>
      <c r="E373"/>
      <c r="F373"/>
      <c r="G373"/>
      <c r="H373"/>
      <c r="I373"/>
    </row>
    <row r="374" spans="1:9" x14ac:dyDescent="0.25">
      <c r="A374" s="13">
        <v>2461</v>
      </c>
      <c r="B374" s="11" t="s">
        <v>277</v>
      </c>
      <c r="C374" s="11" t="s">
        <v>167</v>
      </c>
      <c r="D374" s="12">
        <v>255</v>
      </c>
      <c r="E374"/>
      <c r="F374"/>
      <c r="G374"/>
      <c r="H374"/>
      <c r="I374"/>
    </row>
    <row r="375" spans="1:9" x14ac:dyDescent="0.25">
      <c r="A375" s="13">
        <v>2462</v>
      </c>
      <c r="B375" s="11" t="s">
        <v>277</v>
      </c>
      <c r="C375" s="11" t="s">
        <v>167</v>
      </c>
      <c r="D375" s="12">
        <v>225</v>
      </c>
      <c r="E375"/>
      <c r="F375"/>
      <c r="G375"/>
      <c r="H375"/>
      <c r="I375"/>
    </row>
    <row r="376" spans="1:9" x14ac:dyDescent="0.25">
      <c r="A376" s="13">
        <v>2463</v>
      </c>
      <c r="B376" s="11" t="s">
        <v>277</v>
      </c>
      <c r="C376" s="11" t="s">
        <v>167</v>
      </c>
      <c r="D376" s="12">
        <v>205</v>
      </c>
      <c r="E376"/>
      <c r="F376"/>
      <c r="G376"/>
      <c r="H376"/>
      <c r="I376"/>
    </row>
    <row r="377" spans="1:9" x14ac:dyDescent="0.25">
      <c r="A377" s="13">
        <v>2492</v>
      </c>
      <c r="B377" s="11" t="s">
        <v>277</v>
      </c>
      <c r="C377" s="11" t="s">
        <v>494</v>
      </c>
      <c r="D377" s="12">
        <v>255</v>
      </c>
      <c r="E377"/>
      <c r="F377"/>
      <c r="G377"/>
      <c r="H377"/>
      <c r="I377"/>
    </row>
    <row r="378" spans="1:9" x14ac:dyDescent="0.25">
      <c r="A378" s="13">
        <v>2571</v>
      </c>
      <c r="B378" s="11" t="s">
        <v>277</v>
      </c>
      <c r="C378" s="11" t="s">
        <v>497</v>
      </c>
      <c r="D378" s="12">
        <v>615</v>
      </c>
      <c r="E378"/>
      <c r="F378"/>
      <c r="G378"/>
      <c r="H378"/>
      <c r="I378"/>
    </row>
    <row r="379" spans="1:9" x14ac:dyDescent="0.25">
      <c r="A379" s="13">
        <v>2572</v>
      </c>
      <c r="B379" s="11" t="s">
        <v>277</v>
      </c>
      <c r="C379" s="11" t="s">
        <v>497</v>
      </c>
      <c r="D379" s="12">
        <v>560</v>
      </c>
      <c r="E379"/>
      <c r="F379"/>
      <c r="G379"/>
      <c r="H379"/>
      <c r="I379"/>
    </row>
    <row r="380" spans="1:9" x14ac:dyDescent="0.25">
      <c r="A380" s="13">
        <v>2573</v>
      </c>
      <c r="B380" s="11" t="s">
        <v>277</v>
      </c>
      <c r="C380" s="11" t="s">
        <v>497</v>
      </c>
      <c r="D380" s="12">
        <v>560</v>
      </c>
      <c r="E380"/>
      <c r="F380"/>
      <c r="G380"/>
      <c r="H380"/>
      <c r="I380"/>
    </row>
    <row r="381" spans="1:9" x14ac:dyDescent="0.25">
      <c r="A381" s="13">
        <v>2574</v>
      </c>
      <c r="B381" s="11" t="s">
        <v>277</v>
      </c>
      <c r="C381" s="11" t="s">
        <v>497</v>
      </c>
      <c r="D381" s="12">
        <v>500</v>
      </c>
      <c r="E381"/>
      <c r="F381"/>
      <c r="G381"/>
      <c r="H381"/>
      <c r="I381"/>
    </row>
    <row r="382" spans="1:9" x14ac:dyDescent="0.25">
      <c r="A382" s="13">
        <v>2575</v>
      </c>
      <c r="B382" s="11" t="s">
        <v>277</v>
      </c>
      <c r="C382" s="11" t="s">
        <v>497</v>
      </c>
      <c r="D382" s="12">
        <v>740</v>
      </c>
      <c r="E382"/>
      <c r="F382"/>
      <c r="G382"/>
      <c r="H382"/>
      <c r="I382"/>
    </row>
    <row r="383" spans="1:9" x14ac:dyDescent="0.25">
      <c r="A383" s="13">
        <v>2576</v>
      </c>
      <c r="B383" s="11" t="s">
        <v>277</v>
      </c>
      <c r="C383" s="11" t="s">
        <v>497</v>
      </c>
      <c r="D383" s="12">
        <v>495</v>
      </c>
      <c r="E383"/>
      <c r="F383"/>
      <c r="G383"/>
      <c r="H383"/>
      <c r="I383"/>
    </row>
    <row r="384" spans="1:9" x14ac:dyDescent="0.25">
      <c r="A384" s="13">
        <v>2577</v>
      </c>
      <c r="B384" s="11" t="s">
        <v>277</v>
      </c>
      <c r="C384" s="11" t="s">
        <v>497</v>
      </c>
      <c r="D384" s="12">
        <v>855</v>
      </c>
      <c r="E384"/>
      <c r="F384"/>
      <c r="G384"/>
      <c r="H384"/>
      <c r="I384"/>
    </row>
    <row r="385" spans="1:9" x14ac:dyDescent="0.25">
      <c r="A385" s="13">
        <v>2578</v>
      </c>
      <c r="B385" s="11" t="s">
        <v>277</v>
      </c>
      <c r="C385" s="11" t="s">
        <v>497</v>
      </c>
      <c r="D385" s="12">
        <v>1045</v>
      </c>
      <c r="E385"/>
      <c r="F385"/>
      <c r="G385"/>
      <c r="H385"/>
      <c r="I385"/>
    </row>
    <row r="386" spans="1:9" x14ac:dyDescent="0.25">
      <c r="A386" s="13">
        <v>2579</v>
      </c>
      <c r="B386" s="11" t="s">
        <v>277</v>
      </c>
      <c r="C386" s="11" t="s">
        <v>497</v>
      </c>
      <c r="D386" s="12">
        <v>1045</v>
      </c>
      <c r="E386"/>
      <c r="F386"/>
      <c r="G386"/>
      <c r="H386"/>
      <c r="I386"/>
    </row>
    <row r="387" spans="1:9" x14ac:dyDescent="0.25">
      <c r="A387" s="13">
        <v>2621</v>
      </c>
      <c r="B387" s="11" t="s">
        <v>277</v>
      </c>
      <c r="C387" s="11" t="s">
        <v>497</v>
      </c>
      <c r="D387" s="12">
        <v>750</v>
      </c>
      <c r="E387"/>
      <c r="F387"/>
      <c r="G387"/>
      <c r="H387"/>
      <c r="I387"/>
    </row>
    <row r="388" spans="1:9" x14ac:dyDescent="0.25">
      <c r="A388" s="13">
        <v>2622</v>
      </c>
      <c r="B388" s="11" t="s">
        <v>277</v>
      </c>
      <c r="C388" s="11" t="s">
        <v>497</v>
      </c>
      <c r="D388" s="12">
        <v>1045</v>
      </c>
      <c r="E388"/>
      <c r="F388"/>
      <c r="G388"/>
      <c r="H388"/>
      <c r="I388"/>
    </row>
    <row r="389" spans="1:9" x14ac:dyDescent="0.25">
      <c r="A389" s="13">
        <v>2623</v>
      </c>
      <c r="B389" s="11" t="s">
        <v>277</v>
      </c>
      <c r="C389" s="11" t="s">
        <v>497</v>
      </c>
      <c r="D389" s="12">
        <v>1140</v>
      </c>
      <c r="E389"/>
      <c r="F389"/>
      <c r="G389"/>
      <c r="H389"/>
      <c r="I389"/>
    </row>
    <row r="390" spans="1:9" x14ac:dyDescent="0.25">
      <c r="A390" s="13">
        <v>2624</v>
      </c>
      <c r="B390" s="11" t="s">
        <v>277</v>
      </c>
      <c r="C390" s="11" t="s">
        <v>497</v>
      </c>
      <c r="D390" s="12">
        <v>1140</v>
      </c>
      <c r="E390"/>
      <c r="F390"/>
      <c r="G390"/>
      <c r="H390"/>
      <c r="I390"/>
    </row>
    <row r="391" spans="1:9" x14ac:dyDescent="0.25">
      <c r="A391" s="13">
        <v>2625</v>
      </c>
      <c r="B391" s="11" t="s">
        <v>277</v>
      </c>
      <c r="C391" s="11" t="s">
        <v>497</v>
      </c>
      <c r="D391" s="12">
        <v>1020</v>
      </c>
      <c r="E391"/>
      <c r="F391"/>
      <c r="G391"/>
      <c r="H391"/>
      <c r="I391"/>
    </row>
    <row r="392" spans="1:9" x14ac:dyDescent="0.25">
      <c r="A392" s="13">
        <v>2626</v>
      </c>
      <c r="B392" s="11" t="s">
        <v>277</v>
      </c>
      <c r="C392" s="11" t="s">
        <v>497</v>
      </c>
      <c r="D392" s="12">
        <v>570</v>
      </c>
      <c r="E392"/>
      <c r="F392"/>
      <c r="G392"/>
      <c r="H392"/>
      <c r="I392"/>
    </row>
    <row r="393" spans="1:9" x14ac:dyDescent="0.25">
      <c r="A393" s="13">
        <v>2731</v>
      </c>
      <c r="B393" s="11" t="s">
        <v>277</v>
      </c>
      <c r="C393" s="11" t="s">
        <v>494</v>
      </c>
      <c r="D393" s="12">
        <v>95</v>
      </c>
      <c r="E393"/>
      <c r="F393"/>
      <c r="G393"/>
      <c r="H393"/>
      <c r="I393"/>
    </row>
    <row r="394" spans="1:9" x14ac:dyDescent="0.25">
      <c r="A394" s="13">
        <v>2732</v>
      </c>
      <c r="B394" s="11" t="s">
        <v>277</v>
      </c>
      <c r="C394" s="11" t="s">
        <v>494</v>
      </c>
      <c r="D394" s="12">
        <v>135</v>
      </c>
      <c r="E394"/>
      <c r="F394"/>
      <c r="G394"/>
      <c r="H394"/>
      <c r="I394"/>
    </row>
    <row r="395" spans="1:9" x14ac:dyDescent="0.25">
      <c r="A395" s="13">
        <v>2733</v>
      </c>
      <c r="B395" s="11" t="s">
        <v>277</v>
      </c>
      <c r="C395" s="11" t="s">
        <v>494</v>
      </c>
      <c r="D395" s="12">
        <v>115</v>
      </c>
      <c r="E395"/>
      <c r="F395"/>
      <c r="G395"/>
      <c r="H395"/>
      <c r="I395"/>
    </row>
    <row r="396" spans="1:9" x14ac:dyDescent="0.25">
      <c r="A396" s="13">
        <v>2734</v>
      </c>
      <c r="B396" s="11" t="s">
        <v>277</v>
      </c>
      <c r="C396" s="11" t="s">
        <v>494</v>
      </c>
      <c r="D396" s="12">
        <v>185</v>
      </c>
      <c r="E396"/>
      <c r="F396"/>
      <c r="G396"/>
      <c r="H396"/>
      <c r="I396"/>
    </row>
    <row r="397" spans="1:9" x14ac:dyDescent="0.25">
      <c r="A397" s="13">
        <v>2735</v>
      </c>
      <c r="B397" s="11" t="s">
        <v>277</v>
      </c>
      <c r="C397" s="11" t="s">
        <v>494</v>
      </c>
      <c r="D397" s="12">
        <v>185</v>
      </c>
      <c r="E397"/>
      <c r="F397"/>
      <c r="G397"/>
      <c r="H397"/>
      <c r="I397"/>
    </row>
    <row r="398" spans="1:9" x14ac:dyDescent="0.25">
      <c r="A398" s="13">
        <v>2736</v>
      </c>
      <c r="B398" s="11" t="s">
        <v>277</v>
      </c>
      <c r="C398" s="11" t="s">
        <v>494</v>
      </c>
      <c r="D398" s="12">
        <v>185</v>
      </c>
      <c r="E398"/>
      <c r="F398"/>
      <c r="G398"/>
      <c r="H398"/>
      <c r="I398"/>
    </row>
    <row r="399" spans="1:9" x14ac:dyDescent="0.25">
      <c r="A399" s="13">
        <v>2737</v>
      </c>
      <c r="B399" s="11" t="s">
        <v>277</v>
      </c>
      <c r="C399" s="11" t="s">
        <v>494</v>
      </c>
      <c r="D399" s="12">
        <v>150</v>
      </c>
      <c r="E399"/>
      <c r="F399"/>
      <c r="G399"/>
      <c r="H399"/>
      <c r="I399"/>
    </row>
    <row r="400" spans="1:9" x14ac:dyDescent="0.25">
      <c r="A400" s="13">
        <v>2738</v>
      </c>
      <c r="B400" s="11" t="s">
        <v>277</v>
      </c>
      <c r="C400" s="11" t="s">
        <v>494</v>
      </c>
      <c r="D400" s="12">
        <v>115</v>
      </c>
      <c r="E400"/>
      <c r="F400"/>
      <c r="G400"/>
      <c r="H400"/>
      <c r="I400"/>
    </row>
    <row r="401" spans="1:9" x14ac:dyDescent="0.25">
      <c r="A401" s="13">
        <v>2739</v>
      </c>
      <c r="B401" s="11" t="s">
        <v>277</v>
      </c>
      <c r="C401" s="11" t="s">
        <v>494</v>
      </c>
      <c r="D401" s="12">
        <v>105</v>
      </c>
      <c r="E401"/>
      <c r="F401"/>
      <c r="G401"/>
      <c r="H401"/>
      <c r="I401"/>
    </row>
    <row r="402" spans="1:9" x14ac:dyDescent="0.25">
      <c r="A402" s="13">
        <v>2740</v>
      </c>
      <c r="B402" s="11" t="s">
        <v>277</v>
      </c>
      <c r="C402" s="11" t="s">
        <v>494</v>
      </c>
      <c r="D402" s="12">
        <v>155</v>
      </c>
      <c r="E402"/>
      <c r="F402"/>
      <c r="G402"/>
      <c r="H402"/>
      <c r="I402"/>
    </row>
    <row r="403" spans="1:9" x14ac:dyDescent="0.25">
      <c r="A403" s="13">
        <v>2741</v>
      </c>
      <c r="B403" s="11" t="s">
        <v>277</v>
      </c>
      <c r="C403" s="11" t="s">
        <v>494</v>
      </c>
      <c r="D403" s="12">
        <v>90</v>
      </c>
      <c r="E403"/>
      <c r="F403"/>
      <c r="G403"/>
      <c r="H403"/>
      <c r="I403"/>
    </row>
    <row r="404" spans="1:9" x14ac:dyDescent="0.25">
      <c r="A404" s="13">
        <v>2742</v>
      </c>
      <c r="B404" s="11" t="s">
        <v>277</v>
      </c>
      <c r="C404" s="11" t="s">
        <v>494</v>
      </c>
      <c r="D404" s="12">
        <v>245</v>
      </c>
      <c r="E404"/>
      <c r="F404"/>
      <c r="G404"/>
      <c r="H404"/>
      <c r="I404"/>
    </row>
    <row r="405" spans="1:9" x14ac:dyDescent="0.25">
      <c r="A405" s="13">
        <v>2743</v>
      </c>
      <c r="B405" s="11" t="s">
        <v>277</v>
      </c>
      <c r="C405" s="11" t="s">
        <v>494</v>
      </c>
      <c r="D405" s="12">
        <v>210</v>
      </c>
      <c r="E405"/>
      <c r="F405"/>
      <c r="G405"/>
      <c r="H405"/>
      <c r="I405"/>
    </row>
    <row r="406" spans="1:9" x14ac:dyDescent="0.25">
      <c r="A406" s="13">
        <v>2744</v>
      </c>
      <c r="B406" s="11" t="s">
        <v>277</v>
      </c>
      <c r="C406" s="11" t="s">
        <v>494</v>
      </c>
      <c r="D406" s="12">
        <v>110</v>
      </c>
      <c r="E406"/>
      <c r="F406"/>
      <c r="G406"/>
      <c r="H406"/>
      <c r="I406"/>
    </row>
    <row r="407" spans="1:9" x14ac:dyDescent="0.25">
      <c r="A407" s="13">
        <v>2745</v>
      </c>
      <c r="B407" s="11" t="s">
        <v>277</v>
      </c>
      <c r="C407" s="11" t="s">
        <v>494</v>
      </c>
      <c r="D407" s="12">
        <v>95</v>
      </c>
      <c r="E407"/>
      <c r="F407"/>
      <c r="G407"/>
      <c r="H407"/>
      <c r="I407"/>
    </row>
    <row r="408" spans="1:9" x14ac:dyDescent="0.25">
      <c r="A408" s="13">
        <v>2746</v>
      </c>
      <c r="B408" s="11" t="s">
        <v>277</v>
      </c>
      <c r="C408" s="11" t="s">
        <v>494</v>
      </c>
      <c r="D408" s="12">
        <v>110</v>
      </c>
      <c r="E408"/>
      <c r="F408"/>
      <c r="G408"/>
      <c r="H408"/>
      <c r="I408"/>
    </row>
    <row r="409" spans="1:9" x14ac:dyDescent="0.25">
      <c r="A409" s="13">
        <v>2747</v>
      </c>
      <c r="B409" s="11" t="s">
        <v>277</v>
      </c>
      <c r="C409" s="11" t="s">
        <v>494</v>
      </c>
      <c r="D409" s="12">
        <v>205</v>
      </c>
      <c r="E409"/>
      <c r="F409"/>
      <c r="G409"/>
      <c r="H409"/>
      <c r="I409"/>
    </row>
    <row r="410" spans="1:9" x14ac:dyDescent="0.25">
      <c r="A410" s="13">
        <v>2748</v>
      </c>
      <c r="B410" s="11" t="s">
        <v>277</v>
      </c>
      <c r="C410" s="11" t="s">
        <v>494</v>
      </c>
      <c r="D410" s="12">
        <v>165</v>
      </c>
      <c r="E410"/>
      <c r="F410"/>
      <c r="G410"/>
      <c r="H410"/>
      <c r="I410"/>
    </row>
    <row r="411" spans="1:9" x14ac:dyDescent="0.25">
      <c r="A411" s="13">
        <v>2749</v>
      </c>
      <c r="B411" s="11" t="s">
        <v>277</v>
      </c>
      <c r="C411" s="11" t="s">
        <v>494</v>
      </c>
      <c r="D411" s="12">
        <v>175</v>
      </c>
      <c r="E411"/>
      <c r="F411"/>
      <c r="G411"/>
      <c r="H411"/>
      <c r="I411"/>
    </row>
    <row r="412" spans="1:9" x14ac:dyDescent="0.25">
      <c r="A412" s="13">
        <v>2761</v>
      </c>
      <c r="B412" s="11" t="s">
        <v>284</v>
      </c>
      <c r="C412" s="11" t="s">
        <v>494</v>
      </c>
      <c r="D412" s="12">
        <v>85</v>
      </c>
      <c r="E412"/>
      <c r="F412"/>
      <c r="G412"/>
      <c r="H412"/>
      <c r="I412"/>
    </row>
    <row r="413" spans="1:9" x14ac:dyDescent="0.25">
      <c r="A413" s="13">
        <v>2762</v>
      </c>
      <c r="B413" s="11" t="s">
        <v>284</v>
      </c>
      <c r="C413" s="11" t="s">
        <v>494</v>
      </c>
      <c r="D413" s="12">
        <v>145</v>
      </c>
      <c r="E413"/>
      <c r="F413"/>
      <c r="G413"/>
      <c r="H413"/>
      <c r="I413"/>
    </row>
    <row r="414" spans="1:9" x14ac:dyDescent="0.25">
      <c r="A414" s="13">
        <v>2763</v>
      </c>
      <c r="B414" s="11" t="s">
        <v>284</v>
      </c>
      <c r="C414" s="11" t="s">
        <v>494</v>
      </c>
      <c r="D414" s="12">
        <v>110</v>
      </c>
      <c r="E414"/>
      <c r="F414"/>
      <c r="G414"/>
      <c r="H414"/>
      <c r="I414"/>
    </row>
    <row r="415" spans="1:9" x14ac:dyDescent="0.25">
      <c r="A415" s="13">
        <v>2764</v>
      </c>
      <c r="B415" s="11" t="s">
        <v>284</v>
      </c>
      <c r="C415" s="11" t="s">
        <v>494</v>
      </c>
      <c r="D415" s="12">
        <v>135</v>
      </c>
      <c r="E415"/>
      <c r="F415"/>
      <c r="G415"/>
      <c r="H415"/>
      <c r="I415"/>
    </row>
    <row r="416" spans="1:9" x14ac:dyDescent="0.25">
      <c r="A416" s="13">
        <v>2765</v>
      </c>
      <c r="B416" s="11" t="s">
        <v>284</v>
      </c>
      <c r="C416" s="11" t="s">
        <v>494</v>
      </c>
      <c r="D416" s="12">
        <v>170</v>
      </c>
      <c r="E416"/>
      <c r="F416"/>
      <c r="G416"/>
      <c r="H416"/>
      <c r="I416"/>
    </row>
    <row r="417" spans="1:9" x14ac:dyDescent="0.25">
      <c r="A417" s="13">
        <v>2767</v>
      </c>
      <c r="B417" s="11" t="s">
        <v>284</v>
      </c>
      <c r="C417" s="11" t="s">
        <v>494</v>
      </c>
      <c r="D417" s="12">
        <v>115</v>
      </c>
      <c r="E417"/>
      <c r="F417"/>
      <c r="G417"/>
      <c r="H417"/>
      <c r="I417"/>
    </row>
    <row r="418" spans="1:9" x14ac:dyDescent="0.25">
      <c r="A418" s="13">
        <v>2768</v>
      </c>
      <c r="B418" s="11" t="s">
        <v>284</v>
      </c>
      <c r="C418" s="11" t="s">
        <v>494</v>
      </c>
      <c r="D418" s="12">
        <v>85</v>
      </c>
      <c r="E418"/>
      <c r="F418"/>
      <c r="G418"/>
      <c r="H418"/>
      <c r="I418"/>
    </row>
    <row r="419" spans="1:9" x14ac:dyDescent="0.25">
      <c r="A419" s="13">
        <v>2769</v>
      </c>
      <c r="B419" s="11" t="s">
        <v>284</v>
      </c>
      <c r="C419" s="11" t="s">
        <v>494</v>
      </c>
      <c r="D419" s="12">
        <v>115</v>
      </c>
      <c r="E419"/>
      <c r="F419"/>
      <c r="G419"/>
      <c r="H419"/>
      <c r="I419"/>
    </row>
    <row r="420" spans="1:9" x14ac:dyDescent="0.25">
      <c r="A420" s="13">
        <v>2770</v>
      </c>
      <c r="B420" s="11" t="s">
        <v>284</v>
      </c>
      <c r="C420" s="11" t="s">
        <v>494</v>
      </c>
      <c r="D420" s="12">
        <v>150</v>
      </c>
      <c r="E420"/>
      <c r="F420"/>
      <c r="G420"/>
      <c r="H420"/>
      <c r="I420"/>
    </row>
    <row r="421" spans="1:9" x14ac:dyDescent="0.25">
      <c r="A421" s="13">
        <v>2771</v>
      </c>
      <c r="B421" s="11" t="s">
        <v>284</v>
      </c>
      <c r="C421" s="11" t="s">
        <v>494</v>
      </c>
      <c r="D421" s="12">
        <v>140</v>
      </c>
      <c r="E421"/>
      <c r="F421"/>
      <c r="G421"/>
      <c r="H421"/>
      <c r="I421"/>
    </row>
    <row r="422" spans="1:9" x14ac:dyDescent="0.25">
      <c r="A422" s="13">
        <v>2772</v>
      </c>
      <c r="B422" s="11" t="s">
        <v>284</v>
      </c>
      <c r="C422" s="11" t="s">
        <v>494</v>
      </c>
      <c r="D422" s="12">
        <v>140</v>
      </c>
      <c r="E422"/>
      <c r="F422"/>
      <c r="G422"/>
      <c r="H422"/>
      <c r="I422"/>
    </row>
    <row r="423" spans="1:9" x14ac:dyDescent="0.25">
      <c r="A423" s="13">
        <v>2773</v>
      </c>
      <c r="B423" s="11" t="s">
        <v>284</v>
      </c>
      <c r="C423" s="11" t="s">
        <v>494</v>
      </c>
      <c r="D423" s="12">
        <v>140</v>
      </c>
      <c r="E423"/>
      <c r="F423"/>
      <c r="G423"/>
      <c r="H423"/>
      <c r="I423"/>
    </row>
    <row r="424" spans="1:9" x14ac:dyDescent="0.25">
      <c r="A424" s="13">
        <v>2774</v>
      </c>
      <c r="B424" s="11" t="s">
        <v>284</v>
      </c>
      <c r="C424" s="11" t="s">
        <v>494</v>
      </c>
      <c r="D424" s="12">
        <v>105</v>
      </c>
      <c r="E424"/>
      <c r="F424"/>
      <c r="G424"/>
      <c r="H424"/>
      <c r="I424"/>
    </row>
    <row r="425" spans="1:9" x14ac:dyDescent="0.25">
      <c r="A425" s="13">
        <v>2775</v>
      </c>
      <c r="B425" s="11" t="s">
        <v>277</v>
      </c>
      <c r="C425" s="11" t="s">
        <v>494</v>
      </c>
      <c r="D425" s="12">
        <v>120</v>
      </c>
      <c r="E425"/>
      <c r="F425"/>
      <c r="G425"/>
      <c r="H425"/>
      <c r="I425"/>
    </row>
    <row r="426" spans="1:9" x14ac:dyDescent="0.25">
      <c r="A426" s="13">
        <v>2801</v>
      </c>
      <c r="B426" s="11" t="s">
        <v>277</v>
      </c>
      <c r="C426" s="11" t="s">
        <v>494</v>
      </c>
      <c r="D426" s="12">
        <v>125</v>
      </c>
      <c r="E426"/>
      <c r="F426"/>
      <c r="G426"/>
      <c r="H426"/>
      <c r="I426"/>
    </row>
    <row r="427" spans="1:9" x14ac:dyDescent="0.25">
      <c r="A427" s="13">
        <v>2802</v>
      </c>
      <c r="B427" s="11" t="s">
        <v>277</v>
      </c>
      <c r="C427" s="11" t="s">
        <v>494</v>
      </c>
      <c r="D427" s="12">
        <v>125</v>
      </c>
      <c r="E427"/>
      <c r="F427"/>
      <c r="G427"/>
      <c r="H427"/>
      <c r="I427"/>
    </row>
    <row r="428" spans="1:9" x14ac:dyDescent="0.25">
      <c r="A428" s="13">
        <v>2803</v>
      </c>
      <c r="B428" s="11" t="s">
        <v>277</v>
      </c>
      <c r="C428" s="11" t="s">
        <v>494</v>
      </c>
      <c r="D428" s="12">
        <v>140</v>
      </c>
      <c r="E428"/>
      <c r="F428"/>
      <c r="G428"/>
      <c r="H428"/>
      <c r="I428"/>
    </row>
    <row r="429" spans="1:9" x14ac:dyDescent="0.25">
      <c r="A429" s="13">
        <v>2804</v>
      </c>
      <c r="B429" s="11" t="s">
        <v>277</v>
      </c>
      <c r="C429" s="11" t="s">
        <v>494</v>
      </c>
      <c r="D429" s="12">
        <v>140</v>
      </c>
      <c r="E429"/>
      <c r="F429"/>
      <c r="G429"/>
      <c r="H429"/>
      <c r="I429"/>
    </row>
    <row r="430" spans="1:9" x14ac:dyDescent="0.25">
      <c r="A430" s="13">
        <v>2805</v>
      </c>
      <c r="B430" s="11" t="s">
        <v>277</v>
      </c>
      <c r="C430" s="11" t="s">
        <v>494</v>
      </c>
      <c r="D430" s="12">
        <v>140</v>
      </c>
      <c r="E430"/>
      <c r="F430"/>
      <c r="G430"/>
      <c r="H430"/>
      <c r="I430"/>
    </row>
    <row r="431" spans="1:9" x14ac:dyDescent="0.25">
      <c r="A431" s="13">
        <v>2806</v>
      </c>
      <c r="B431" s="11" t="s">
        <v>277</v>
      </c>
      <c r="C431" s="11" t="s">
        <v>494</v>
      </c>
      <c r="D431" s="12">
        <v>160</v>
      </c>
      <c r="E431"/>
      <c r="F431"/>
      <c r="G431"/>
      <c r="H431"/>
      <c r="I431"/>
    </row>
    <row r="432" spans="1:9" x14ac:dyDescent="0.25">
      <c r="A432" s="13">
        <v>2807</v>
      </c>
      <c r="B432" s="11" t="s">
        <v>277</v>
      </c>
      <c r="C432" s="11" t="s">
        <v>494</v>
      </c>
      <c r="D432" s="12">
        <v>140</v>
      </c>
      <c r="E432"/>
      <c r="F432"/>
      <c r="G432"/>
      <c r="H432"/>
      <c r="I432"/>
    </row>
    <row r="433" spans="1:9" x14ac:dyDescent="0.25">
      <c r="A433" s="13">
        <v>2808</v>
      </c>
      <c r="B433" s="11" t="s">
        <v>277</v>
      </c>
      <c r="C433" s="11" t="s">
        <v>494</v>
      </c>
      <c r="D433" s="12">
        <v>140</v>
      </c>
      <c r="E433"/>
      <c r="F433"/>
      <c r="G433"/>
      <c r="H433"/>
      <c r="I433"/>
    </row>
    <row r="434" spans="1:9" x14ac:dyDescent="0.25">
      <c r="A434" s="13">
        <v>2809</v>
      </c>
      <c r="B434" s="11" t="s">
        <v>277</v>
      </c>
      <c r="C434" s="11" t="s">
        <v>494</v>
      </c>
      <c r="D434" s="12">
        <v>130</v>
      </c>
      <c r="E434"/>
      <c r="F434"/>
      <c r="G434"/>
      <c r="H434"/>
      <c r="I434"/>
    </row>
    <row r="435" spans="1:9" x14ac:dyDescent="0.25">
      <c r="A435" s="13">
        <v>2810</v>
      </c>
      <c r="B435" s="11" t="s">
        <v>277</v>
      </c>
      <c r="C435" s="11" t="s">
        <v>494</v>
      </c>
      <c r="D435" s="12">
        <v>155</v>
      </c>
      <c r="E435"/>
      <c r="F435"/>
      <c r="G435"/>
      <c r="H435"/>
      <c r="I435"/>
    </row>
    <row r="436" spans="1:9" x14ac:dyDescent="0.25">
      <c r="A436" s="13">
        <v>2811</v>
      </c>
      <c r="B436" s="11" t="s">
        <v>277</v>
      </c>
      <c r="C436" s="11" t="s">
        <v>494</v>
      </c>
      <c r="D436" s="12">
        <v>160</v>
      </c>
      <c r="E436"/>
      <c r="F436"/>
      <c r="G436"/>
      <c r="H436"/>
      <c r="I436"/>
    </row>
    <row r="437" spans="1:9" x14ac:dyDescent="0.25">
      <c r="A437" s="13">
        <v>2812</v>
      </c>
      <c r="B437" s="11" t="s">
        <v>277</v>
      </c>
      <c r="C437" s="11" t="s">
        <v>494</v>
      </c>
      <c r="D437" s="12">
        <v>160</v>
      </c>
      <c r="E437"/>
      <c r="F437"/>
      <c r="G437"/>
      <c r="H437"/>
      <c r="I437"/>
    </row>
    <row r="438" spans="1:9" x14ac:dyDescent="0.25">
      <c r="A438" s="13">
        <v>2813</v>
      </c>
      <c r="B438" s="11" t="s">
        <v>277</v>
      </c>
      <c r="C438" s="11" t="s">
        <v>494</v>
      </c>
      <c r="D438" s="12">
        <v>160</v>
      </c>
      <c r="E438"/>
      <c r="F438"/>
      <c r="G438"/>
      <c r="H438"/>
      <c r="I438"/>
    </row>
    <row r="439" spans="1:9" x14ac:dyDescent="0.25">
      <c r="A439" s="13">
        <v>4501</v>
      </c>
      <c r="B439" s="11" t="s">
        <v>277</v>
      </c>
      <c r="C439" s="11" t="s">
        <v>494</v>
      </c>
      <c r="D439" s="12">
        <v>230</v>
      </c>
      <c r="E439"/>
      <c r="F439"/>
      <c r="G439"/>
      <c r="H439"/>
      <c r="I439"/>
    </row>
    <row r="440" spans="1:9" x14ac:dyDescent="0.25">
      <c r="A440" s="13">
        <v>4504</v>
      </c>
      <c r="B440" s="11" t="s">
        <v>277</v>
      </c>
      <c r="C440" s="11" t="s">
        <v>494</v>
      </c>
      <c r="D440" s="12">
        <v>95</v>
      </c>
      <c r="E440"/>
      <c r="F440"/>
      <c r="G440"/>
      <c r="H440"/>
      <c r="I440"/>
    </row>
    <row r="441" spans="1:9" x14ac:dyDescent="0.25">
      <c r="A441" s="13">
        <v>4505</v>
      </c>
      <c r="B441" s="11" t="s">
        <v>277</v>
      </c>
      <c r="C441" s="11" t="s">
        <v>494</v>
      </c>
      <c r="D441" s="12">
        <v>130</v>
      </c>
      <c r="E441"/>
      <c r="F441"/>
      <c r="G441"/>
      <c r="H441"/>
      <c r="I441"/>
    </row>
    <row r="442" spans="1:9" x14ac:dyDescent="0.25">
      <c r="A442" s="13">
        <v>4506</v>
      </c>
      <c r="B442" s="11" t="s">
        <v>277</v>
      </c>
      <c r="C442" s="11" t="s">
        <v>494</v>
      </c>
      <c r="D442" s="12">
        <v>115</v>
      </c>
      <c r="E442"/>
      <c r="F442"/>
      <c r="G442"/>
      <c r="H442"/>
      <c r="I442"/>
    </row>
    <row r="443" spans="1:9" x14ac:dyDescent="0.25">
      <c r="A443" s="13">
        <v>4507</v>
      </c>
      <c r="B443" s="11" t="s">
        <v>277</v>
      </c>
      <c r="C443" s="11" t="s">
        <v>494</v>
      </c>
      <c r="D443" s="12">
        <v>105</v>
      </c>
      <c r="E443"/>
      <c r="F443"/>
      <c r="G443"/>
      <c r="H443"/>
      <c r="I443"/>
    </row>
    <row r="444" spans="1:9" x14ac:dyDescent="0.25">
      <c r="A444" s="13">
        <v>4508</v>
      </c>
      <c r="B444" s="11" t="s">
        <v>277</v>
      </c>
      <c r="C444" s="11" t="s">
        <v>494</v>
      </c>
      <c r="D444" s="12">
        <v>85</v>
      </c>
      <c r="E444"/>
      <c r="F444"/>
      <c r="G444"/>
      <c r="H444"/>
      <c r="I444"/>
    </row>
    <row r="445" spans="1:9" x14ac:dyDescent="0.25">
      <c r="A445" s="13">
        <v>4510</v>
      </c>
      <c r="B445" s="11" t="s">
        <v>277</v>
      </c>
      <c r="C445" s="11" t="s">
        <v>494</v>
      </c>
      <c r="D445" s="12">
        <v>65</v>
      </c>
      <c r="E445"/>
      <c r="F445"/>
      <c r="G445"/>
      <c r="H445"/>
      <c r="I445"/>
    </row>
    <row r="446" spans="1:9" x14ac:dyDescent="0.25">
      <c r="A446" s="13">
        <v>4711</v>
      </c>
      <c r="B446" s="11" t="s">
        <v>277</v>
      </c>
      <c r="C446" s="11" t="s">
        <v>494</v>
      </c>
      <c r="D446" s="12">
        <v>45</v>
      </c>
      <c r="E446"/>
      <c r="F446"/>
      <c r="G446"/>
      <c r="H446"/>
      <c r="I446"/>
    </row>
    <row r="447" spans="1:9" x14ac:dyDescent="0.25">
      <c r="A447" s="13">
        <v>4712</v>
      </c>
      <c r="B447" s="11" t="s">
        <v>277</v>
      </c>
      <c r="C447" s="11" t="s">
        <v>494</v>
      </c>
      <c r="D447" s="12">
        <v>55</v>
      </c>
      <c r="E447"/>
      <c r="F447"/>
      <c r="G447"/>
      <c r="H447"/>
      <c r="I447"/>
    </row>
    <row r="448" spans="1:9" x14ac:dyDescent="0.25">
      <c r="A448" s="13">
        <v>6011</v>
      </c>
      <c r="B448" s="11" t="s">
        <v>277</v>
      </c>
      <c r="C448" s="11" t="s">
        <v>494</v>
      </c>
      <c r="D448" s="12">
        <v>480</v>
      </c>
      <c r="E448"/>
      <c r="F448"/>
      <c r="G448"/>
      <c r="H448"/>
      <c r="I448"/>
    </row>
    <row r="449" spans="1:9" x14ac:dyDescent="0.25">
      <c r="A449" s="13">
        <v>6021</v>
      </c>
      <c r="B449" s="11" t="s">
        <v>277</v>
      </c>
      <c r="C449" s="11" t="s">
        <v>494</v>
      </c>
      <c r="D449" s="12">
        <v>455</v>
      </c>
      <c r="E449"/>
      <c r="F449"/>
      <c r="G449"/>
      <c r="H449"/>
      <c r="I449"/>
    </row>
    <row r="450" spans="1:9" x14ac:dyDescent="0.25">
      <c r="A450" s="13">
        <v>6051</v>
      </c>
      <c r="B450" s="11" t="s">
        <v>277</v>
      </c>
      <c r="C450" s="11" t="s">
        <v>494</v>
      </c>
      <c r="D450" s="12">
        <v>460</v>
      </c>
      <c r="E450"/>
      <c r="F450"/>
      <c r="G450"/>
      <c r="H450"/>
      <c r="I450"/>
    </row>
    <row r="451" spans="1:9" x14ac:dyDescent="0.25">
      <c r="A451" s="13">
        <v>6101</v>
      </c>
      <c r="B451" s="11" t="s">
        <v>277</v>
      </c>
      <c r="C451" s="11" t="s">
        <v>494</v>
      </c>
      <c r="D451" s="12">
        <v>520</v>
      </c>
      <c r="E451"/>
      <c r="F451"/>
      <c r="G451"/>
      <c r="H451"/>
      <c r="I451"/>
    </row>
    <row r="452" spans="1:9" x14ac:dyDescent="0.25">
      <c r="A452" s="13">
        <v>6102</v>
      </c>
      <c r="B452" s="11" t="s">
        <v>277</v>
      </c>
      <c r="C452" s="11" t="s">
        <v>494</v>
      </c>
      <c r="D452" s="12">
        <v>500</v>
      </c>
      <c r="E452"/>
      <c r="F452"/>
      <c r="G452"/>
      <c r="H452"/>
      <c r="I452"/>
    </row>
    <row r="453" spans="1:9" x14ac:dyDescent="0.25">
      <c r="A453" s="13">
        <v>6103</v>
      </c>
      <c r="B453" s="11" t="s">
        <v>277</v>
      </c>
      <c r="C453" s="11" t="s">
        <v>494</v>
      </c>
      <c r="D453" s="12">
        <v>430</v>
      </c>
      <c r="E453"/>
      <c r="F453"/>
      <c r="G453"/>
      <c r="H453"/>
      <c r="I453"/>
    </row>
    <row r="454" spans="1:9" x14ac:dyDescent="0.25">
      <c r="A454" s="13">
        <v>6104</v>
      </c>
      <c r="B454" s="11" t="s">
        <v>277</v>
      </c>
      <c r="C454" s="11" t="s">
        <v>494</v>
      </c>
      <c r="D454" s="12">
        <v>430</v>
      </c>
      <c r="E454"/>
      <c r="F454"/>
      <c r="G454"/>
      <c r="H454"/>
      <c r="I454"/>
    </row>
    <row r="455" spans="1:9" x14ac:dyDescent="0.25">
      <c r="A455" s="13">
        <v>6105</v>
      </c>
      <c r="B455" s="11" t="s">
        <v>277</v>
      </c>
      <c r="C455" s="11" t="s">
        <v>494</v>
      </c>
      <c r="D455" s="12">
        <v>425</v>
      </c>
      <c r="E455"/>
      <c r="F455"/>
      <c r="G455"/>
      <c r="H455"/>
      <c r="I455"/>
    </row>
    <row r="456" spans="1:9" x14ac:dyDescent="0.25">
      <c r="A456" s="13">
        <v>6106</v>
      </c>
      <c r="B456" s="11" t="s">
        <v>277</v>
      </c>
      <c r="C456" s="11" t="s">
        <v>494</v>
      </c>
      <c r="D456" s="12">
        <v>415</v>
      </c>
      <c r="E456"/>
      <c r="F456"/>
      <c r="G456"/>
      <c r="H456"/>
      <c r="I456"/>
    </row>
    <row r="457" spans="1:9" x14ac:dyDescent="0.25">
      <c r="A457" s="13">
        <v>6107</v>
      </c>
      <c r="B457" s="11" t="s">
        <v>277</v>
      </c>
      <c r="C457" s="11" t="s">
        <v>494</v>
      </c>
      <c r="D457" s="12">
        <v>415</v>
      </c>
      <c r="E457"/>
      <c r="F457"/>
      <c r="G457"/>
      <c r="H457"/>
      <c r="I457"/>
    </row>
    <row r="458" spans="1:9" x14ac:dyDescent="0.25">
      <c r="A458" s="13">
        <v>6108</v>
      </c>
      <c r="B458" s="11" t="s">
        <v>277</v>
      </c>
      <c r="C458" s="11" t="s">
        <v>494</v>
      </c>
      <c r="D458" s="12">
        <v>415</v>
      </c>
      <c r="E458"/>
      <c r="F458"/>
      <c r="G458"/>
      <c r="H458"/>
      <c r="I458"/>
    </row>
    <row r="459" spans="1:9" x14ac:dyDescent="0.25">
      <c r="A459" s="13">
        <v>6109</v>
      </c>
      <c r="B459" s="11" t="s">
        <v>277</v>
      </c>
      <c r="C459" s="11" t="s">
        <v>494</v>
      </c>
      <c r="D459" s="12">
        <v>415</v>
      </c>
      <c r="E459"/>
      <c r="F459"/>
      <c r="G459"/>
      <c r="H459"/>
      <c r="I459"/>
    </row>
    <row r="460" spans="1:9" x14ac:dyDescent="0.25">
      <c r="A460" s="13">
        <v>6110</v>
      </c>
      <c r="B460" s="11" t="s">
        <v>277</v>
      </c>
      <c r="C460" s="11" t="s">
        <v>494</v>
      </c>
      <c r="D460" s="12">
        <v>410</v>
      </c>
      <c r="E460"/>
      <c r="F460"/>
      <c r="G460"/>
      <c r="H460"/>
      <c r="I460"/>
    </row>
    <row r="461" spans="1:9" x14ac:dyDescent="0.25">
      <c r="A461" s="13">
        <v>6111</v>
      </c>
      <c r="B461" s="11" t="s">
        <v>277</v>
      </c>
      <c r="C461" s="11" t="s">
        <v>494</v>
      </c>
      <c r="D461" s="12">
        <v>410</v>
      </c>
      <c r="E461"/>
      <c r="F461"/>
      <c r="G461"/>
      <c r="H461"/>
      <c r="I461"/>
    </row>
    <row r="462" spans="1:9" x14ac:dyDescent="0.25">
      <c r="A462" s="13">
        <v>6112</v>
      </c>
      <c r="B462" s="11" t="s">
        <v>277</v>
      </c>
      <c r="C462" s="11" t="s">
        <v>494</v>
      </c>
      <c r="D462" s="12">
        <v>405</v>
      </c>
      <c r="E462"/>
      <c r="F462"/>
      <c r="G462"/>
      <c r="H462"/>
      <c r="I462"/>
    </row>
    <row r="463" spans="1:9" x14ac:dyDescent="0.25">
      <c r="A463" s="13">
        <v>6113</v>
      </c>
      <c r="B463" s="11" t="s">
        <v>277</v>
      </c>
      <c r="C463" s="11" t="s">
        <v>494</v>
      </c>
      <c r="D463" s="12">
        <v>635</v>
      </c>
      <c r="E463"/>
      <c r="F463"/>
      <c r="G463"/>
      <c r="H463"/>
      <c r="I463"/>
    </row>
    <row r="464" spans="1:9" x14ac:dyDescent="0.25">
      <c r="A464" s="13">
        <v>6114</v>
      </c>
      <c r="B464" s="11" t="s">
        <v>277</v>
      </c>
      <c r="C464" s="11" t="s">
        <v>494</v>
      </c>
      <c r="D464" s="12">
        <v>395</v>
      </c>
      <c r="E464"/>
      <c r="F464"/>
      <c r="G464"/>
      <c r="H464"/>
      <c r="I464"/>
    </row>
    <row r="465" spans="1:9" x14ac:dyDescent="0.25">
      <c r="A465" s="13">
        <v>6115</v>
      </c>
      <c r="B465" s="11" t="s">
        <v>277</v>
      </c>
      <c r="C465" s="11" t="s">
        <v>494</v>
      </c>
      <c r="D465" s="12">
        <v>395</v>
      </c>
      <c r="E465"/>
      <c r="F465"/>
      <c r="G465"/>
      <c r="H465"/>
      <c r="I465"/>
    </row>
    <row r="466" spans="1:9" x14ac:dyDescent="0.25">
      <c r="A466" s="13">
        <v>6116</v>
      </c>
      <c r="B466" s="11" t="s">
        <v>277</v>
      </c>
      <c r="C466" s="11" t="s">
        <v>494</v>
      </c>
      <c r="D466" s="12">
        <v>405</v>
      </c>
      <c r="E466"/>
      <c r="F466"/>
      <c r="G466"/>
      <c r="H466"/>
      <c r="I466"/>
    </row>
    <row r="467" spans="1:9" x14ac:dyDescent="0.25">
      <c r="A467" s="13">
        <v>6117</v>
      </c>
      <c r="B467" s="11" t="s">
        <v>277</v>
      </c>
      <c r="C467" s="11" t="s">
        <v>494</v>
      </c>
      <c r="D467" s="12">
        <v>415</v>
      </c>
      <c r="E467"/>
      <c r="F467"/>
      <c r="G467"/>
      <c r="H467"/>
      <c r="I467"/>
    </row>
    <row r="468" spans="1:9" x14ac:dyDescent="0.25">
      <c r="A468" s="13">
        <v>6118</v>
      </c>
      <c r="B468" s="11" t="s">
        <v>277</v>
      </c>
      <c r="C468" s="11" t="s">
        <v>494</v>
      </c>
      <c r="D468" s="12">
        <v>385</v>
      </c>
      <c r="E468"/>
      <c r="F468"/>
      <c r="G468"/>
      <c r="H468"/>
      <c r="I468"/>
    </row>
    <row r="469" spans="1:9" x14ac:dyDescent="0.25">
      <c r="A469" s="13">
        <v>6119</v>
      </c>
      <c r="B469" s="11" t="s">
        <v>277</v>
      </c>
      <c r="C469" s="11" t="s">
        <v>494</v>
      </c>
      <c r="D469" s="12">
        <v>405</v>
      </c>
      <c r="E469"/>
      <c r="F469"/>
      <c r="G469"/>
      <c r="H469"/>
      <c r="I469"/>
    </row>
    <row r="470" spans="1:9" x14ac:dyDescent="0.25">
      <c r="A470" s="13">
        <v>6120</v>
      </c>
      <c r="B470" s="11" t="s">
        <v>277</v>
      </c>
      <c r="C470" s="11" t="s">
        <v>494</v>
      </c>
      <c r="D470" s="12">
        <v>405</v>
      </c>
      <c r="E470"/>
      <c r="F470"/>
      <c r="G470"/>
      <c r="H470"/>
      <c r="I470"/>
    </row>
    <row r="471" spans="1:9" x14ac:dyDescent="0.25">
      <c r="A471" s="13">
        <v>6121</v>
      </c>
      <c r="B471" s="11" t="s">
        <v>277</v>
      </c>
      <c r="C471" s="11" t="s">
        <v>494</v>
      </c>
      <c r="D471" s="12">
        <v>425</v>
      </c>
      <c r="E471"/>
      <c r="F471"/>
      <c r="G471"/>
      <c r="H471"/>
      <c r="I471"/>
    </row>
    <row r="472" spans="1:9" x14ac:dyDescent="0.25">
      <c r="A472" s="13">
        <v>6122</v>
      </c>
      <c r="B472" s="11" t="s">
        <v>277</v>
      </c>
      <c r="C472" s="11" t="s">
        <v>494</v>
      </c>
      <c r="D472" s="12">
        <v>405</v>
      </c>
      <c r="E472"/>
      <c r="F472"/>
      <c r="G472"/>
      <c r="H472"/>
      <c r="I472"/>
    </row>
    <row r="473" spans="1:9" x14ac:dyDescent="0.25">
      <c r="A473" s="13">
        <v>6123</v>
      </c>
      <c r="B473" s="11" t="s">
        <v>277</v>
      </c>
      <c r="C473" s="11" t="s">
        <v>494</v>
      </c>
      <c r="D473" s="12">
        <v>405</v>
      </c>
      <c r="E473"/>
      <c r="F473"/>
      <c r="G473"/>
      <c r="H473"/>
      <c r="I473"/>
    </row>
    <row r="474" spans="1:9" x14ac:dyDescent="0.25">
      <c r="A474" s="13">
        <v>8011</v>
      </c>
      <c r="B474" s="11" t="s">
        <v>277</v>
      </c>
      <c r="C474" s="11" t="s">
        <v>497</v>
      </c>
      <c r="D474" s="12">
        <v>2025</v>
      </c>
      <c r="E474"/>
      <c r="F474"/>
      <c r="G474"/>
      <c r="H474"/>
      <c r="I474"/>
    </row>
    <row r="475" spans="1:9" x14ac:dyDescent="0.25">
      <c r="A475" s="13">
        <v>8031</v>
      </c>
      <c r="B475" s="11" t="s">
        <v>277</v>
      </c>
      <c r="C475" s="11" t="s">
        <v>497</v>
      </c>
      <c r="D475" s="12">
        <v>5355</v>
      </c>
      <c r="E475"/>
      <c r="F475"/>
      <c r="G475"/>
      <c r="H475"/>
      <c r="I475"/>
    </row>
    <row r="476" spans="1:9" x14ac:dyDescent="0.25">
      <c r="A476" s="13">
        <v>8032</v>
      </c>
      <c r="B476" s="11" t="s">
        <v>277</v>
      </c>
      <c r="C476" s="11" t="s">
        <v>497</v>
      </c>
      <c r="D476" s="12">
        <v>2365</v>
      </c>
      <c r="E476"/>
      <c r="F476"/>
      <c r="G476"/>
      <c r="H476"/>
      <c r="I476"/>
    </row>
    <row r="477" spans="1:9" x14ac:dyDescent="0.25">
      <c r="A477" s="13">
        <v>8033</v>
      </c>
      <c r="B477" s="11" t="s">
        <v>277</v>
      </c>
      <c r="C477" s="11" t="s">
        <v>497</v>
      </c>
      <c r="D477" s="12">
        <v>5895</v>
      </c>
      <c r="E477"/>
      <c r="F477"/>
      <c r="G477"/>
      <c r="H477"/>
      <c r="I477"/>
    </row>
    <row r="478" spans="1:9" x14ac:dyDescent="0.25">
      <c r="A478" s="13">
        <v>8034</v>
      </c>
      <c r="B478" s="11" t="s">
        <v>277</v>
      </c>
      <c r="C478" s="11" t="s">
        <v>497</v>
      </c>
      <c r="D478" s="12">
        <v>1675</v>
      </c>
      <c r="E478"/>
      <c r="F478"/>
      <c r="G478"/>
      <c r="H478"/>
      <c r="I478"/>
    </row>
    <row r="479" spans="1:9" x14ac:dyDescent="0.25">
      <c r="A479" s="13">
        <v>8035</v>
      </c>
      <c r="B479" s="11" t="s">
        <v>277</v>
      </c>
      <c r="C479" s="11" t="s">
        <v>497</v>
      </c>
      <c r="D479" s="12">
        <v>3530</v>
      </c>
      <c r="E479"/>
      <c r="F479"/>
      <c r="G479"/>
      <c r="H479"/>
      <c r="I479"/>
    </row>
    <row r="480" spans="1:9" x14ac:dyDescent="0.25">
      <c r="A480" s="13">
        <v>8036</v>
      </c>
      <c r="B480" s="11" t="s">
        <v>277</v>
      </c>
      <c r="C480" s="11" t="s">
        <v>497</v>
      </c>
      <c r="D480" s="12">
        <v>2845</v>
      </c>
      <c r="E480"/>
      <c r="F480"/>
      <c r="G480"/>
      <c r="H480"/>
      <c r="I480"/>
    </row>
    <row r="481" spans="1:9" x14ac:dyDescent="0.25">
      <c r="A481" s="13">
        <v>8037</v>
      </c>
      <c r="B481" s="11" t="s">
        <v>277</v>
      </c>
      <c r="C481" s="11" t="s">
        <v>497</v>
      </c>
      <c r="D481" s="12">
        <v>1650</v>
      </c>
      <c r="E481"/>
      <c r="F481"/>
      <c r="G481"/>
      <c r="H481"/>
      <c r="I481"/>
    </row>
    <row r="482" spans="1:9" x14ac:dyDescent="0.25">
      <c r="A482" s="13">
        <v>8061</v>
      </c>
      <c r="B482" s="11" t="s">
        <v>277</v>
      </c>
      <c r="C482" s="11" t="s">
        <v>497</v>
      </c>
      <c r="D482" s="12">
        <v>2365</v>
      </c>
      <c r="E482"/>
      <c r="F482"/>
      <c r="G482"/>
      <c r="H482"/>
      <c r="I482"/>
    </row>
    <row r="483" spans="1:9" x14ac:dyDescent="0.25">
      <c r="A483" s="13">
        <v>8062</v>
      </c>
      <c r="B483" s="11" t="s">
        <v>277</v>
      </c>
      <c r="C483" s="11" t="s">
        <v>497</v>
      </c>
      <c r="D483" s="12">
        <v>1615</v>
      </c>
      <c r="E483"/>
      <c r="F483"/>
      <c r="G483"/>
      <c r="H483"/>
      <c r="I483"/>
    </row>
    <row r="484" spans="1:9" x14ac:dyDescent="0.25">
      <c r="A484" s="13">
        <v>8063</v>
      </c>
      <c r="B484" s="11" t="s">
        <v>277</v>
      </c>
      <c r="C484" s="11" t="s">
        <v>497</v>
      </c>
      <c r="D484" s="12">
        <v>2335</v>
      </c>
      <c r="E484"/>
      <c r="F484"/>
      <c r="G484"/>
      <c r="H484"/>
      <c r="I484"/>
    </row>
    <row r="485" spans="1:9" x14ac:dyDescent="0.25">
      <c r="A485" s="13">
        <v>8064</v>
      </c>
      <c r="B485" s="11" t="s">
        <v>277</v>
      </c>
      <c r="C485" s="11" t="s">
        <v>497</v>
      </c>
      <c r="D485" s="12">
        <v>2365</v>
      </c>
      <c r="E485"/>
      <c r="F485"/>
      <c r="G485"/>
      <c r="H485"/>
      <c r="I485"/>
    </row>
    <row r="486" spans="1:9" x14ac:dyDescent="0.25">
      <c r="A486" s="13">
        <v>8065</v>
      </c>
      <c r="B486" s="11" t="s">
        <v>277</v>
      </c>
      <c r="C486" s="11" t="s">
        <v>497</v>
      </c>
      <c r="D486" s="12">
        <v>1320</v>
      </c>
      <c r="E486"/>
      <c r="F486"/>
      <c r="G486"/>
      <c r="H486"/>
      <c r="I486"/>
    </row>
    <row r="487" spans="1:9" x14ac:dyDescent="0.25">
      <c r="A487" s="13">
        <v>8066</v>
      </c>
      <c r="B487" s="11" t="s">
        <v>277</v>
      </c>
      <c r="C487" s="11" t="s">
        <v>497</v>
      </c>
      <c r="D487" s="12">
        <v>1615</v>
      </c>
      <c r="E487"/>
      <c r="F487"/>
      <c r="G487"/>
      <c r="H487"/>
      <c r="I487"/>
    </row>
    <row r="488" spans="1:9" x14ac:dyDescent="0.25">
      <c r="A488" s="13">
        <v>8067</v>
      </c>
      <c r="B488" s="11" t="s">
        <v>277</v>
      </c>
      <c r="C488" s="11" t="s">
        <v>497</v>
      </c>
      <c r="D488" s="12">
        <v>1735</v>
      </c>
      <c r="E488"/>
      <c r="F488"/>
      <c r="G488"/>
      <c r="H488"/>
      <c r="I488"/>
    </row>
    <row r="489" spans="1:9" x14ac:dyDescent="0.25">
      <c r="A489" s="13">
        <v>8068</v>
      </c>
      <c r="B489" s="11" t="s">
        <v>277</v>
      </c>
      <c r="C489" s="11" t="s">
        <v>497</v>
      </c>
      <c r="D489" s="12">
        <v>2665</v>
      </c>
      <c r="E489"/>
      <c r="F489"/>
      <c r="G489"/>
      <c r="H489"/>
      <c r="I489"/>
    </row>
    <row r="490" spans="1:9" x14ac:dyDescent="0.25">
      <c r="A490" s="13">
        <v>8069</v>
      </c>
      <c r="B490" s="11" t="s">
        <v>277</v>
      </c>
      <c r="C490" s="11" t="s">
        <v>497</v>
      </c>
      <c r="D490" s="12">
        <v>2425</v>
      </c>
      <c r="E490"/>
      <c r="F490"/>
      <c r="G490"/>
      <c r="H490"/>
      <c r="I490"/>
    </row>
    <row r="491" spans="1:9" x14ac:dyDescent="0.25">
      <c r="A491" s="13">
        <v>8081</v>
      </c>
      <c r="B491" s="11" t="s">
        <v>277</v>
      </c>
      <c r="C491" s="11" t="s">
        <v>497</v>
      </c>
      <c r="D491" s="12">
        <v>720</v>
      </c>
      <c r="E491"/>
      <c r="F491"/>
      <c r="G491"/>
      <c r="H491"/>
      <c r="I491"/>
    </row>
    <row r="492" spans="1:9" x14ac:dyDescent="0.25">
      <c r="A492" s="13">
        <v>8121</v>
      </c>
      <c r="B492" s="11" t="s">
        <v>277</v>
      </c>
      <c r="C492" s="11" t="s">
        <v>497</v>
      </c>
      <c r="D492" s="12">
        <v>1155</v>
      </c>
      <c r="E492"/>
      <c r="F492"/>
      <c r="G492"/>
      <c r="H492"/>
      <c r="I492"/>
    </row>
    <row r="493" spans="1:9" x14ac:dyDescent="0.25">
      <c r="A493" s="13">
        <v>8122</v>
      </c>
      <c r="B493" s="11" t="s">
        <v>277</v>
      </c>
      <c r="C493" s="11" t="s">
        <v>497</v>
      </c>
      <c r="D493" s="12">
        <v>1650</v>
      </c>
      <c r="E493"/>
      <c r="F493"/>
      <c r="G493"/>
      <c r="H493"/>
      <c r="I493"/>
    </row>
    <row r="494" spans="1:9" x14ac:dyDescent="0.25">
      <c r="A494" s="13">
        <v>8123</v>
      </c>
      <c r="B494" s="11" t="s">
        <v>277</v>
      </c>
      <c r="C494" s="11" t="s">
        <v>497</v>
      </c>
      <c r="D494" s="12">
        <v>780</v>
      </c>
      <c r="E494"/>
      <c r="F494"/>
      <c r="G494"/>
      <c r="H494"/>
      <c r="I494"/>
    </row>
    <row r="495" spans="1:9" x14ac:dyDescent="0.25">
      <c r="A495" s="13">
        <v>8321</v>
      </c>
      <c r="B495" s="11" t="s">
        <v>277</v>
      </c>
      <c r="C495" s="11" t="s">
        <v>497</v>
      </c>
      <c r="D495" s="12">
        <v>1530</v>
      </c>
      <c r="E495"/>
      <c r="F495"/>
      <c r="G495"/>
      <c r="H495"/>
      <c r="I495"/>
    </row>
    <row r="496" spans="1:9" x14ac:dyDescent="0.25">
      <c r="A496" s="13">
        <v>9062</v>
      </c>
      <c r="B496" s="11" t="s">
        <v>277</v>
      </c>
      <c r="C496" s="11" t="s">
        <v>497</v>
      </c>
      <c r="D496" s="12">
        <v>1975</v>
      </c>
      <c r="E496"/>
      <c r="F496"/>
      <c r="G496"/>
      <c r="H496"/>
      <c r="I496"/>
    </row>
    <row r="497" spans="1:9" x14ac:dyDescent="0.25">
      <c r="A497" s="13">
        <v>9063</v>
      </c>
      <c r="B497" s="11" t="s">
        <v>277</v>
      </c>
      <c r="C497" s="11" t="s">
        <v>497</v>
      </c>
      <c r="D497" s="12">
        <v>1675</v>
      </c>
      <c r="E497"/>
      <c r="F497"/>
      <c r="G497"/>
      <c r="H497"/>
      <c r="I497"/>
    </row>
    <row r="498" spans="1:9" x14ac:dyDescent="0.25">
      <c r="A498" s="13">
        <v>9065</v>
      </c>
      <c r="B498" s="11" t="s">
        <v>277</v>
      </c>
      <c r="C498" s="11" t="s">
        <v>497</v>
      </c>
      <c r="D498" s="12">
        <v>1785</v>
      </c>
      <c r="E498"/>
      <c r="F498"/>
      <c r="G498"/>
      <c r="H498"/>
      <c r="I498"/>
    </row>
    <row r="499" spans="1:9" x14ac:dyDescent="0.25">
      <c r="A499" s="13">
        <v>9068</v>
      </c>
      <c r="B499" s="11" t="s">
        <v>277</v>
      </c>
      <c r="C499" s="11" t="s">
        <v>497</v>
      </c>
      <c r="D499" s="12">
        <v>2095</v>
      </c>
      <c r="E499"/>
      <c r="F499"/>
      <c r="G499"/>
      <c r="H499"/>
      <c r="I499"/>
    </row>
    <row r="500" spans="1:9" x14ac:dyDescent="0.25">
      <c r="A500" s="13">
        <v>9069</v>
      </c>
      <c r="B500" s="11" t="s">
        <v>277</v>
      </c>
      <c r="C500" s="11" t="s">
        <v>497</v>
      </c>
      <c r="D500" s="12">
        <v>1975</v>
      </c>
      <c r="E500"/>
      <c r="F500"/>
      <c r="G500"/>
      <c r="H500"/>
      <c r="I500"/>
    </row>
    <row r="501" spans="1:9" x14ac:dyDescent="0.25">
      <c r="A501" s="13">
        <v>9071</v>
      </c>
      <c r="B501" s="11" t="s">
        <v>277</v>
      </c>
      <c r="C501" s="11" t="s">
        <v>497</v>
      </c>
      <c r="D501" s="12">
        <v>1615</v>
      </c>
      <c r="E501"/>
      <c r="F501"/>
      <c r="G501"/>
      <c r="H501"/>
      <c r="I501"/>
    </row>
    <row r="502" spans="1:9" x14ac:dyDescent="0.25">
      <c r="A502" s="13">
        <v>9072</v>
      </c>
      <c r="B502" s="11" t="s">
        <v>277</v>
      </c>
      <c r="C502" s="11" t="s">
        <v>497</v>
      </c>
      <c r="D502" s="12">
        <v>4580</v>
      </c>
      <c r="E502"/>
      <c r="F502"/>
      <c r="G502"/>
      <c r="H502"/>
      <c r="I502"/>
    </row>
    <row r="503" spans="1:9" x14ac:dyDescent="0.25">
      <c r="A503" s="13">
        <v>9073</v>
      </c>
      <c r="B503" s="11" t="s">
        <v>277</v>
      </c>
      <c r="C503" s="11" t="s">
        <v>497</v>
      </c>
      <c r="D503" s="12">
        <v>4220</v>
      </c>
      <c r="E503"/>
      <c r="F503"/>
      <c r="G503"/>
      <c r="H503"/>
      <c r="I503"/>
    </row>
    <row r="504" spans="1:9" x14ac:dyDescent="0.25">
      <c r="A504" s="13">
        <v>9074</v>
      </c>
      <c r="B504" s="11" t="s">
        <v>277</v>
      </c>
      <c r="C504" s="11" t="s">
        <v>497</v>
      </c>
      <c r="D504" s="12">
        <v>2990</v>
      </c>
      <c r="E504"/>
      <c r="F504"/>
      <c r="G504"/>
      <c r="H504"/>
      <c r="I504"/>
    </row>
    <row r="505" spans="1:9" x14ac:dyDescent="0.25">
      <c r="A505" s="13">
        <v>9075</v>
      </c>
      <c r="B505" s="11" t="s">
        <v>277</v>
      </c>
      <c r="C505" s="11" t="s">
        <v>497</v>
      </c>
      <c r="D505" s="12">
        <v>5145</v>
      </c>
      <c r="E505"/>
      <c r="F505"/>
      <c r="G505"/>
      <c r="H505"/>
      <c r="I505"/>
    </row>
    <row r="506" spans="1:9" x14ac:dyDescent="0.25">
      <c r="A506" s="13">
        <v>9076</v>
      </c>
      <c r="B506" s="11" t="s">
        <v>277</v>
      </c>
      <c r="C506" s="11" t="s">
        <v>497</v>
      </c>
      <c r="D506" s="12">
        <v>1770</v>
      </c>
      <c r="E506"/>
      <c r="F506"/>
      <c r="G506"/>
      <c r="H506"/>
      <c r="I506"/>
    </row>
    <row r="507" spans="1:9" x14ac:dyDescent="0.25">
      <c r="A507" s="13" t="s">
        <v>755</v>
      </c>
      <c r="B507" s="11" t="s">
        <v>284</v>
      </c>
      <c r="C507" s="11" t="s">
        <v>705</v>
      </c>
      <c r="D507" s="12">
        <v>3510</v>
      </c>
      <c r="E507"/>
      <c r="F507"/>
      <c r="G507"/>
      <c r="H507"/>
      <c r="I507"/>
    </row>
    <row r="508" spans="1:9" x14ac:dyDescent="0.25">
      <c r="A508" s="13" t="s">
        <v>760</v>
      </c>
      <c r="B508" s="11" t="s">
        <v>284</v>
      </c>
      <c r="C508" s="11" t="s">
        <v>705</v>
      </c>
      <c r="D508" s="12">
        <v>5235</v>
      </c>
      <c r="E508"/>
      <c r="F508"/>
      <c r="G508"/>
      <c r="H508"/>
      <c r="I508"/>
    </row>
    <row r="509" spans="1:9" x14ac:dyDescent="0.25">
      <c r="A509" s="13" t="s">
        <v>835</v>
      </c>
      <c r="B509" s="11" t="s">
        <v>277</v>
      </c>
      <c r="C509" s="11" t="s">
        <v>494</v>
      </c>
      <c r="D509" s="12">
        <v>95</v>
      </c>
      <c r="E509"/>
      <c r="F509"/>
      <c r="G509"/>
      <c r="H509"/>
      <c r="I509"/>
    </row>
    <row r="510" spans="1:9" x14ac:dyDescent="0.25">
      <c r="A510" s="13" t="s">
        <v>1021</v>
      </c>
      <c r="B510" s="11" t="s">
        <v>277</v>
      </c>
      <c r="C510" s="11" t="s">
        <v>494</v>
      </c>
      <c r="D510" s="12">
        <v>155</v>
      </c>
      <c r="E510"/>
      <c r="F510"/>
      <c r="G510"/>
      <c r="H510"/>
      <c r="I510"/>
    </row>
    <row r="511" spans="1:9" x14ac:dyDescent="0.25">
      <c r="A511" s="13" t="s">
        <v>805</v>
      </c>
      <c r="B511" s="11" t="s">
        <v>277</v>
      </c>
      <c r="C511" s="11" t="s">
        <v>494</v>
      </c>
      <c r="D511" s="12">
        <v>155</v>
      </c>
      <c r="E511"/>
      <c r="F511"/>
      <c r="G511"/>
      <c r="H511"/>
      <c r="I511"/>
    </row>
    <row r="512" spans="1:9" x14ac:dyDescent="0.25">
      <c r="A512" s="13">
        <v>181</v>
      </c>
      <c r="B512" s="11" t="s">
        <v>171</v>
      </c>
      <c r="C512" s="11" t="s">
        <v>167</v>
      </c>
      <c r="D512" s="12">
        <v>300</v>
      </c>
      <c r="E512"/>
      <c r="F512"/>
      <c r="G512"/>
      <c r="H512"/>
      <c r="I512"/>
    </row>
    <row r="513" spans="1:9" x14ac:dyDescent="0.25">
      <c r="A513" s="13">
        <v>452</v>
      </c>
      <c r="B513" s="11" t="s">
        <v>171</v>
      </c>
      <c r="C513" s="11" t="s">
        <v>495</v>
      </c>
      <c r="D513" s="12">
        <v>200</v>
      </c>
      <c r="E513"/>
      <c r="F513"/>
      <c r="G513"/>
      <c r="H513"/>
      <c r="I513"/>
    </row>
    <row r="514" spans="1:9" x14ac:dyDescent="0.25">
      <c r="A514" s="13">
        <v>455</v>
      </c>
      <c r="B514" s="11" t="s">
        <v>171</v>
      </c>
      <c r="C514" s="11" t="s">
        <v>495</v>
      </c>
      <c r="D514" s="12">
        <v>210</v>
      </c>
      <c r="E514"/>
      <c r="F514"/>
      <c r="G514"/>
      <c r="H514"/>
      <c r="I514"/>
    </row>
    <row r="515" spans="1:9" x14ac:dyDescent="0.25">
      <c r="A515" s="13">
        <v>466</v>
      </c>
      <c r="B515" s="11" t="s">
        <v>171</v>
      </c>
      <c r="C515" s="11" t="s">
        <v>495</v>
      </c>
      <c r="D515" s="12">
        <v>275</v>
      </c>
      <c r="E515"/>
      <c r="F515"/>
      <c r="G515"/>
      <c r="H515"/>
      <c r="I515"/>
    </row>
    <row r="516" spans="1:9" x14ac:dyDescent="0.25">
      <c r="A516" s="13">
        <v>501</v>
      </c>
      <c r="B516" s="11" t="s">
        <v>171</v>
      </c>
      <c r="C516" s="11" t="s">
        <v>494</v>
      </c>
      <c r="D516" s="12">
        <v>280</v>
      </c>
      <c r="E516"/>
      <c r="F516"/>
      <c r="G516"/>
      <c r="H516"/>
      <c r="I516"/>
    </row>
    <row r="517" spans="1:9" x14ac:dyDescent="0.25">
      <c r="A517" s="13">
        <v>502</v>
      </c>
      <c r="B517" s="11" t="s">
        <v>171</v>
      </c>
      <c r="C517" s="11" t="s">
        <v>494</v>
      </c>
      <c r="D517" s="12">
        <v>280</v>
      </c>
      <c r="E517"/>
      <c r="F517"/>
      <c r="G517"/>
      <c r="H517"/>
      <c r="I517"/>
    </row>
    <row r="518" spans="1:9" x14ac:dyDescent="0.25">
      <c r="A518" s="13">
        <v>503</v>
      </c>
      <c r="B518" s="11" t="s">
        <v>171</v>
      </c>
      <c r="C518" s="11" t="s">
        <v>494</v>
      </c>
      <c r="D518" s="12">
        <v>270</v>
      </c>
      <c r="E518"/>
      <c r="F518"/>
      <c r="G518"/>
      <c r="H518"/>
      <c r="I518"/>
    </row>
    <row r="519" spans="1:9" x14ac:dyDescent="0.25">
      <c r="A519" s="13">
        <v>504</v>
      </c>
      <c r="B519" s="11" t="s">
        <v>171</v>
      </c>
      <c r="C519" s="11" t="s">
        <v>494</v>
      </c>
      <c r="D519" s="12">
        <v>255</v>
      </c>
      <c r="E519"/>
      <c r="F519"/>
      <c r="G519"/>
      <c r="H519"/>
      <c r="I519"/>
    </row>
    <row r="520" spans="1:9" x14ac:dyDescent="0.25">
      <c r="A520" s="13">
        <v>505</v>
      </c>
      <c r="B520" s="11" t="s">
        <v>171</v>
      </c>
      <c r="C520" s="11" t="s">
        <v>494</v>
      </c>
      <c r="D520" s="12">
        <v>210</v>
      </c>
      <c r="E520"/>
      <c r="F520"/>
      <c r="G520"/>
      <c r="H520"/>
      <c r="I520"/>
    </row>
    <row r="521" spans="1:9" x14ac:dyDescent="0.25">
      <c r="A521" s="13">
        <v>506</v>
      </c>
      <c r="B521" s="11" t="s">
        <v>171</v>
      </c>
      <c r="C521" s="11" t="s">
        <v>494</v>
      </c>
      <c r="D521" s="12">
        <v>435</v>
      </c>
      <c r="E521"/>
      <c r="F521"/>
      <c r="G521"/>
      <c r="H521"/>
      <c r="I521"/>
    </row>
    <row r="522" spans="1:9" x14ac:dyDescent="0.25">
      <c r="A522" s="13">
        <v>507</v>
      </c>
      <c r="B522" s="11" t="s">
        <v>171</v>
      </c>
      <c r="C522" s="11" t="s">
        <v>494</v>
      </c>
      <c r="D522" s="12">
        <v>345</v>
      </c>
      <c r="E522"/>
      <c r="F522"/>
      <c r="G522"/>
      <c r="H522"/>
      <c r="I522"/>
    </row>
    <row r="523" spans="1:9" x14ac:dyDescent="0.25">
      <c r="A523" s="13">
        <v>508</v>
      </c>
      <c r="B523" s="11" t="s">
        <v>171</v>
      </c>
      <c r="C523" s="11" t="s">
        <v>494</v>
      </c>
      <c r="D523" s="12">
        <v>200</v>
      </c>
      <c r="E523"/>
      <c r="F523"/>
      <c r="G523"/>
      <c r="H523"/>
      <c r="I523"/>
    </row>
    <row r="524" spans="1:9" x14ac:dyDescent="0.25">
      <c r="A524" s="13">
        <v>509</v>
      </c>
      <c r="B524" s="11" t="s">
        <v>171</v>
      </c>
      <c r="C524" s="11" t="s">
        <v>494</v>
      </c>
      <c r="D524" s="12">
        <v>240</v>
      </c>
      <c r="E524"/>
      <c r="F524"/>
      <c r="G524"/>
      <c r="H524"/>
      <c r="I524"/>
    </row>
    <row r="525" spans="1:9" x14ac:dyDescent="0.25">
      <c r="A525" s="13">
        <v>510</v>
      </c>
      <c r="B525" s="11" t="s">
        <v>171</v>
      </c>
      <c r="C525" s="11" t="s">
        <v>494</v>
      </c>
      <c r="D525" s="12">
        <v>210</v>
      </c>
      <c r="E525"/>
      <c r="F525"/>
      <c r="G525"/>
      <c r="H525"/>
      <c r="I525"/>
    </row>
    <row r="526" spans="1:9" x14ac:dyDescent="0.25">
      <c r="A526" s="13">
        <v>512</v>
      </c>
      <c r="B526" s="11" t="s">
        <v>171</v>
      </c>
      <c r="C526" s="11" t="s">
        <v>494</v>
      </c>
      <c r="D526" s="12">
        <v>450</v>
      </c>
      <c r="E526"/>
      <c r="F526"/>
      <c r="G526"/>
      <c r="H526"/>
      <c r="I526"/>
    </row>
    <row r="527" spans="1:9" x14ac:dyDescent="0.25">
      <c r="A527" s="13">
        <v>515</v>
      </c>
      <c r="B527" s="11" t="s">
        <v>171</v>
      </c>
      <c r="C527" s="11" t="s">
        <v>494</v>
      </c>
      <c r="D527" s="12">
        <v>185</v>
      </c>
      <c r="E527"/>
      <c r="F527"/>
      <c r="G527"/>
      <c r="H527"/>
      <c r="I527"/>
    </row>
    <row r="528" spans="1:9" x14ac:dyDescent="0.25">
      <c r="A528" s="13">
        <v>516</v>
      </c>
      <c r="B528" s="11" t="s">
        <v>171</v>
      </c>
      <c r="C528" s="11" t="s">
        <v>494</v>
      </c>
      <c r="D528" s="12">
        <v>295</v>
      </c>
      <c r="E528"/>
      <c r="F528"/>
      <c r="G528"/>
      <c r="H528"/>
      <c r="I528"/>
    </row>
    <row r="529" spans="1:9" x14ac:dyDescent="0.25">
      <c r="A529" s="13">
        <v>520</v>
      </c>
      <c r="B529" s="11" t="s">
        <v>171</v>
      </c>
      <c r="C529" s="11" t="s">
        <v>494</v>
      </c>
      <c r="D529" s="12">
        <v>330</v>
      </c>
      <c r="E529"/>
      <c r="F529"/>
      <c r="G529"/>
      <c r="H529"/>
      <c r="I529"/>
    </row>
    <row r="530" spans="1:9" x14ac:dyDescent="0.25">
      <c r="A530" s="13">
        <v>522</v>
      </c>
      <c r="B530" s="11" t="s">
        <v>171</v>
      </c>
      <c r="C530" s="11" t="s">
        <v>494</v>
      </c>
      <c r="D530" s="12">
        <v>245</v>
      </c>
      <c r="E530"/>
      <c r="F530"/>
      <c r="G530"/>
      <c r="H530"/>
      <c r="I530"/>
    </row>
    <row r="531" spans="1:9" x14ac:dyDescent="0.25">
      <c r="A531" s="13">
        <v>523</v>
      </c>
      <c r="B531" s="11" t="s">
        <v>171</v>
      </c>
      <c r="C531" s="11" t="s">
        <v>494</v>
      </c>
      <c r="D531" s="12">
        <v>375</v>
      </c>
      <c r="E531"/>
      <c r="F531"/>
      <c r="G531"/>
      <c r="H531"/>
      <c r="I531"/>
    </row>
    <row r="532" spans="1:9" x14ac:dyDescent="0.25">
      <c r="A532" s="13">
        <v>524</v>
      </c>
      <c r="B532" s="11" t="s">
        <v>171</v>
      </c>
      <c r="C532" s="11" t="s">
        <v>494</v>
      </c>
      <c r="D532" s="12">
        <v>465</v>
      </c>
      <c r="E532"/>
      <c r="F532"/>
      <c r="G532"/>
      <c r="H532"/>
      <c r="I532"/>
    </row>
    <row r="533" spans="1:9" x14ac:dyDescent="0.25">
      <c r="A533" s="13">
        <v>527</v>
      </c>
      <c r="B533" s="11" t="s">
        <v>171</v>
      </c>
      <c r="C533" s="11" t="s">
        <v>494</v>
      </c>
      <c r="D533" s="12">
        <v>425</v>
      </c>
      <c r="E533"/>
      <c r="F533"/>
      <c r="G533"/>
      <c r="H533"/>
      <c r="I533"/>
    </row>
    <row r="534" spans="1:9" x14ac:dyDescent="0.25">
      <c r="A534" s="13">
        <v>529</v>
      </c>
      <c r="B534" s="11" t="s">
        <v>171</v>
      </c>
      <c r="C534" s="11" t="s">
        <v>494</v>
      </c>
      <c r="D534" s="12">
        <v>430</v>
      </c>
      <c r="E534"/>
      <c r="F534"/>
      <c r="G534"/>
      <c r="H534"/>
      <c r="I534"/>
    </row>
    <row r="535" spans="1:9" x14ac:dyDescent="0.25">
      <c r="A535" s="13">
        <v>530</v>
      </c>
      <c r="B535" s="11" t="s">
        <v>171</v>
      </c>
      <c r="C535" s="11" t="s">
        <v>494</v>
      </c>
      <c r="D535" s="12">
        <v>195</v>
      </c>
      <c r="E535"/>
      <c r="F535"/>
      <c r="G535"/>
      <c r="H535"/>
      <c r="I535"/>
    </row>
    <row r="536" spans="1:9" x14ac:dyDescent="0.25">
      <c r="A536" s="13">
        <v>533</v>
      </c>
      <c r="B536" s="11" t="s">
        <v>171</v>
      </c>
      <c r="C536" s="11" t="s">
        <v>494</v>
      </c>
      <c r="D536" s="12">
        <v>115</v>
      </c>
      <c r="E536"/>
      <c r="F536"/>
      <c r="G536"/>
      <c r="H536"/>
      <c r="I536"/>
    </row>
    <row r="537" spans="1:9" x14ac:dyDescent="0.25">
      <c r="A537" s="13">
        <v>535</v>
      </c>
      <c r="B537" s="11" t="s">
        <v>171</v>
      </c>
      <c r="C537" s="11" t="s">
        <v>494</v>
      </c>
      <c r="D537" s="12">
        <v>255</v>
      </c>
      <c r="E537"/>
      <c r="F537"/>
      <c r="G537"/>
      <c r="H537"/>
      <c r="I537"/>
    </row>
    <row r="538" spans="1:9" x14ac:dyDescent="0.25">
      <c r="A538" s="13">
        <v>536</v>
      </c>
      <c r="B538" s="11" t="s">
        <v>171</v>
      </c>
      <c r="C538" s="11" t="s">
        <v>494</v>
      </c>
      <c r="D538" s="12">
        <v>270</v>
      </c>
      <c r="E538"/>
      <c r="F538"/>
      <c r="G538"/>
      <c r="H538"/>
      <c r="I538"/>
    </row>
    <row r="539" spans="1:9" x14ac:dyDescent="0.25">
      <c r="A539" s="13">
        <v>537</v>
      </c>
      <c r="B539" s="11" t="s">
        <v>171</v>
      </c>
      <c r="C539" s="11" t="s">
        <v>494</v>
      </c>
      <c r="D539" s="12">
        <v>195</v>
      </c>
      <c r="E539"/>
      <c r="F539"/>
      <c r="G539"/>
      <c r="H539"/>
      <c r="I539"/>
    </row>
    <row r="540" spans="1:9" x14ac:dyDescent="0.25">
      <c r="A540" s="13">
        <v>538</v>
      </c>
      <c r="B540" s="11" t="s">
        <v>171</v>
      </c>
      <c r="C540" s="11" t="s">
        <v>494</v>
      </c>
      <c r="D540" s="12">
        <v>175</v>
      </c>
      <c r="E540"/>
      <c r="F540"/>
      <c r="G540"/>
      <c r="H540"/>
      <c r="I540"/>
    </row>
    <row r="541" spans="1:9" x14ac:dyDescent="0.25">
      <c r="A541" s="13">
        <v>539</v>
      </c>
      <c r="B541" s="11" t="s">
        <v>171</v>
      </c>
      <c r="C541" s="11" t="s">
        <v>494</v>
      </c>
      <c r="D541" s="12">
        <v>200</v>
      </c>
      <c r="E541"/>
      <c r="F541"/>
      <c r="G541"/>
      <c r="H541"/>
      <c r="I541"/>
    </row>
    <row r="542" spans="1:9" x14ac:dyDescent="0.25">
      <c r="A542" s="13">
        <v>551</v>
      </c>
      <c r="B542" s="11" t="s">
        <v>171</v>
      </c>
      <c r="C542" s="11" t="s">
        <v>494</v>
      </c>
      <c r="D542" s="12">
        <v>210</v>
      </c>
      <c r="E542"/>
      <c r="F542"/>
      <c r="G542"/>
      <c r="H542"/>
      <c r="I542"/>
    </row>
    <row r="543" spans="1:9" x14ac:dyDescent="0.25">
      <c r="A543" s="13">
        <v>552</v>
      </c>
      <c r="B543" s="11" t="s">
        <v>171</v>
      </c>
      <c r="C543" s="11" t="s">
        <v>494</v>
      </c>
      <c r="D543" s="12">
        <v>200</v>
      </c>
      <c r="E543"/>
      <c r="F543"/>
      <c r="G543"/>
      <c r="H543"/>
      <c r="I543"/>
    </row>
    <row r="544" spans="1:9" x14ac:dyDescent="0.25">
      <c r="A544" s="13">
        <v>554</v>
      </c>
      <c r="B544" s="11" t="s">
        <v>171</v>
      </c>
      <c r="C544" s="11" t="s">
        <v>494</v>
      </c>
      <c r="D544" s="12">
        <v>275</v>
      </c>
      <c r="E544"/>
      <c r="F544"/>
      <c r="G544"/>
      <c r="H544"/>
      <c r="I544"/>
    </row>
    <row r="545" spans="1:9" x14ac:dyDescent="0.25">
      <c r="A545" s="13">
        <v>556</v>
      </c>
      <c r="B545" s="11" t="s">
        <v>171</v>
      </c>
      <c r="C545" s="11" t="s">
        <v>494</v>
      </c>
      <c r="D545" s="12">
        <v>475</v>
      </c>
      <c r="E545"/>
      <c r="F545"/>
      <c r="G545"/>
      <c r="H545"/>
      <c r="I545"/>
    </row>
    <row r="546" spans="1:9" x14ac:dyDescent="0.25">
      <c r="A546" s="13">
        <v>557</v>
      </c>
      <c r="B546" s="11" t="s">
        <v>171</v>
      </c>
      <c r="C546" s="11" t="s">
        <v>494</v>
      </c>
      <c r="D546" s="12">
        <v>405</v>
      </c>
      <c r="E546"/>
      <c r="F546"/>
      <c r="G546"/>
      <c r="H546"/>
      <c r="I546"/>
    </row>
    <row r="547" spans="1:9" x14ac:dyDescent="0.25">
      <c r="A547" s="13">
        <v>558</v>
      </c>
      <c r="B547" s="11" t="s">
        <v>171</v>
      </c>
      <c r="C547" s="11" t="s">
        <v>494</v>
      </c>
      <c r="D547" s="12">
        <v>410</v>
      </c>
      <c r="E547"/>
      <c r="F547"/>
      <c r="G547"/>
      <c r="H547"/>
      <c r="I547"/>
    </row>
    <row r="548" spans="1:9" x14ac:dyDescent="0.25">
      <c r="A548" s="13">
        <v>560</v>
      </c>
      <c r="B548" s="11" t="s">
        <v>171</v>
      </c>
      <c r="C548" s="11" t="s">
        <v>494</v>
      </c>
      <c r="D548" s="12">
        <v>230</v>
      </c>
      <c r="E548"/>
      <c r="F548"/>
      <c r="G548"/>
      <c r="H548"/>
      <c r="I548"/>
    </row>
    <row r="549" spans="1:9" x14ac:dyDescent="0.25">
      <c r="A549" s="13">
        <v>561</v>
      </c>
      <c r="B549" s="11" t="s">
        <v>171</v>
      </c>
      <c r="C549" s="11" t="s">
        <v>494</v>
      </c>
      <c r="D549" s="12">
        <v>520</v>
      </c>
      <c r="E549"/>
      <c r="F549"/>
      <c r="G549"/>
      <c r="H549"/>
      <c r="I549"/>
    </row>
    <row r="550" spans="1:9" x14ac:dyDescent="0.25">
      <c r="A550" s="13">
        <v>562</v>
      </c>
      <c r="B550" s="11" t="s">
        <v>171</v>
      </c>
      <c r="C550" s="11" t="s">
        <v>494</v>
      </c>
      <c r="D550" s="12">
        <v>450</v>
      </c>
      <c r="E550"/>
      <c r="F550"/>
      <c r="G550"/>
      <c r="H550"/>
      <c r="I550"/>
    </row>
    <row r="551" spans="1:9" x14ac:dyDescent="0.25">
      <c r="A551" s="13">
        <v>563</v>
      </c>
      <c r="B551" s="11" t="s">
        <v>171</v>
      </c>
      <c r="C551" s="11" t="s">
        <v>494</v>
      </c>
      <c r="D551" s="12">
        <v>345</v>
      </c>
      <c r="E551"/>
      <c r="F551"/>
      <c r="G551"/>
      <c r="H551"/>
      <c r="I551"/>
    </row>
    <row r="552" spans="1:9" x14ac:dyDescent="0.25">
      <c r="A552" s="13">
        <v>568</v>
      </c>
      <c r="B552" s="11" t="s">
        <v>171</v>
      </c>
      <c r="C552" s="11" t="s">
        <v>494</v>
      </c>
      <c r="D552" s="12">
        <v>360</v>
      </c>
      <c r="E552"/>
      <c r="F552"/>
      <c r="G552"/>
      <c r="H552"/>
      <c r="I552"/>
    </row>
    <row r="553" spans="1:9" x14ac:dyDescent="0.25">
      <c r="A553" s="13">
        <v>572</v>
      </c>
      <c r="B553" s="11" t="s">
        <v>171</v>
      </c>
      <c r="C553" s="11" t="s">
        <v>494</v>
      </c>
      <c r="D553" s="12">
        <v>450</v>
      </c>
      <c r="E553"/>
      <c r="F553"/>
      <c r="G553"/>
      <c r="H553"/>
      <c r="I553"/>
    </row>
    <row r="554" spans="1:9" x14ac:dyDescent="0.25">
      <c r="A554" s="13">
        <v>573</v>
      </c>
      <c r="B554" s="11" t="s">
        <v>171</v>
      </c>
      <c r="C554" s="11" t="s">
        <v>494</v>
      </c>
      <c r="D554" s="12">
        <v>500</v>
      </c>
      <c r="E554"/>
      <c r="F554"/>
      <c r="G554"/>
      <c r="H554"/>
      <c r="I554"/>
    </row>
    <row r="555" spans="1:9" x14ac:dyDescent="0.25">
      <c r="A555" s="13">
        <v>574</v>
      </c>
      <c r="B555" s="11" t="s">
        <v>171</v>
      </c>
      <c r="C555" s="11" t="s">
        <v>494</v>
      </c>
      <c r="D555" s="12">
        <v>405</v>
      </c>
      <c r="E555"/>
      <c r="F555"/>
      <c r="G555"/>
      <c r="H555"/>
      <c r="I555"/>
    </row>
    <row r="556" spans="1:9" x14ac:dyDescent="0.25">
      <c r="A556" s="13">
        <v>577</v>
      </c>
      <c r="B556" s="11" t="s">
        <v>171</v>
      </c>
      <c r="C556" s="11" t="s">
        <v>494</v>
      </c>
      <c r="D556" s="12">
        <v>530</v>
      </c>
      <c r="E556"/>
      <c r="F556"/>
      <c r="G556"/>
      <c r="H556"/>
      <c r="I556"/>
    </row>
    <row r="557" spans="1:9" x14ac:dyDescent="0.25">
      <c r="A557" s="13">
        <v>578</v>
      </c>
      <c r="B557" s="11" t="s">
        <v>171</v>
      </c>
      <c r="C557" s="11" t="s">
        <v>494</v>
      </c>
      <c r="D557" s="12">
        <v>365</v>
      </c>
      <c r="E557"/>
      <c r="F557"/>
      <c r="G557"/>
      <c r="H557"/>
      <c r="I557"/>
    </row>
    <row r="558" spans="1:9" x14ac:dyDescent="0.25">
      <c r="A558" s="13">
        <v>582</v>
      </c>
      <c r="B558" s="11" t="s">
        <v>171</v>
      </c>
      <c r="C558" s="11" t="s">
        <v>494</v>
      </c>
      <c r="D558" s="12">
        <v>230</v>
      </c>
      <c r="E558"/>
      <c r="F558"/>
      <c r="G558"/>
      <c r="H558"/>
      <c r="I558"/>
    </row>
    <row r="559" spans="1:9" x14ac:dyDescent="0.25">
      <c r="A559" s="13">
        <v>596</v>
      </c>
      <c r="B559" s="11" t="s">
        <v>171</v>
      </c>
      <c r="C559" s="11" t="s">
        <v>494</v>
      </c>
      <c r="D559" s="12">
        <v>195</v>
      </c>
      <c r="E559"/>
      <c r="F559"/>
      <c r="G559"/>
      <c r="H559"/>
      <c r="I559"/>
    </row>
    <row r="560" spans="1:9" x14ac:dyDescent="0.25">
      <c r="A560" s="13">
        <v>597</v>
      </c>
      <c r="B560" s="11" t="s">
        <v>171</v>
      </c>
      <c r="C560" s="11" t="s">
        <v>494</v>
      </c>
      <c r="D560" s="12">
        <v>175</v>
      </c>
      <c r="E560"/>
      <c r="F560"/>
      <c r="G560"/>
      <c r="H560"/>
      <c r="I560"/>
    </row>
    <row r="561" spans="1:9" x14ac:dyDescent="0.25">
      <c r="A561" s="13">
        <v>599</v>
      </c>
      <c r="B561" s="11" t="s">
        <v>171</v>
      </c>
      <c r="C561" s="11" t="s">
        <v>494</v>
      </c>
      <c r="D561" s="12">
        <v>455</v>
      </c>
      <c r="E561"/>
      <c r="F561"/>
      <c r="G561"/>
      <c r="H561"/>
      <c r="I561"/>
    </row>
    <row r="562" spans="1:9" x14ac:dyDescent="0.25">
      <c r="A562" s="13">
        <v>841</v>
      </c>
      <c r="B562" s="11" t="s">
        <v>171</v>
      </c>
      <c r="C562" s="11" t="s">
        <v>497</v>
      </c>
      <c r="D562" s="12">
        <v>810</v>
      </c>
      <c r="E562"/>
      <c r="F562"/>
      <c r="G562"/>
      <c r="H562"/>
      <c r="I562"/>
    </row>
    <row r="563" spans="1:9" x14ac:dyDescent="0.25">
      <c r="A563" s="13">
        <v>842</v>
      </c>
      <c r="B563" s="11" t="s">
        <v>171</v>
      </c>
      <c r="C563" s="11" t="s">
        <v>497</v>
      </c>
      <c r="D563" s="12">
        <v>930</v>
      </c>
      <c r="E563"/>
      <c r="F563"/>
      <c r="G563"/>
      <c r="H563"/>
      <c r="I563"/>
    </row>
    <row r="564" spans="1:9" x14ac:dyDescent="0.25">
      <c r="A564" s="13">
        <v>843</v>
      </c>
      <c r="B564" s="11" t="s">
        <v>171</v>
      </c>
      <c r="C564" s="11" t="s">
        <v>497</v>
      </c>
      <c r="D564" s="12">
        <v>1050</v>
      </c>
      <c r="E564"/>
      <c r="F564"/>
      <c r="G564"/>
      <c r="H564"/>
      <c r="I564"/>
    </row>
    <row r="565" spans="1:9" x14ac:dyDescent="0.25">
      <c r="A565" s="13">
        <v>844</v>
      </c>
      <c r="B565" s="11" t="s">
        <v>171</v>
      </c>
      <c r="C565" s="11" t="s">
        <v>497</v>
      </c>
      <c r="D565" s="12">
        <v>930</v>
      </c>
      <c r="E565"/>
      <c r="F565"/>
      <c r="G565"/>
      <c r="H565"/>
      <c r="I565"/>
    </row>
    <row r="566" spans="1:9" x14ac:dyDescent="0.25">
      <c r="A566" s="13">
        <v>845</v>
      </c>
      <c r="B566" s="11" t="s">
        <v>171</v>
      </c>
      <c r="C566" s="11" t="s">
        <v>497</v>
      </c>
      <c r="D566" s="12">
        <v>840</v>
      </c>
      <c r="E566"/>
      <c r="F566"/>
      <c r="G566"/>
      <c r="H566"/>
      <c r="I566"/>
    </row>
    <row r="567" spans="1:9" x14ac:dyDescent="0.25">
      <c r="A567" s="13">
        <v>846</v>
      </c>
      <c r="B567" s="11" t="s">
        <v>171</v>
      </c>
      <c r="C567" s="11" t="s">
        <v>497</v>
      </c>
      <c r="D567" s="12">
        <v>690</v>
      </c>
      <c r="E567"/>
      <c r="F567"/>
      <c r="G567"/>
      <c r="H567"/>
      <c r="I567"/>
    </row>
    <row r="568" spans="1:9" x14ac:dyDescent="0.25">
      <c r="A568" s="13">
        <v>848</v>
      </c>
      <c r="B568" s="11" t="s">
        <v>171</v>
      </c>
      <c r="C568" s="11" t="s">
        <v>497</v>
      </c>
      <c r="D568" s="12">
        <v>1035</v>
      </c>
      <c r="E568"/>
      <c r="F568"/>
      <c r="G568"/>
      <c r="H568"/>
      <c r="I568"/>
    </row>
    <row r="569" spans="1:9" x14ac:dyDescent="0.25">
      <c r="A569" s="13">
        <v>849</v>
      </c>
      <c r="B569" s="11" t="s">
        <v>171</v>
      </c>
      <c r="C569" s="11" t="s">
        <v>497</v>
      </c>
      <c r="D569" s="12">
        <v>720</v>
      </c>
      <c r="E569"/>
      <c r="F569"/>
      <c r="G569"/>
      <c r="H569"/>
      <c r="I569"/>
    </row>
    <row r="570" spans="1:9" x14ac:dyDescent="0.25">
      <c r="A570" s="13">
        <v>850</v>
      </c>
      <c r="B570" s="11" t="s">
        <v>171</v>
      </c>
      <c r="C570" s="11" t="s">
        <v>497</v>
      </c>
      <c r="D570" s="12">
        <v>750</v>
      </c>
      <c r="E570"/>
      <c r="F570"/>
      <c r="G570"/>
      <c r="H570"/>
      <c r="I570"/>
    </row>
    <row r="571" spans="1:9" x14ac:dyDescent="0.25">
      <c r="A571" s="13">
        <v>851</v>
      </c>
      <c r="B571" s="11" t="s">
        <v>171</v>
      </c>
      <c r="C571" s="11" t="s">
        <v>497</v>
      </c>
      <c r="D571" s="12">
        <v>750</v>
      </c>
      <c r="E571"/>
      <c r="F571"/>
      <c r="G571"/>
      <c r="H571"/>
      <c r="I571"/>
    </row>
    <row r="572" spans="1:9" x14ac:dyDescent="0.25">
      <c r="A572" s="13">
        <v>852</v>
      </c>
      <c r="B572" s="11" t="s">
        <v>171</v>
      </c>
      <c r="C572" s="11" t="s">
        <v>497</v>
      </c>
      <c r="D572" s="12">
        <v>635</v>
      </c>
      <c r="E572"/>
      <c r="F572"/>
      <c r="G572"/>
      <c r="H572"/>
      <c r="I572"/>
    </row>
    <row r="573" spans="1:9" x14ac:dyDescent="0.25">
      <c r="A573" s="13">
        <v>853</v>
      </c>
      <c r="B573" s="11" t="s">
        <v>171</v>
      </c>
      <c r="C573" s="11" t="s">
        <v>497</v>
      </c>
      <c r="D573" s="12">
        <v>1350</v>
      </c>
      <c r="E573"/>
      <c r="F573"/>
      <c r="G573"/>
      <c r="H573"/>
      <c r="I573"/>
    </row>
    <row r="574" spans="1:9" x14ac:dyDescent="0.25">
      <c r="A574" s="13">
        <v>854</v>
      </c>
      <c r="B574" s="11" t="s">
        <v>171</v>
      </c>
      <c r="C574" s="11" t="s">
        <v>497</v>
      </c>
      <c r="D574" s="12">
        <v>835</v>
      </c>
      <c r="E574"/>
      <c r="F574"/>
      <c r="G574"/>
      <c r="H574"/>
      <c r="I574"/>
    </row>
    <row r="575" spans="1:9" x14ac:dyDescent="0.25">
      <c r="A575" s="13">
        <v>855</v>
      </c>
      <c r="B575" s="11" t="s">
        <v>171</v>
      </c>
      <c r="C575" s="11" t="s">
        <v>497</v>
      </c>
      <c r="D575" s="12">
        <v>870</v>
      </c>
      <c r="E575"/>
      <c r="F575"/>
      <c r="G575"/>
      <c r="H575"/>
      <c r="I575"/>
    </row>
    <row r="576" spans="1:9" x14ac:dyDescent="0.25">
      <c r="A576" s="13">
        <v>856</v>
      </c>
      <c r="B576" s="11" t="s">
        <v>171</v>
      </c>
      <c r="C576" s="11" t="s">
        <v>497</v>
      </c>
      <c r="D576" s="12">
        <v>1230</v>
      </c>
      <c r="E576"/>
      <c r="F576"/>
      <c r="G576"/>
      <c r="H576"/>
      <c r="I576"/>
    </row>
    <row r="577" spans="1:9" x14ac:dyDescent="0.25">
      <c r="A577" s="13">
        <v>857</v>
      </c>
      <c r="B577" s="11" t="s">
        <v>171</v>
      </c>
      <c r="C577" s="11" t="s">
        <v>497</v>
      </c>
      <c r="D577" s="12">
        <v>990</v>
      </c>
      <c r="E577"/>
      <c r="F577"/>
      <c r="G577"/>
      <c r="H577"/>
      <c r="I577"/>
    </row>
    <row r="578" spans="1:9" x14ac:dyDescent="0.25">
      <c r="A578" s="13">
        <v>858</v>
      </c>
      <c r="B578" s="11" t="s">
        <v>171</v>
      </c>
      <c r="C578" s="11" t="s">
        <v>497</v>
      </c>
      <c r="D578" s="12">
        <v>1050</v>
      </c>
      <c r="E578"/>
      <c r="F578"/>
      <c r="G578"/>
      <c r="H578"/>
      <c r="I578"/>
    </row>
    <row r="579" spans="1:9" x14ac:dyDescent="0.25">
      <c r="A579" s="13">
        <v>859</v>
      </c>
      <c r="B579" s="11" t="s">
        <v>171</v>
      </c>
      <c r="C579" s="11" t="s">
        <v>497</v>
      </c>
      <c r="D579" s="12">
        <v>960</v>
      </c>
      <c r="E579"/>
      <c r="F579"/>
      <c r="G579"/>
      <c r="H579"/>
      <c r="I579"/>
    </row>
    <row r="580" spans="1:9" x14ac:dyDescent="0.25">
      <c r="A580" s="13">
        <v>860</v>
      </c>
      <c r="B580" s="11" t="s">
        <v>171</v>
      </c>
      <c r="C580" s="11" t="s">
        <v>497</v>
      </c>
      <c r="D580" s="12">
        <v>810</v>
      </c>
      <c r="E580"/>
      <c r="F580"/>
      <c r="G580"/>
      <c r="H580"/>
      <c r="I580"/>
    </row>
    <row r="581" spans="1:9" x14ac:dyDescent="0.25">
      <c r="A581" s="13">
        <v>861</v>
      </c>
      <c r="B581" s="11" t="s">
        <v>171</v>
      </c>
      <c r="C581" s="11" t="s">
        <v>497</v>
      </c>
      <c r="D581" s="12">
        <v>480</v>
      </c>
      <c r="E581"/>
      <c r="F581"/>
      <c r="G581"/>
      <c r="H581"/>
      <c r="I581"/>
    </row>
    <row r="582" spans="1:9" x14ac:dyDescent="0.25">
      <c r="A582" s="13">
        <v>862</v>
      </c>
      <c r="B582" s="11" t="s">
        <v>171</v>
      </c>
      <c r="C582" s="11" t="s">
        <v>497</v>
      </c>
      <c r="D582" s="12">
        <v>660</v>
      </c>
      <c r="E582"/>
      <c r="F582"/>
      <c r="G582"/>
      <c r="H582"/>
      <c r="I582"/>
    </row>
    <row r="583" spans="1:9" x14ac:dyDescent="0.25">
      <c r="A583" s="13">
        <v>866</v>
      </c>
      <c r="B583" s="11" t="s">
        <v>171</v>
      </c>
      <c r="C583" s="11" t="s">
        <v>497</v>
      </c>
      <c r="D583" s="12">
        <v>560</v>
      </c>
      <c r="E583"/>
      <c r="F583"/>
      <c r="G583"/>
      <c r="H583"/>
      <c r="I583"/>
    </row>
    <row r="584" spans="1:9" x14ac:dyDescent="0.25">
      <c r="A584" s="13">
        <v>868</v>
      </c>
      <c r="B584" s="11" t="s">
        <v>171</v>
      </c>
      <c r="C584" s="11" t="s">
        <v>497</v>
      </c>
      <c r="D584" s="12">
        <v>690</v>
      </c>
      <c r="E584"/>
      <c r="F584"/>
      <c r="G584"/>
      <c r="H584"/>
      <c r="I584"/>
    </row>
    <row r="585" spans="1:9" x14ac:dyDescent="0.25">
      <c r="A585" s="13">
        <v>869</v>
      </c>
      <c r="B585" s="11" t="s">
        <v>171</v>
      </c>
      <c r="C585" s="11" t="s">
        <v>497</v>
      </c>
      <c r="D585" s="12">
        <v>1590</v>
      </c>
      <c r="E585"/>
      <c r="F585"/>
      <c r="G585"/>
      <c r="H585"/>
      <c r="I585"/>
    </row>
    <row r="586" spans="1:9" x14ac:dyDescent="0.25">
      <c r="A586" s="13">
        <v>870</v>
      </c>
      <c r="B586" s="11" t="s">
        <v>171</v>
      </c>
      <c r="C586" s="11" t="s">
        <v>497</v>
      </c>
      <c r="D586" s="12">
        <v>810</v>
      </c>
      <c r="E586"/>
      <c r="F586"/>
      <c r="G586"/>
      <c r="H586"/>
      <c r="I586"/>
    </row>
    <row r="587" spans="1:9" x14ac:dyDescent="0.25">
      <c r="A587" s="13">
        <v>871</v>
      </c>
      <c r="B587" s="11" t="s">
        <v>171</v>
      </c>
      <c r="C587" s="11" t="s">
        <v>497</v>
      </c>
      <c r="D587" s="12">
        <v>660</v>
      </c>
      <c r="E587"/>
      <c r="F587"/>
      <c r="G587"/>
      <c r="H587"/>
      <c r="I587"/>
    </row>
    <row r="588" spans="1:9" x14ac:dyDescent="0.25">
      <c r="A588" s="13">
        <v>874</v>
      </c>
      <c r="B588" s="11" t="s">
        <v>171</v>
      </c>
      <c r="C588" s="11" t="s">
        <v>497</v>
      </c>
      <c r="D588" s="12">
        <v>750</v>
      </c>
      <c r="E588"/>
      <c r="F588"/>
      <c r="G588"/>
      <c r="H588"/>
      <c r="I588"/>
    </row>
    <row r="589" spans="1:9" x14ac:dyDescent="0.25">
      <c r="A589" s="13">
        <v>875</v>
      </c>
      <c r="B589" s="11" t="s">
        <v>171</v>
      </c>
      <c r="C589" s="11" t="s">
        <v>497</v>
      </c>
      <c r="D589" s="12">
        <v>810</v>
      </c>
      <c r="E589"/>
      <c r="F589"/>
      <c r="G589"/>
      <c r="H589"/>
      <c r="I589"/>
    </row>
    <row r="590" spans="1:9" x14ac:dyDescent="0.25">
      <c r="A590" s="13">
        <v>876</v>
      </c>
      <c r="B590" s="11" t="s">
        <v>171</v>
      </c>
      <c r="C590" s="11" t="s">
        <v>497</v>
      </c>
      <c r="D590" s="12">
        <v>650</v>
      </c>
      <c r="E590"/>
      <c r="F590"/>
      <c r="G590"/>
      <c r="H590"/>
      <c r="I590"/>
    </row>
    <row r="591" spans="1:9" x14ac:dyDescent="0.25">
      <c r="A591" s="13">
        <v>877</v>
      </c>
      <c r="B591" s="11" t="s">
        <v>171</v>
      </c>
      <c r="C591" s="11" t="s">
        <v>497</v>
      </c>
      <c r="D591" s="12">
        <v>630</v>
      </c>
      <c r="E591"/>
      <c r="F591"/>
      <c r="G591"/>
      <c r="H591"/>
      <c r="I591"/>
    </row>
    <row r="592" spans="1:9" x14ac:dyDescent="0.25">
      <c r="A592" s="13">
        <v>878</v>
      </c>
      <c r="B592" s="11" t="s">
        <v>171</v>
      </c>
      <c r="C592" s="11" t="s">
        <v>497</v>
      </c>
      <c r="D592" s="12">
        <v>525</v>
      </c>
      <c r="E592"/>
      <c r="F592"/>
      <c r="G592"/>
      <c r="H592"/>
      <c r="I592"/>
    </row>
    <row r="593" spans="1:9" x14ac:dyDescent="0.25">
      <c r="A593" s="13">
        <v>879</v>
      </c>
      <c r="B593" s="11" t="s">
        <v>171</v>
      </c>
      <c r="C593" s="11" t="s">
        <v>497</v>
      </c>
      <c r="D593" s="12">
        <v>460</v>
      </c>
      <c r="E593"/>
      <c r="F593"/>
      <c r="G593"/>
      <c r="H593"/>
      <c r="I593"/>
    </row>
    <row r="594" spans="1:9" x14ac:dyDescent="0.25">
      <c r="A594" s="13">
        <v>883</v>
      </c>
      <c r="B594" s="11" t="s">
        <v>171</v>
      </c>
      <c r="C594" s="11" t="s">
        <v>497</v>
      </c>
      <c r="D594" s="12">
        <v>705</v>
      </c>
      <c r="E594"/>
      <c r="F594"/>
      <c r="G594"/>
      <c r="H594"/>
      <c r="I594"/>
    </row>
    <row r="595" spans="1:9" x14ac:dyDescent="0.25">
      <c r="A595" s="13">
        <v>885</v>
      </c>
      <c r="B595" s="11" t="s">
        <v>171</v>
      </c>
      <c r="C595" s="11" t="s">
        <v>497</v>
      </c>
      <c r="D595" s="12">
        <v>610</v>
      </c>
      <c r="E595"/>
      <c r="F595"/>
      <c r="G595"/>
      <c r="H595"/>
      <c r="I595"/>
    </row>
    <row r="596" spans="1:9" x14ac:dyDescent="0.25">
      <c r="A596" s="13">
        <v>886</v>
      </c>
      <c r="B596" s="11" t="s">
        <v>171</v>
      </c>
      <c r="C596" s="11" t="s">
        <v>497</v>
      </c>
      <c r="D596" s="12">
        <v>625</v>
      </c>
      <c r="E596"/>
      <c r="F596"/>
      <c r="G596"/>
      <c r="H596"/>
      <c r="I596"/>
    </row>
    <row r="597" spans="1:9" x14ac:dyDescent="0.25">
      <c r="A597" s="13">
        <v>887</v>
      </c>
      <c r="B597" s="11" t="s">
        <v>171</v>
      </c>
      <c r="C597" s="11" t="s">
        <v>497</v>
      </c>
      <c r="D597" s="12">
        <v>1410</v>
      </c>
      <c r="E597"/>
      <c r="F597"/>
      <c r="G597"/>
      <c r="H597"/>
      <c r="I597"/>
    </row>
    <row r="598" spans="1:9" x14ac:dyDescent="0.25">
      <c r="A598" s="13">
        <v>890</v>
      </c>
      <c r="B598" s="11" t="s">
        <v>171</v>
      </c>
      <c r="C598" s="11" t="s">
        <v>497</v>
      </c>
      <c r="D598" s="12">
        <v>1650</v>
      </c>
      <c r="E598"/>
      <c r="F598"/>
      <c r="G598"/>
      <c r="H598"/>
      <c r="I598"/>
    </row>
    <row r="599" spans="1:9" x14ac:dyDescent="0.25">
      <c r="A599" s="13">
        <v>891</v>
      </c>
      <c r="B599" s="11" t="s">
        <v>171</v>
      </c>
      <c r="C599" s="11" t="s">
        <v>497</v>
      </c>
      <c r="D599" s="12">
        <v>1530</v>
      </c>
      <c r="E599"/>
      <c r="F599"/>
      <c r="G599"/>
      <c r="H599"/>
      <c r="I599"/>
    </row>
    <row r="600" spans="1:9" x14ac:dyDescent="0.25">
      <c r="A600" s="13">
        <v>894</v>
      </c>
      <c r="B600" s="11" t="s">
        <v>171</v>
      </c>
      <c r="C600" s="11" t="s">
        <v>497</v>
      </c>
      <c r="D600" s="12">
        <v>690</v>
      </c>
      <c r="E600"/>
      <c r="F600"/>
      <c r="G600"/>
      <c r="H600"/>
      <c r="I600"/>
    </row>
    <row r="601" spans="1:9" x14ac:dyDescent="0.25">
      <c r="A601" s="13">
        <v>895</v>
      </c>
      <c r="B601" s="11" t="s">
        <v>171</v>
      </c>
      <c r="C601" s="11" t="s">
        <v>497</v>
      </c>
      <c r="D601" s="12">
        <v>1770</v>
      </c>
      <c r="E601"/>
      <c r="F601"/>
      <c r="G601"/>
      <c r="H601"/>
      <c r="I601"/>
    </row>
    <row r="602" spans="1:9" x14ac:dyDescent="0.25">
      <c r="A602" s="13">
        <v>896</v>
      </c>
      <c r="B602" s="11" t="s">
        <v>171</v>
      </c>
      <c r="C602" s="11" t="s">
        <v>497</v>
      </c>
      <c r="D602" s="12">
        <v>2130</v>
      </c>
      <c r="E602"/>
      <c r="F602"/>
      <c r="G602"/>
      <c r="H602"/>
      <c r="I602"/>
    </row>
    <row r="603" spans="1:9" x14ac:dyDescent="0.25">
      <c r="A603" s="13">
        <v>897</v>
      </c>
      <c r="B603" s="11" t="s">
        <v>171</v>
      </c>
      <c r="C603" s="11" t="s">
        <v>497</v>
      </c>
      <c r="D603" s="12">
        <v>1230</v>
      </c>
      <c r="E603"/>
      <c r="F603"/>
      <c r="G603"/>
      <c r="H603"/>
      <c r="I603"/>
    </row>
    <row r="604" spans="1:9" x14ac:dyDescent="0.25">
      <c r="A604" s="13">
        <v>898</v>
      </c>
      <c r="B604" s="11" t="s">
        <v>171</v>
      </c>
      <c r="C604" s="11" t="s">
        <v>497</v>
      </c>
      <c r="D604" s="12">
        <v>1950</v>
      </c>
      <c r="E604"/>
      <c r="F604"/>
      <c r="G604"/>
      <c r="H604"/>
      <c r="I604"/>
    </row>
    <row r="605" spans="1:9" x14ac:dyDescent="0.25">
      <c r="A605" s="13">
        <v>4521</v>
      </c>
      <c r="B605" s="11" t="s">
        <v>171</v>
      </c>
      <c r="C605" s="11" t="s">
        <v>495</v>
      </c>
      <c r="D605" s="12">
        <v>250</v>
      </c>
      <c r="E605"/>
      <c r="F605"/>
      <c r="G605"/>
      <c r="H605"/>
      <c r="I605"/>
    </row>
    <row r="606" spans="1:9" x14ac:dyDescent="0.25">
      <c r="A606" s="13">
        <v>4561</v>
      </c>
      <c r="B606" s="11" t="s">
        <v>171</v>
      </c>
      <c r="C606" s="11" t="s">
        <v>495</v>
      </c>
      <c r="D606" s="12">
        <v>485</v>
      </c>
      <c r="E606"/>
      <c r="F606"/>
      <c r="G606"/>
      <c r="H606"/>
      <c r="I606"/>
    </row>
    <row r="607" spans="1:9" x14ac:dyDescent="0.25">
      <c r="A607" s="13">
        <v>4562</v>
      </c>
      <c r="B607" s="11" t="s">
        <v>171</v>
      </c>
      <c r="C607" s="11" t="s">
        <v>495</v>
      </c>
      <c r="D607" s="12">
        <v>435</v>
      </c>
      <c r="E607"/>
      <c r="F607"/>
      <c r="G607"/>
      <c r="H607"/>
      <c r="I607"/>
    </row>
    <row r="608" spans="1:9" x14ac:dyDescent="0.25">
      <c r="A608" s="13">
        <v>4563</v>
      </c>
      <c r="B608" s="11" t="s">
        <v>171</v>
      </c>
      <c r="C608" s="11" t="s">
        <v>495</v>
      </c>
      <c r="D608" s="12">
        <v>590</v>
      </c>
      <c r="E608"/>
      <c r="F608"/>
      <c r="G608"/>
      <c r="H608"/>
      <c r="I608"/>
    </row>
    <row r="609" spans="1:9" x14ac:dyDescent="0.25">
      <c r="A609" s="13">
        <v>4564</v>
      </c>
      <c r="B609" s="11" t="s">
        <v>171</v>
      </c>
      <c r="C609" s="11" t="s">
        <v>495</v>
      </c>
      <c r="D609" s="12">
        <v>450</v>
      </c>
      <c r="E609"/>
      <c r="F609"/>
      <c r="G609"/>
      <c r="H609"/>
      <c r="I609"/>
    </row>
    <row r="610" spans="1:9" x14ac:dyDescent="0.25">
      <c r="A610" s="13">
        <v>4565</v>
      </c>
      <c r="B610" s="11" t="s">
        <v>171</v>
      </c>
      <c r="C610" s="11" t="s">
        <v>495</v>
      </c>
      <c r="D610" s="12">
        <v>555</v>
      </c>
      <c r="E610"/>
      <c r="F610"/>
      <c r="G610"/>
      <c r="H610"/>
      <c r="I610"/>
    </row>
    <row r="611" spans="1:9" x14ac:dyDescent="0.25">
      <c r="A611" s="13">
        <v>4566</v>
      </c>
      <c r="B611" s="11" t="s">
        <v>171</v>
      </c>
      <c r="C611" s="11" t="s">
        <v>495</v>
      </c>
      <c r="D611" s="12">
        <v>585</v>
      </c>
      <c r="E611"/>
      <c r="F611"/>
      <c r="G611"/>
      <c r="H611"/>
      <c r="I611"/>
    </row>
    <row r="612" spans="1:9" x14ac:dyDescent="0.25">
      <c r="A612" s="13">
        <v>4567</v>
      </c>
      <c r="B612" s="11" t="s">
        <v>171</v>
      </c>
      <c r="C612" s="11" t="s">
        <v>495</v>
      </c>
      <c r="D612" s="12">
        <v>500</v>
      </c>
      <c r="E612"/>
      <c r="F612"/>
      <c r="G612"/>
      <c r="H612"/>
      <c r="I612"/>
    </row>
    <row r="613" spans="1:9" x14ac:dyDescent="0.25">
      <c r="A613" s="13">
        <v>4568</v>
      </c>
      <c r="B613" s="11" t="s">
        <v>171</v>
      </c>
      <c r="C613" s="11" t="s">
        <v>495</v>
      </c>
      <c r="D613" s="12">
        <v>615</v>
      </c>
      <c r="E613"/>
      <c r="F613"/>
      <c r="G613"/>
      <c r="H613"/>
      <c r="I613"/>
    </row>
    <row r="614" spans="1:9" x14ac:dyDescent="0.25">
      <c r="A614" s="13">
        <v>4569</v>
      </c>
      <c r="B614" s="11" t="s">
        <v>171</v>
      </c>
      <c r="C614" s="11" t="s">
        <v>495</v>
      </c>
      <c r="D614" s="12">
        <v>755</v>
      </c>
      <c r="E614"/>
      <c r="F614"/>
      <c r="G614"/>
      <c r="H614"/>
      <c r="I614"/>
    </row>
    <row r="615" spans="1:9" x14ac:dyDescent="0.25">
      <c r="A615" s="13">
        <v>4570</v>
      </c>
      <c r="B615" s="11" t="s">
        <v>171</v>
      </c>
      <c r="C615" s="11" t="s">
        <v>495</v>
      </c>
      <c r="D615" s="12">
        <v>635</v>
      </c>
      <c r="E615"/>
      <c r="F615"/>
      <c r="G615"/>
      <c r="H615"/>
      <c r="I615"/>
    </row>
    <row r="616" spans="1:9" x14ac:dyDescent="0.25">
      <c r="A616" s="13">
        <v>4571</v>
      </c>
      <c r="B616" s="11" t="s">
        <v>171</v>
      </c>
      <c r="C616" s="11" t="s">
        <v>495</v>
      </c>
      <c r="D616" s="12">
        <v>690</v>
      </c>
      <c r="E616"/>
      <c r="F616"/>
      <c r="G616"/>
      <c r="H616"/>
      <c r="I616"/>
    </row>
    <row r="617" spans="1:9" x14ac:dyDescent="0.25">
      <c r="A617" s="13">
        <v>4573</v>
      </c>
      <c r="B617" s="11" t="s">
        <v>171</v>
      </c>
      <c r="C617" s="11" t="s">
        <v>495</v>
      </c>
      <c r="D617" s="12">
        <v>635</v>
      </c>
      <c r="E617"/>
      <c r="F617"/>
      <c r="G617"/>
      <c r="H617"/>
      <c r="I617"/>
    </row>
    <row r="618" spans="1:9" x14ac:dyDescent="0.25">
      <c r="A618" s="13">
        <v>4574</v>
      </c>
      <c r="B618" s="11" t="s">
        <v>171</v>
      </c>
      <c r="C618" s="11" t="s">
        <v>495</v>
      </c>
      <c r="D618" s="12">
        <v>470</v>
      </c>
      <c r="E618"/>
      <c r="F618"/>
      <c r="G618"/>
      <c r="H618"/>
      <c r="I618"/>
    </row>
    <row r="619" spans="1:9" x14ac:dyDescent="0.25">
      <c r="A619" s="13">
        <v>4575</v>
      </c>
      <c r="B619" s="11" t="s">
        <v>171</v>
      </c>
      <c r="C619" s="11" t="s">
        <v>495</v>
      </c>
      <c r="D619" s="12">
        <v>700</v>
      </c>
      <c r="E619"/>
      <c r="F619"/>
      <c r="G619"/>
      <c r="H619"/>
      <c r="I619"/>
    </row>
    <row r="620" spans="1:9" x14ac:dyDescent="0.25">
      <c r="A620" s="13">
        <v>4576</v>
      </c>
      <c r="B620" s="11" t="s">
        <v>171</v>
      </c>
      <c r="C620" s="11" t="s">
        <v>495</v>
      </c>
      <c r="D620" s="12">
        <v>755</v>
      </c>
      <c r="E620"/>
      <c r="F620"/>
      <c r="G620"/>
      <c r="H620"/>
      <c r="I620"/>
    </row>
    <row r="621" spans="1:9" x14ac:dyDescent="0.25">
      <c r="A621" s="13">
        <v>5001</v>
      </c>
      <c r="B621" s="11" t="s">
        <v>171</v>
      </c>
      <c r="C621" s="11" t="s">
        <v>494</v>
      </c>
      <c r="D621" s="12">
        <v>535</v>
      </c>
      <c r="E621"/>
      <c r="F621"/>
      <c r="G621"/>
      <c r="H621"/>
      <c r="I621"/>
    </row>
    <row r="622" spans="1:9" x14ac:dyDescent="0.25">
      <c r="A622" s="13">
        <v>5002</v>
      </c>
      <c r="B622" s="11" t="s">
        <v>171</v>
      </c>
      <c r="C622" s="11" t="s">
        <v>494</v>
      </c>
      <c r="D622" s="12">
        <v>235</v>
      </c>
      <c r="E622"/>
      <c r="F622"/>
      <c r="G622"/>
      <c r="H622"/>
      <c r="I622"/>
    </row>
    <row r="623" spans="1:9" x14ac:dyDescent="0.25">
      <c r="A623" s="13">
        <v>5003</v>
      </c>
      <c r="B623" s="11" t="s">
        <v>171</v>
      </c>
      <c r="C623" s="11" t="s">
        <v>494</v>
      </c>
      <c r="D623" s="12">
        <v>290</v>
      </c>
      <c r="E623"/>
      <c r="F623"/>
      <c r="G623"/>
      <c r="H623"/>
      <c r="I623"/>
    </row>
    <row r="624" spans="1:9" x14ac:dyDescent="0.25">
      <c r="A624" s="13">
        <v>5004</v>
      </c>
      <c r="B624" s="11" t="s">
        <v>171</v>
      </c>
      <c r="C624" s="11" t="s">
        <v>494</v>
      </c>
      <c r="D624" s="12">
        <v>310</v>
      </c>
      <c r="E624"/>
      <c r="F624"/>
      <c r="G624"/>
      <c r="H624"/>
      <c r="I624"/>
    </row>
    <row r="625" spans="1:9" x14ac:dyDescent="0.25">
      <c r="A625" s="13">
        <v>5006</v>
      </c>
      <c r="B625" s="11" t="s">
        <v>171</v>
      </c>
      <c r="C625" s="11" t="s">
        <v>494</v>
      </c>
      <c r="D625" s="12">
        <v>340</v>
      </c>
      <c r="E625"/>
      <c r="F625"/>
      <c r="G625"/>
      <c r="H625"/>
      <c r="I625"/>
    </row>
    <row r="626" spans="1:9" x14ac:dyDescent="0.25">
      <c r="A626" s="13">
        <v>5007</v>
      </c>
      <c r="B626" s="11" t="s">
        <v>171</v>
      </c>
      <c r="C626" s="11" t="s">
        <v>494</v>
      </c>
      <c r="D626" s="12">
        <v>305</v>
      </c>
      <c r="E626"/>
      <c r="F626"/>
      <c r="G626"/>
      <c r="H626"/>
      <c r="I626"/>
    </row>
    <row r="627" spans="1:9" x14ac:dyDescent="0.25">
      <c r="A627" s="13">
        <v>5010</v>
      </c>
      <c r="B627" s="11" t="s">
        <v>171</v>
      </c>
      <c r="C627" s="11" t="s">
        <v>494</v>
      </c>
      <c r="D627" s="12">
        <v>295</v>
      </c>
      <c r="E627"/>
      <c r="F627"/>
      <c r="G627"/>
      <c r="H627"/>
      <c r="I627"/>
    </row>
    <row r="628" spans="1:9" x14ac:dyDescent="0.25">
      <c r="A628" s="13">
        <v>5011</v>
      </c>
      <c r="B628" s="11" t="s">
        <v>171</v>
      </c>
      <c r="C628" s="11" t="s">
        <v>494</v>
      </c>
      <c r="D628" s="12">
        <v>255</v>
      </c>
      <c r="E628"/>
      <c r="F628"/>
      <c r="G628"/>
      <c r="H628"/>
      <c r="I628"/>
    </row>
    <row r="629" spans="1:9" x14ac:dyDescent="0.25">
      <c r="A629" s="13">
        <v>5012</v>
      </c>
      <c r="B629" s="11" t="s">
        <v>171</v>
      </c>
      <c r="C629" s="11" t="s">
        <v>494</v>
      </c>
      <c r="D629" s="12">
        <v>335</v>
      </c>
      <c r="E629"/>
      <c r="F629"/>
      <c r="G629"/>
      <c r="H629"/>
      <c r="I629"/>
    </row>
    <row r="630" spans="1:9" x14ac:dyDescent="0.25">
      <c r="A630" s="13">
        <v>5013</v>
      </c>
      <c r="B630" s="11" t="s">
        <v>171</v>
      </c>
      <c r="C630" s="11" t="s">
        <v>494</v>
      </c>
      <c r="D630" s="12">
        <v>265</v>
      </c>
      <c r="E630"/>
      <c r="F630"/>
      <c r="G630"/>
      <c r="H630"/>
      <c r="I630"/>
    </row>
    <row r="631" spans="1:9" x14ac:dyDescent="0.25">
      <c r="A631" s="13">
        <v>5014</v>
      </c>
      <c r="B631" s="11" t="s">
        <v>171</v>
      </c>
      <c r="C631" s="11" t="s">
        <v>494</v>
      </c>
      <c r="D631" s="12">
        <v>290</v>
      </c>
      <c r="E631"/>
      <c r="F631"/>
      <c r="G631"/>
      <c r="H631"/>
      <c r="I631"/>
    </row>
    <row r="632" spans="1:9" x14ac:dyDescent="0.25">
      <c r="A632" s="13">
        <v>5015</v>
      </c>
      <c r="B632" s="11" t="s">
        <v>171</v>
      </c>
      <c r="C632" s="11" t="s">
        <v>494</v>
      </c>
      <c r="D632" s="12">
        <v>335</v>
      </c>
      <c r="E632"/>
      <c r="F632"/>
      <c r="G632"/>
      <c r="H632"/>
      <c r="I632"/>
    </row>
    <row r="633" spans="1:9" x14ac:dyDescent="0.25">
      <c r="A633" s="13">
        <v>5016</v>
      </c>
      <c r="B633" s="11" t="s">
        <v>171</v>
      </c>
      <c r="C633" s="11" t="s">
        <v>494</v>
      </c>
      <c r="D633" s="12">
        <v>320</v>
      </c>
      <c r="E633"/>
      <c r="F633"/>
      <c r="G633"/>
      <c r="H633"/>
      <c r="I633"/>
    </row>
    <row r="634" spans="1:9" x14ac:dyDescent="0.25">
      <c r="A634" s="13">
        <v>5017</v>
      </c>
      <c r="B634" s="11" t="s">
        <v>171</v>
      </c>
      <c r="C634" s="11" t="s">
        <v>494</v>
      </c>
      <c r="D634" s="12">
        <v>290</v>
      </c>
      <c r="E634"/>
      <c r="F634"/>
      <c r="G634"/>
      <c r="H634"/>
      <c r="I634"/>
    </row>
    <row r="635" spans="1:9" x14ac:dyDescent="0.25">
      <c r="A635" s="13">
        <v>5018</v>
      </c>
      <c r="B635" s="11" t="s">
        <v>171</v>
      </c>
      <c r="C635" s="11" t="s">
        <v>494</v>
      </c>
      <c r="D635" s="12">
        <v>335</v>
      </c>
      <c r="E635"/>
      <c r="F635"/>
      <c r="G635"/>
      <c r="H635"/>
      <c r="I635"/>
    </row>
    <row r="636" spans="1:9" x14ac:dyDescent="0.25">
      <c r="A636" s="13">
        <v>5019</v>
      </c>
      <c r="B636" s="11" t="s">
        <v>171</v>
      </c>
      <c r="C636" s="11" t="s">
        <v>494</v>
      </c>
      <c r="D636" s="12">
        <v>290</v>
      </c>
      <c r="E636"/>
      <c r="F636"/>
      <c r="G636"/>
      <c r="H636"/>
      <c r="I636"/>
    </row>
    <row r="637" spans="1:9" x14ac:dyDescent="0.25">
      <c r="A637" s="13">
        <v>5020</v>
      </c>
      <c r="B637" s="11" t="s">
        <v>171</v>
      </c>
      <c r="C637" s="11" t="s">
        <v>494</v>
      </c>
      <c r="D637" s="12">
        <v>290</v>
      </c>
      <c r="E637"/>
      <c r="F637"/>
      <c r="G637"/>
      <c r="H637"/>
      <c r="I637"/>
    </row>
    <row r="638" spans="1:9" x14ac:dyDescent="0.25">
      <c r="A638" s="13">
        <v>5021</v>
      </c>
      <c r="B638" s="11" t="s">
        <v>171</v>
      </c>
      <c r="C638" s="11" t="s">
        <v>494</v>
      </c>
      <c r="D638" s="12">
        <v>320</v>
      </c>
      <c r="E638"/>
      <c r="F638"/>
      <c r="G638"/>
      <c r="H638"/>
      <c r="I638"/>
    </row>
    <row r="639" spans="1:9" x14ac:dyDescent="0.25">
      <c r="A639" s="13">
        <v>5022</v>
      </c>
      <c r="B639" s="11" t="s">
        <v>171</v>
      </c>
      <c r="C639" s="11" t="s">
        <v>494</v>
      </c>
      <c r="D639" s="12">
        <v>365</v>
      </c>
      <c r="E639"/>
      <c r="F639"/>
      <c r="G639"/>
      <c r="H639"/>
      <c r="I639"/>
    </row>
    <row r="640" spans="1:9" x14ac:dyDescent="0.25">
      <c r="A640" s="13">
        <v>5023</v>
      </c>
      <c r="B640" s="11" t="s">
        <v>171</v>
      </c>
      <c r="C640" s="11" t="s">
        <v>494</v>
      </c>
      <c r="D640" s="12">
        <v>290</v>
      </c>
      <c r="E640"/>
      <c r="F640"/>
      <c r="G640"/>
      <c r="H640"/>
      <c r="I640"/>
    </row>
    <row r="641" spans="1:9" x14ac:dyDescent="0.25">
      <c r="A641" s="13">
        <v>5024</v>
      </c>
      <c r="B641" s="11" t="s">
        <v>171</v>
      </c>
      <c r="C641" s="11" t="s">
        <v>494</v>
      </c>
      <c r="D641" s="12">
        <v>290</v>
      </c>
      <c r="E641"/>
      <c r="F641"/>
      <c r="G641"/>
      <c r="H641"/>
      <c r="I641"/>
    </row>
    <row r="642" spans="1:9" x14ac:dyDescent="0.25">
      <c r="A642" s="13">
        <v>5025</v>
      </c>
      <c r="B642" s="11" t="s">
        <v>171</v>
      </c>
      <c r="C642" s="11" t="s">
        <v>494</v>
      </c>
      <c r="D642" s="12">
        <v>290</v>
      </c>
      <c r="E642"/>
      <c r="F642"/>
      <c r="G642"/>
      <c r="H642"/>
      <c r="I642"/>
    </row>
    <row r="643" spans="1:9" x14ac:dyDescent="0.25">
      <c r="A643" s="13">
        <v>5026</v>
      </c>
      <c r="B643" s="11" t="s">
        <v>171</v>
      </c>
      <c r="C643" s="11" t="s">
        <v>494</v>
      </c>
      <c r="D643" s="12">
        <v>290</v>
      </c>
      <c r="E643"/>
      <c r="F643"/>
      <c r="G643"/>
      <c r="H643"/>
      <c r="I643"/>
    </row>
    <row r="644" spans="1:9" x14ac:dyDescent="0.25">
      <c r="A644" s="13">
        <v>5027</v>
      </c>
      <c r="B644" s="11" t="s">
        <v>171</v>
      </c>
      <c r="C644" s="11" t="s">
        <v>494</v>
      </c>
      <c r="D644" s="12">
        <v>290</v>
      </c>
      <c r="E644"/>
      <c r="F644"/>
      <c r="G644"/>
      <c r="H644"/>
      <c r="I644"/>
    </row>
    <row r="645" spans="1:9" x14ac:dyDescent="0.25">
      <c r="A645" s="13">
        <v>5051</v>
      </c>
      <c r="B645" s="11" t="s">
        <v>171</v>
      </c>
      <c r="C645" s="11" t="s">
        <v>494</v>
      </c>
      <c r="D645" s="12">
        <v>220</v>
      </c>
      <c r="E645"/>
      <c r="F645"/>
      <c r="G645"/>
      <c r="H645"/>
      <c r="I645"/>
    </row>
    <row r="646" spans="1:9" x14ac:dyDescent="0.25">
      <c r="A646" s="13">
        <v>5081</v>
      </c>
      <c r="B646" s="11" t="s">
        <v>171</v>
      </c>
      <c r="C646" s="11" t="s">
        <v>494</v>
      </c>
      <c r="D646" s="12">
        <v>245</v>
      </c>
      <c r="E646"/>
      <c r="F646"/>
      <c r="G646"/>
      <c r="H646"/>
      <c r="I646"/>
    </row>
    <row r="647" spans="1:9" x14ac:dyDescent="0.25">
      <c r="A647" s="13">
        <v>5082</v>
      </c>
      <c r="B647" s="11" t="s">
        <v>171</v>
      </c>
      <c r="C647" s="11" t="s">
        <v>494</v>
      </c>
      <c r="D647" s="12">
        <v>450</v>
      </c>
      <c r="E647"/>
      <c r="F647"/>
      <c r="G647"/>
      <c r="H647"/>
      <c r="I647"/>
    </row>
    <row r="648" spans="1:9" x14ac:dyDescent="0.25">
      <c r="A648" s="13">
        <v>5083</v>
      </c>
      <c r="B648" s="11" t="s">
        <v>171</v>
      </c>
      <c r="C648" s="11" t="s">
        <v>494</v>
      </c>
      <c r="D648" s="12">
        <v>325</v>
      </c>
      <c r="E648"/>
      <c r="F648"/>
      <c r="G648"/>
      <c r="H648"/>
      <c r="I648"/>
    </row>
    <row r="649" spans="1:9" x14ac:dyDescent="0.25">
      <c r="A649" s="13">
        <v>5085</v>
      </c>
      <c r="B649" s="11" t="s">
        <v>171</v>
      </c>
      <c r="C649" s="11" t="s">
        <v>494</v>
      </c>
      <c r="D649" s="12">
        <v>295</v>
      </c>
      <c r="E649"/>
      <c r="F649"/>
      <c r="G649"/>
      <c r="H649"/>
      <c r="I649"/>
    </row>
    <row r="650" spans="1:9" x14ac:dyDescent="0.25">
      <c r="A650" s="13">
        <v>5086</v>
      </c>
      <c r="B650" s="11" t="s">
        <v>171</v>
      </c>
      <c r="C650" s="11" t="s">
        <v>494</v>
      </c>
      <c r="D650" s="12">
        <v>355</v>
      </c>
      <c r="E650"/>
      <c r="F650"/>
      <c r="G650"/>
      <c r="H650"/>
      <c r="I650"/>
    </row>
    <row r="651" spans="1:9" x14ac:dyDescent="0.25">
      <c r="A651" s="13">
        <v>5087</v>
      </c>
      <c r="B651" s="11" t="s">
        <v>171</v>
      </c>
      <c r="C651" s="11" t="s">
        <v>494</v>
      </c>
      <c r="D651" s="12">
        <v>385</v>
      </c>
      <c r="E651"/>
      <c r="F651"/>
      <c r="G651"/>
      <c r="H651"/>
      <c r="I651"/>
    </row>
    <row r="652" spans="1:9" x14ac:dyDescent="0.25">
      <c r="A652" s="13">
        <v>5088</v>
      </c>
      <c r="B652" s="11" t="s">
        <v>171</v>
      </c>
      <c r="C652" s="11" t="s">
        <v>494</v>
      </c>
      <c r="D652" s="12">
        <v>345</v>
      </c>
      <c r="E652"/>
      <c r="F652"/>
      <c r="G652"/>
      <c r="H652"/>
      <c r="I652"/>
    </row>
    <row r="653" spans="1:9" x14ac:dyDescent="0.25">
      <c r="A653" s="13">
        <v>5089</v>
      </c>
      <c r="B653" s="11" t="s">
        <v>171</v>
      </c>
      <c r="C653" s="11" t="s">
        <v>494</v>
      </c>
      <c r="D653" s="12">
        <v>225</v>
      </c>
      <c r="E653"/>
      <c r="F653"/>
      <c r="G653"/>
      <c r="H653"/>
      <c r="I653"/>
    </row>
    <row r="654" spans="1:9" x14ac:dyDescent="0.25">
      <c r="A654" s="13">
        <v>5090</v>
      </c>
      <c r="B654" s="11" t="s">
        <v>171</v>
      </c>
      <c r="C654" s="11" t="s">
        <v>494</v>
      </c>
      <c r="D654" s="12">
        <v>300</v>
      </c>
      <c r="E654"/>
      <c r="F654"/>
      <c r="G654"/>
      <c r="H654"/>
      <c r="I654"/>
    </row>
    <row r="655" spans="1:9" x14ac:dyDescent="0.25">
      <c r="A655" s="13">
        <v>5091</v>
      </c>
      <c r="B655" s="11" t="s">
        <v>171</v>
      </c>
      <c r="C655" s="11" t="s">
        <v>494</v>
      </c>
      <c r="D655" s="12">
        <v>335</v>
      </c>
      <c r="E655"/>
      <c r="F655"/>
      <c r="G655"/>
      <c r="H655"/>
      <c r="I655"/>
    </row>
    <row r="656" spans="1:9" x14ac:dyDescent="0.25">
      <c r="A656" s="13">
        <v>5092</v>
      </c>
      <c r="B656" s="11" t="s">
        <v>171</v>
      </c>
      <c r="C656" s="11" t="s">
        <v>494</v>
      </c>
      <c r="D656" s="12">
        <v>340</v>
      </c>
      <c r="E656"/>
      <c r="F656"/>
      <c r="G656"/>
      <c r="H656"/>
      <c r="I656"/>
    </row>
    <row r="657" spans="1:9" x14ac:dyDescent="0.25">
      <c r="A657" s="13">
        <v>5093</v>
      </c>
      <c r="B657" s="11" t="s">
        <v>171</v>
      </c>
      <c r="C657" s="11" t="s">
        <v>494</v>
      </c>
      <c r="D657" s="12">
        <v>270</v>
      </c>
      <c r="E657"/>
      <c r="F657"/>
      <c r="G657"/>
      <c r="H657"/>
      <c r="I657"/>
    </row>
    <row r="658" spans="1:9" x14ac:dyDescent="0.25">
      <c r="A658" s="13">
        <v>5094</v>
      </c>
      <c r="B658" s="11" t="s">
        <v>171</v>
      </c>
      <c r="C658" s="11" t="s">
        <v>494</v>
      </c>
      <c r="D658" s="12">
        <v>410</v>
      </c>
      <c r="E658"/>
      <c r="F658"/>
      <c r="G658"/>
      <c r="H658"/>
      <c r="I658"/>
    </row>
    <row r="659" spans="1:9" x14ac:dyDescent="0.25">
      <c r="A659" s="13">
        <v>5101</v>
      </c>
      <c r="B659" s="11" t="s">
        <v>171</v>
      </c>
      <c r="C659" s="11" t="s">
        <v>494</v>
      </c>
      <c r="D659" s="12">
        <v>290</v>
      </c>
      <c r="E659"/>
      <c r="F659"/>
      <c r="G659"/>
      <c r="H659"/>
      <c r="I659"/>
    </row>
    <row r="660" spans="1:9" x14ac:dyDescent="0.25">
      <c r="A660" s="13">
        <v>5102</v>
      </c>
      <c r="B660" s="11" t="s">
        <v>171</v>
      </c>
      <c r="C660" s="11" t="s">
        <v>494</v>
      </c>
      <c r="D660" s="12">
        <v>290</v>
      </c>
      <c r="E660"/>
      <c r="F660"/>
      <c r="G660"/>
      <c r="H660"/>
      <c r="I660"/>
    </row>
    <row r="661" spans="1:9" x14ac:dyDescent="0.25">
      <c r="A661" s="13">
        <v>5103</v>
      </c>
      <c r="B661" s="11" t="s">
        <v>171</v>
      </c>
      <c r="C661" s="11" t="s">
        <v>494</v>
      </c>
      <c r="D661" s="12">
        <v>290</v>
      </c>
      <c r="E661"/>
      <c r="F661"/>
      <c r="G661"/>
      <c r="H661"/>
      <c r="I661"/>
    </row>
    <row r="662" spans="1:9" x14ac:dyDescent="0.25">
      <c r="A662" s="13">
        <v>5221</v>
      </c>
      <c r="B662" s="11" t="s">
        <v>171</v>
      </c>
      <c r="C662" s="11" t="s">
        <v>494</v>
      </c>
      <c r="D662" s="12">
        <v>460</v>
      </c>
      <c r="E662"/>
      <c r="F662"/>
      <c r="G662"/>
      <c r="H662"/>
      <c r="I662"/>
    </row>
    <row r="663" spans="1:9" x14ac:dyDescent="0.25">
      <c r="A663" s="13">
        <v>5222</v>
      </c>
      <c r="B663" s="11" t="s">
        <v>171</v>
      </c>
      <c r="C663" s="11" t="s">
        <v>494</v>
      </c>
      <c r="D663" s="12">
        <v>305</v>
      </c>
      <c r="E663"/>
      <c r="F663"/>
      <c r="G663"/>
      <c r="H663"/>
      <c r="I663"/>
    </row>
    <row r="664" spans="1:9" x14ac:dyDescent="0.25">
      <c r="A664" s="13">
        <v>5223</v>
      </c>
      <c r="B664" s="11" t="s">
        <v>171</v>
      </c>
      <c r="C664" s="11" t="s">
        <v>494</v>
      </c>
      <c r="D664" s="12">
        <v>370</v>
      </c>
      <c r="E664"/>
      <c r="F664"/>
      <c r="G664"/>
      <c r="H664"/>
      <c r="I664"/>
    </row>
    <row r="665" spans="1:9" x14ac:dyDescent="0.25">
      <c r="A665" s="13">
        <v>5224</v>
      </c>
      <c r="B665" s="11" t="s">
        <v>171</v>
      </c>
      <c r="C665" s="11" t="s">
        <v>494</v>
      </c>
      <c r="D665" s="12">
        <v>270</v>
      </c>
      <c r="E665"/>
      <c r="F665"/>
      <c r="G665"/>
      <c r="H665"/>
      <c r="I665"/>
    </row>
    <row r="666" spans="1:9" x14ac:dyDescent="0.25">
      <c r="A666" s="13">
        <v>5225</v>
      </c>
      <c r="B666" s="11" t="s">
        <v>171</v>
      </c>
      <c r="C666" s="11" t="s">
        <v>494</v>
      </c>
      <c r="D666" s="12">
        <v>305</v>
      </c>
      <c r="E666"/>
      <c r="F666"/>
      <c r="G666"/>
      <c r="H666"/>
      <c r="I666"/>
    </row>
    <row r="667" spans="1:9" x14ac:dyDescent="0.25">
      <c r="A667" s="13">
        <v>5226</v>
      </c>
      <c r="B667" s="11" t="s">
        <v>171</v>
      </c>
      <c r="C667" s="11" t="s">
        <v>494</v>
      </c>
      <c r="D667" s="12">
        <v>470</v>
      </c>
      <c r="E667"/>
      <c r="F667"/>
      <c r="G667"/>
      <c r="H667"/>
      <c r="I667"/>
    </row>
    <row r="668" spans="1:9" x14ac:dyDescent="0.25">
      <c r="A668" s="13">
        <v>5227</v>
      </c>
      <c r="B668" s="11" t="s">
        <v>171</v>
      </c>
      <c r="C668" s="11" t="s">
        <v>494</v>
      </c>
      <c r="D668" s="12">
        <v>440</v>
      </c>
      <c r="E668"/>
      <c r="F668"/>
      <c r="G668"/>
      <c r="H668"/>
      <c r="I668"/>
    </row>
    <row r="669" spans="1:9" x14ac:dyDescent="0.25">
      <c r="A669" s="13">
        <v>5228</v>
      </c>
      <c r="B669" s="11" t="s">
        <v>171</v>
      </c>
      <c r="C669" s="11" t="s">
        <v>494</v>
      </c>
      <c r="D669" s="12">
        <v>495</v>
      </c>
      <c r="E669"/>
      <c r="F669"/>
      <c r="G669"/>
      <c r="H669"/>
      <c r="I669"/>
    </row>
    <row r="670" spans="1:9" x14ac:dyDescent="0.25">
      <c r="A670" s="13">
        <v>5229</v>
      </c>
      <c r="B670" s="11" t="s">
        <v>171</v>
      </c>
      <c r="C670" s="11" t="s">
        <v>494</v>
      </c>
      <c r="D670" s="12">
        <v>495</v>
      </c>
      <c r="E670"/>
      <c r="F670"/>
      <c r="G670"/>
      <c r="H670"/>
      <c r="I670"/>
    </row>
    <row r="671" spans="1:9" x14ac:dyDescent="0.25">
      <c r="A671" s="13">
        <v>5230</v>
      </c>
      <c r="B671" s="11" t="s">
        <v>171</v>
      </c>
      <c r="C671" s="11" t="s">
        <v>494</v>
      </c>
      <c r="D671" s="12">
        <v>470</v>
      </c>
      <c r="E671"/>
      <c r="F671"/>
      <c r="G671"/>
      <c r="H671"/>
      <c r="I671"/>
    </row>
    <row r="672" spans="1:9" x14ac:dyDescent="0.25">
      <c r="A672" s="13">
        <v>5231</v>
      </c>
      <c r="B672" s="11" t="s">
        <v>171</v>
      </c>
      <c r="C672" s="11" t="s">
        <v>494</v>
      </c>
      <c r="D672" s="12">
        <v>485</v>
      </c>
      <c r="E672"/>
      <c r="F672"/>
      <c r="G672"/>
      <c r="H672"/>
      <c r="I672"/>
    </row>
    <row r="673" spans="1:9" x14ac:dyDescent="0.25">
      <c r="A673" s="13">
        <v>5232</v>
      </c>
      <c r="B673" s="11" t="s">
        <v>171</v>
      </c>
      <c r="C673" s="11" t="s">
        <v>494</v>
      </c>
      <c r="D673" s="12">
        <v>625</v>
      </c>
      <c r="E673"/>
      <c r="F673"/>
      <c r="G673"/>
      <c r="H673"/>
      <c r="I673"/>
    </row>
    <row r="674" spans="1:9" x14ac:dyDescent="0.25">
      <c r="A674" s="13">
        <v>5233</v>
      </c>
      <c r="B674" s="11" t="s">
        <v>171</v>
      </c>
      <c r="C674" s="11" t="s">
        <v>494</v>
      </c>
      <c r="D674" s="12">
        <v>675</v>
      </c>
      <c r="E674"/>
      <c r="F674"/>
      <c r="G674"/>
      <c r="H674"/>
      <c r="I674"/>
    </row>
    <row r="675" spans="1:9" x14ac:dyDescent="0.25">
      <c r="A675" s="13">
        <v>5234</v>
      </c>
      <c r="B675" s="11" t="s">
        <v>171</v>
      </c>
      <c r="C675" s="11" t="s">
        <v>494</v>
      </c>
      <c r="D675" s="12">
        <v>660</v>
      </c>
      <c r="E675"/>
      <c r="F675"/>
      <c r="G675"/>
      <c r="H675"/>
      <c r="I675"/>
    </row>
    <row r="676" spans="1:9" x14ac:dyDescent="0.25">
      <c r="A676" s="13">
        <v>5235</v>
      </c>
      <c r="B676" s="11" t="s">
        <v>171</v>
      </c>
      <c r="C676" s="11" t="s">
        <v>494</v>
      </c>
      <c r="D676" s="12">
        <v>150</v>
      </c>
      <c r="E676"/>
      <c r="F676"/>
      <c r="G676"/>
      <c r="H676"/>
      <c r="I676"/>
    </row>
    <row r="677" spans="1:9" x14ac:dyDescent="0.25">
      <c r="A677" s="13">
        <v>5236</v>
      </c>
      <c r="B677" s="11" t="s">
        <v>171</v>
      </c>
      <c r="C677" s="11" t="s">
        <v>494</v>
      </c>
      <c r="D677" s="12">
        <v>230</v>
      </c>
      <c r="E677"/>
      <c r="F677"/>
      <c r="G677"/>
      <c r="H677"/>
      <c r="I677"/>
    </row>
    <row r="678" spans="1:9" x14ac:dyDescent="0.25">
      <c r="A678" s="13">
        <v>5237</v>
      </c>
      <c r="B678" s="11" t="s">
        <v>171</v>
      </c>
      <c r="C678" s="11" t="s">
        <v>494</v>
      </c>
      <c r="D678" s="12">
        <v>245</v>
      </c>
      <c r="E678"/>
      <c r="F678"/>
      <c r="G678"/>
      <c r="H678"/>
      <c r="I678"/>
    </row>
    <row r="679" spans="1:9" x14ac:dyDescent="0.25">
      <c r="A679" s="13">
        <v>5238</v>
      </c>
      <c r="B679" s="11" t="s">
        <v>171</v>
      </c>
      <c r="C679" s="11" t="s">
        <v>494</v>
      </c>
      <c r="D679" s="12">
        <v>200</v>
      </c>
      <c r="E679"/>
      <c r="F679"/>
      <c r="G679"/>
      <c r="H679"/>
      <c r="I679"/>
    </row>
    <row r="680" spans="1:9" x14ac:dyDescent="0.25">
      <c r="A680" s="13">
        <v>5239</v>
      </c>
      <c r="B680" s="11" t="s">
        <v>171</v>
      </c>
      <c r="C680" s="11" t="s">
        <v>494</v>
      </c>
      <c r="D680" s="12">
        <v>230</v>
      </c>
      <c r="E680"/>
      <c r="F680"/>
      <c r="G680"/>
      <c r="H680"/>
      <c r="I680"/>
    </row>
    <row r="681" spans="1:9" x14ac:dyDescent="0.25">
      <c r="A681" s="13">
        <v>5241</v>
      </c>
      <c r="B681" s="11" t="s">
        <v>171</v>
      </c>
      <c r="C681" s="11" t="s">
        <v>494</v>
      </c>
      <c r="D681" s="12">
        <v>415</v>
      </c>
      <c r="E681"/>
      <c r="F681"/>
      <c r="G681"/>
      <c r="H681"/>
      <c r="I681"/>
    </row>
    <row r="682" spans="1:9" x14ac:dyDescent="0.25">
      <c r="A682" s="13">
        <v>5242</v>
      </c>
      <c r="B682" s="11" t="s">
        <v>171</v>
      </c>
      <c r="C682" s="11" t="s">
        <v>494</v>
      </c>
      <c r="D682" s="12">
        <v>415</v>
      </c>
      <c r="E682"/>
      <c r="F682"/>
      <c r="G682"/>
      <c r="H682"/>
      <c r="I682"/>
    </row>
    <row r="683" spans="1:9" x14ac:dyDescent="0.25">
      <c r="A683" s="13">
        <v>5243</v>
      </c>
      <c r="B683" s="11" t="s">
        <v>171</v>
      </c>
      <c r="C683" s="11" t="s">
        <v>494</v>
      </c>
      <c r="D683" s="12">
        <v>415</v>
      </c>
      <c r="E683"/>
      <c r="F683"/>
      <c r="G683"/>
      <c r="H683"/>
      <c r="I683"/>
    </row>
    <row r="684" spans="1:9" x14ac:dyDescent="0.25">
      <c r="A684" s="13">
        <v>5244</v>
      </c>
      <c r="B684" s="11" t="s">
        <v>171</v>
      </c>
      <c r="C684" s="11" t="s">
        <v>494</v>
      </c>
      <c r="D684" s="12">
        <v>530</v>
      </c>
      <c r="E684"/>
      <c r="F684"/>
      <c r="G684"/>
      <c r="H684"/>
      <c r="I684"/>
    </row>
    <row r="685" spans="1:9" x14ac:dyDescent="0.25">
      <c r="A685" s="13">
        <v>5302</v>
      </c>
      <c r="B685" s="11" t="s">
        <v>171</v>
      </c>
      <c r="C685" s="11" t="s">
        <v>494</v>
      </c>
      <c r="D685" s="12">
        <v>225</v>
      </c>
      <c r="E685"/>
      <c r="F685"/>
      <c r="G685"/>
      <c r="H685"/>
      <c r="I685"/>
    </row>
    <row r="686" spans="1:9" x14ac:dyDescent="0.25">
      <c r="A686" s="13">
        <v>5303</v>
      </c>
      <c r="B686" s="11" t="s">
        <v>171</v>
      </c>
      <c r="C686" s="11" t="s">
        <v>494</v>
      </c>
      <c r="D686" s="12">
        <v>245</v>
      </c>
      <c r="E686"/>
      <c r="F686"/>
      <c r="G686"/>
      <c r="H686"/>
      <c r="I686"/>
    </row>
    <row r="687" spans="1:9" x14ac:dyDescent="0.25">
      <c r="A687" s="13">
        <v>5541</v>
      </c>
      <c r="B687" s="11" t="s">
        <v>171</v>
      </c>
      <c r="C687" s="11" t="s">
        <v>494</v>
      </c>
      <c r="D687" s="12">
        <v>240</v>
      </c>
      <c r="E687"/>
      <c r="F687"/>
      <c r="G687"/>
      <c r="H687"/>
      <c r="I687"/>
    </row>
    <row r="688" spans="1:9" x14ac:dyDescent="0.25">
      <c r="A688" s="13">
        <v>5581</v>
      </c>
      <c r="B688" s="11" t="s">
        <v>171</v>
      </c>
      <c r="C688" s="11" t="s">
        <v>494</v>
      </c>
      <c r="D688" s="12">
        <v>570</v>
      </c>
      <c r="E688"/>
      <c r="F688"/>
      <c r="G688"/>
      <c r="H688"/>
      <c r="I688"/>
    </row>
    <row r="689" spans="1:9" x14ac:dyDescent="0.25">
      <c r="A689" s="13">
        <v>5582</v>
      </c>
      <c r="B689" s="11" t="s">
        <v>171</v>
      </c>
      <c r="C689" s="11" t="s">
        <v>494</v>
      </c>
      <c r="D689" s="12">
        <v>610</v>
      </c>
      <c r="E689"/>
      <c r="F689"/>
      <c r="G689"/>
      <c r="H689"/>
      <c r="I689"/>
    </row>
    <row r="690" spans="1:9" x14ac:dyDescent="0.25">
      <c r="A690" s="13">
        <v>5583</v>
      </c>
      <c r="B690" s="11" t="s">
        <v>171</v>
      </c>
      <c r="C690" s="11" t="s">
        <v>494</v>
      </c>
      <c r="D690" s="12">
        <v>550</v>
      </c>
      <c r="E690"/>
      <c r="F690"/>
      <c r="G690"/>
      <c r="H690"/>
      <c r="I690"/>
    </row>
    <row r="691" spans="1:9" x14ac:dyDescent="0.25">
      <c r="A691" s="13">
        <v>5584</v>
      </c>
      <c r="B691" s="11" t="s">
        <v>171</v>
      </c>
      <c r="C691" s="11" t="s">
        <v>494</v>
      </c>
      <c r="D691" s="12">
        <v>435</v>
      </c>
      <c r="E691"/>
      <c r="F691"/>
      <c r="G691"/>
      <c r="H691"/>
      <c r="I691"/>
    </row>
    <row r="692" spans="1:9" x14ac:dyDescent="0.25">
      <c r="A692" s="13">
        <v>5585</v>
      </c>
      <c r="B692" s="11" t="s">
        <v>171</v>
      </c>
      <c r="C692" s="11" t="s">
        <v>494</v>
      </c>
      <c r="D692" s="12">
        <v>435</v>
      </c>
      <c r="E692"/>
      <c r="F692"/>
      <c r="G692"/>
      <c r="H692"/>
      <c r="I692"/>
    </row>
    <row r="693" spans="1:9" x14ac:dyDescent="0.25">
      <c r="A693" s="13">
        <v>5586</v>
      </c>
      <c r="B693" s="11" t="s">
        <v>171</v>
      </c>
      <c r="C693" s="11" t="s">
        <v>494</v>
      </c>
      <c r="D693" s="12">
        <v>460</v>
      </c>
      <c r="E693"/>
      <c r="F693"/>
      <c r="G693"/>
      <c r="H693"/>
      <c r="I693"/>
    </row>
    <row r="694" spans="1:9" x14ac:dyDescent="0.25">
      <c r="A694" s="13">
        <v>5587</v>
      </c>
      <c r="B694" s="11" t="s">
        <v>171</v>
      </c>
      <c r="C694" s="11" t="s">
        <v>494</v>
      </c>
      <c r="D694" s="12">
        <v>485</v>
      </c>
      <c r="E694"/>
      <c r="F694"/>
      <c r="G694"/>
      <c r="H694"/>
      <c r="I694"/>
    </row>
    <row r="695" spans="1:9" x14ac:dyDescent="0.25">
      <c r="A695" s="13">
        <v>5588</v>
      </c>
      <c r="B695" s="11" t="s">
        <v>171</v>
      </c>
      <c r="C695" s="11" t="s">
        <v>494</v>
      </c>
      <c r="D695" s="12">
        <v>455</v>
      </c>
      <c r="E695"/>
      <c r="F695"/>
      <c r="G695"/>
      <c r="H695"/>
      <c r="I695"/>
    </row>
    <row r="696" spans="1:9" x14ac:dyDescent="0.25">
      <c r="A696" s="13">
        <v>5589</v>
      </c>
      <c r="B696" s="11" t="s">
        <v>171</v>
      </c>
      <c r="C696" s="11" t="s">
        <v>494</v>
      </c>
      <c r="D696" s="12">
        <v>195</v>
      </c>
      <c r="E696"/>
      <c r="F696"/>
      <c r="G696"/>
      <c r="H696"/>
      <c r="I696"/>
    </row>
    <row r="697" spans="1:9" x14ac:dyDescent="0.25">
      <c r="A697" s="13">
        <v>5771</v>
      </c>
      <c r="B697" s="11" t="s">
        <v>171</v>
      </c>
      <c r="C697" s="11" t="s">
        <v>494</v>
      </c>
      <c r="D697" s="12">
        <v>620</v>
      </c>
      <c r="E697"/>
      <c r="F697"/>
      <c r="G697"/>
      <c r="H697"/>
      <c r="I697"/>
    </row>
    <row r="698" spans="1:9" x14ac:dyDescent="0.25">
      <c r="A698" s="13">
        <v>5772</v>
      </c>
      <c r="B698" s="11" t="s">
        <v>171</v>
      </c>
      <c r="C698" s="11" t="s">
        <v>494</v>
      </c>
      <c r="D698" s="12">
        <v>620</v>
      </c>
      <c r="E698"/>
      <c r="F698"/>
      <c r="G698"/>
      <c r="H698"/>
      <c r="I698"/>
    </row>
    <row r="699" spans="1:9" x14ac:dyDescent="0.25">
      <c r="A699" s="13">
        <v>5773</v>
      </c>
      <c r="B699" s="11" t="s">
        <v>171</v>
      </c>
      <c r="C699" s="11" t="s">
        <v>494</v>
      </c>
      <c r="D699" s="12">
        <v>645</v>
      </c>
      <c r="E699"/>
      <c r="F699"/>
      <c r="G699"/>
      <c r="H699"/>
      <c r="I699"/>
    </row>
    <row r="700" spans="1:9" x14ac:dyDescent="0.25">
      <c r="A700" s="13">
        <v>5774</v>
      </c>
      <c r="B700" s="11" t="s">
        <v>171</v>
      </c>
      <c r="C700" s="11" t="s">
        <v>494</v>
      </c>
      <c r="D700" s="12">
        <v>545</v>
      </c>
      <c r="E700"/>
      <c r="F700"/>
      <c r="G700"/>
      <c r="H700"/>
      <c r="I700"/>
    </row>
    <row r="701" spans="1:9" x14ac:dyDescent="0.25">
      <c r="A701" s="13">
        <v>5783</v>
      </c>
      <c r="B701" s="11" t="s">
        <v>171</v>
      </c>
      <c r="C701" s="11" t="s">
        <v>497</v>
      </c>
      <c r="D701" s="12">
        <v>590</v>
      </c>
      <c r="E701"/>
      <c r="F701"/>
      <c r="G701"/>
      <c r="H701"/>
      <c r="I701"/>
    </row>
    <row r="702" spans="1:9" x14ac:dyDescent="0.25">
      <c r="A702" s="13">
        <v>5784</v>
      </c>
      <c r="B702" s="11" t="s">
        <v>171</v>
      </c>
      <c r="C702" s="11" t="s">
        <v>497</v>
      </c>
      <c r="D702" s="12">
        <v>635</v>
      </c>
      <c r="E702"/>
      <c r="F702"/>
      <c r="G702"/>
      <c r="H702"/>
      <c r="I702"/>
    </row>
    <row r="703" spans="1:9" x14ac:dyDescent="0.25">
      <c r="A703" s="13">
        <v>5785</v>
      </c>
      <c r="B703" s="11" t="s">
        <v>171</v>
      </c>
      <c r="C703" s="11" t="s">
        <v>497</v>
      </c>
      <c r="D703" s="12">
        <v>710</v>
      </c>
      <c r="E703"/>
      <c r="F703"/>
      <c r="G703"/>
      <c r="H703"/>
      <c r="I703"/>
    </row>
    <row r="704" spans="1:9" x14ac:dyDescent="0.25">
      <c r="A704" s="13">
        <v>5786</v>
      </c>
      <c r="B704" s="11" t="s">
        <v>171</v>
      </c>
      <c r="C704" s="11" t="s">
        <v>497</v>
      </c>
      <c r="D704" s="12">
        <v>920</v>
      </c>
      <c r="E704"/>
      <c r="F704"/>
      <c r="G704"/>
      <c r="H704"/>
      <c r="I704"/>
    </row>
    <row r="705" spans="1:9" x14ac:dyDescent="0.25">
      <c r="A705" s="13">
        <v>5788</v>
      </c>
      <c r="B705" s="11" t="s">
        <v>171</v>
      </c>
      <c r="C705" s="11" t="s">
        <v>497</v>
      </c>
      <c r="D705" s="12">
        <v>635</v>
      </c>
      <c r="E705"/>
      <c r="F705"/>
      <c r="G705"/>
      <c r="H705"/>
      <c r="I705"/>
    </row>
    <row r="706" spans="1:9" x14ac:dyDescent="0.25">
      <c r="A706" s="13">
        <v>5789</v>
      </c>
      <c r="B706" s="11" t="s">
        <v>171</v>
      </c>
      <c r="C706" s="11" t="s">
        <v>497</v>
      </c>
      <c r="D706" s="12">
        <v>1095</v>
      </c>
      <c r="E706"/>
      <c r="F706"/>
      <c r="G706"/>
      <c r="H706"/>
      <c r="I706"/>
    </row>
    <row r="707" spans="1:9" x14ac:dyDescent="0.25">
      <c r="A707" s="13">
        <v>5821</v>
      </c>
      <c r="B707" s="11" t="s">
        <v>171</v>
      </c>
      <c r="C707" s="11" t="s">
        <v>494</v>
      </c>
      <c r="D707" s="12">
        <v>275</v>
      </c>
      <c r="E707"/>
      <c r="F707"/>
      <c r="G707"/>
      <c r="H707"/>
      <c r="I707"/>
    </row>
    <row r="708" spans="1:9" x14ac:dyDescent="0.25">
      <c r="A708" s="13">
        <v>5822</v>
      </c>
      <c r="B708" s="11" t="s">
        <v>171</v>
      </c>
      <c r="C708" s="11" t="s">
        <v>494</v>
      </c>
      <c r="D708" s="12">
        <v>335</v>
      </c>
      <c r="E708"/>
      <c r="F708"/>
      <c r="G708"/>
      <c r="H708"/>
      <c r="I708"/>
    </row>
    <row r="709" spans="1:9" x14ac:dyDescent="0.25">
      <c r="A709" s="13">
        <v>5823</v>
      </c>
      <c r="B709" s="11" t="s">
        <v>171</v>
      </c>
      <c r="C709" s="11" t="s">
        <v>494</v>
      </c>
      <c r="D709" s="12">
        <v>315</v>
      </c>
      <c r="E709"/>
      <c r="F709"/>
      <c r="G709"/>
      <c r="H709"/>
      <c r="I709"/>
    </row>
    <row r="710" spans="1:9" x14ac:dyDescent="0.25">
      <c r="A710" s="13">
        <v>8451</v>
      </c>
      <c r="B710" s="11" t="s">
        <v>171</v>
      </c>
      <c r="C710" s="11" t="s">
        <v>497</v>
      </c>
      <c r="D710" s="12">
        <v>840</v>
      </c>
      <c r="E710"/>
      <c r="F710"/>
      <c r="G710"/>
      <c r="H710"/>
      <c r="I710"/>
    </row>
    <row r="711" spans="1:9" x14ac:dyDescent="0.25">
      <c r="A711" s="13">
        <v>8511</v>
      </c>
      <c r="B711" s="11" t="s">
        <v>171</v>
      </c>
      <c r="C711" s="11" t="s">
        <v>497</v>
      </c>
      <c r="D711" s="12">
        <v>795</v>
      </c>
      <c r="E711"/>
      <c r="F711"/>
      <c r="G711"/>
      <c r="H711"/>
      <c r="I711"/>
    </row>
    <row r="712" spans="1:9" x14ac:dyDescent="0.25">
      <c r="A712" s="13">
        <v>8512</v>
      </c>
      <c r="B712" s="11" t="s">
        <v>171</v>
      </c>
      <c r="C712" s="11" t="s">
        <v>497</v>
      </c>
      <c r="D712" s="12">
        <v>470</v>
      </c>
      <c r="E712"/>
      <c r="F712"/>
      <c r="G712"/>
      <c r="H712"/>
      <c r="I712"/>
    </row>
    <row r="713" spans="1:9" x14ac:dyDescent="0.25">
      <c r="A713" s="13">
        <v>8514</v>
      </c>
      <c r="B713" s="11" t="s">
        <v>171</v>
      </c>
      <c r="C713" s="11" t="s">
        <v>497</v>
      </c>
      <c r="D713" s="12">
        <v>1725</v>
      </c>
      <c r="E713"/>
      <c r="F713"/>
      <c r="G713"/>
      <c r="H713"/>
      <c r="I713"/>
    </row>
    <row r="714" spans="1:9" x14ac:dyDescent="0.25">
      <c r="A714" s="13">
        <v>8515</v>
      </c>
      <c r="B714" s="11" t="s">
        <v>171</v>
      </c>
      <c r="C714" s="11" t="s">
        <v>494</v>
      </c>
      <c r="D714" s="12">
        <v>455</v>
      </c>
      <c r="E714"/>
      <c r="F714"/>
      <c r="G714"/>
      <c r="H714"/>
      <c r="I714"/>
    </row>
    <row r="715" spans="1:9" x14ac:dyDescent="0.25">
      <c r="A715" s="13">
        <v>8516</v>
      </c>
      <c r="B715" s="11" t="s">
        <v>171</v>
      </c>
      <c r="C715" s="11" t="s">
        <v>497</v>
      </c>
      <c r="D715" s="12">
        <v>1410</v>
      </c>
      <c r="E715"/>
      <c r="F715"/>
      <c r="G715"/>
      <c r="H715"/>
      <c r="I715"/>
    </row>
    <row r="716" spans="1:9" x14ac:dyDescent="0.25">
      <c r="A716" s="13">
        <v>8517</v>
      </c>
      <c r="B716" s="11" t="s">
        <v>171</v>
      </c>
      <c r="C716" s="11" t="s">
        <v>497</v>
      </c>
      <c r="D716" s="12">
        <v>315</v>
      </c>
      <c r="E716"/>
      <c r="F716"/>
      <c r="G716"/>
      <c r="H716"/>
      <c r="I716"/>
    </row>
    <row r="717" spans="1:9" x14ac:dyDescent="0.25">
      <c r="A717" s="13">
        <v>8518</v>
      </c>
      <c r="B717" s="11" t="s">
        <v>171</v>
      </c>
      <c r="C717" s="11" t="s">
        <v>497</v>
      </c>
      <c r="D717" s="12">
        <v>1445</v>
      </c>
      <c r="E717"/>
      <c r="F717"/>
      <c r="G717"/>
      <c r="H717"/>
      <c r="I717"/>
    </row>
    <row r="718" spans="1:9" x14ac:dyDescent="0.25">
      <c r="A718" s="13">
        <v>8571</v>
      </c>
      <c r="B718" s="11" t="s">
        <v>171</v>
      </c>
      <c r="C718" s="11" t="s">
        <v>497</v>
      </c>
      <c r="D718" s="12">
        <v>1230</v>
      </c>
      <c r="E718"/>
      <c r="F718"/>
      <c r="G718"/>
      <c r="H718"/>
      <c r="I718"/>
    </row>
    <row r="719" spans="1:9" x14ac:dyDescent="0.25">
      <c r="A719" s="13">
        <v>8681</v>
      </c>
      <c r="B719" s="11" t="s">
        <v>171</v>
      </c>
      <c r="C719" s="11" t="s">
        <v>497</v>
      </c>
      <c r="D719" s="12">
        <v>530</v>
      </c>
      <c r="E719"/>
      <c r="F719"/>
      <c r="G719"/>
      <c r="H719"/>
      <c r="I719"/>
    </row>
    <row r="720" spans="1:9" x14ac:dyDescent="0.25">
      <c r="A720" s="13">
        <v>8682</v>
      </c>
      <c r="B720" s="11" t="s">
        <v>171</v>
      </c>
      <c r="C720" s="11" t="s">
        <v>494</v>
      </c>
      <c r="D720" s="12">
        <v>750</v>
      </c>
      <c r="E720"/>
      <c r="F720"/>
      <c r="G720"/>
      <c r="H720"/>
      <c r="I720"/>
    </row>
    <row r="721" spans="1:9" x14ac:dyDescent="0.25">
      <c r="A721" s="13">
        <v>8683</v>
      </c>
      <c r="B721" s="11" t="s">
        <v>171</v>
      </c>
      <c r="C721" s="11" t="s">
        <v>494</v>
      </c>
      <c r="D721" s="12">
        <v>635</v>
      </c>
      <c r="E721"/>
      <c r="F721"/>
      <c r="G721"/>
      <c r="H721"/>
      <c r="I721"/>
    </row>
    <row r="722" spans="1:9" x14ac:dyDescent="0.25">
      <c r="A722" s="13">
        <v>8684</v>
      </c>
      <c r="B722" s="11" t="s">
        <v>171</v>
      </c>
      <c r="C722" s="11" t="s">
        <v>494</v>
      </c>
      <c r="D722" s="12">
        <v>635</v>
      </c>
      <c r="E722"/>
      <c r="F722"/>
      <c r="G722"/>
      <c r="H722"/>
      <c r="I722"/>
    </row>
    <row r="723" spans="1:9" x14ac:dyDescent="0.25">
      <c r="A723" s="13" t="s">
        <v>410</v>
      </c>
      <c r="B723" s="11" t="s">
        <v>171</v>
      </c>
      <c r="C723" s="11" t="s">
        <v>496</v>
      </c>
      <c r="D723" s="12">
        <v>225</v>
      </c>
      <c r="E723"/>
      <c r="F723"/>
      <c r="G723"/>
      <c r="H723"/>
      <c r="I723"/>
    </row>
    <row r="724" spans="1:9" x14ac:dyDescent="0.25">
      <c r="A724" s="13" t="s">
        <v>411</v>
      </c>
      <c r="B724" s="11" t="s">
        <v>171</v>
      </c>
      <c r="C724" s="11" t="s">
        <v>496</v>
      </c>
      <c r="D724" s="12">
        <v>245</v>
      </c>
      <c r="E724"/>
      <c r="F724"/>
      <c r="G724"/>
      <c r="H724"/>
      <c r="I724"/>
    </row>
    <row r="725" spans="1:9" x14ac:dyDescent="0.25">
      <c r="A725" s="13" t="s">
        <v>258</v>
      </c>
      <c r="B725" s="11" t="s">
        <v>171</v>
      </c>
      <c r="C725" s="11" t="s">
        <v>496</v>
      </c>
      <c r="D725" s="12">
        <v>200</v>
      </c>
      <c r="E725"/>
      <c r="F725"/>
      <c r="G725"/>
      <c r="H725"/>
      <c r="I725"/>
    </row>
    <row r="726" spans="1:9" x14ac:dyDescent="0.25">
      <c r="A726" s="13" t="s">
        <v>85</v>
      </c>
      <c r="B726" s="11" t="s">
        <v>171</v>
      </c>
      <c r="C726" s="11" t="s">
        <v>496</v>
      </c>
      <c r="D726" s="12">
        <v>340</v>
      </c>
      <c r="E726"/>
      <c r="F726"/>
      <c r="G726"/>
      <c r="H726"/>
      <c r="I726"/>
    </row>
    <row r="727" spans="1:9" x14ac:dyDescent="0.25">
      <c r="A727" s="13" t="s">
        <v>86</v>
      </c>
      <c r="B727" s="11" t="s">
        <v>171</v>
      </c>
      <c r="C727" s="11" t="s">
        <v>496</v>
      </c>
      <c r="D727" s="12">
        <v>340</v>
      </c>
      <c r="E727"/>
      <c r="F727"/>
      <c r="G727"/>
      <c r="H727"/>
      <c r="I727"/>
    </row>
    <row r="728" spans="1:9" x14ac:dyDescent="0.25">
      <c r="A728" s="13" t="s">
        <v>412</v>
      </c>
      <c r="B728" s="11" t="s">
        <v>171</v>
      </c>
      <c r="C728" s="11" t="s">
        <v>496</v>
      </c>
      <c r="D728" s="12">
        <v>340</v>
      </c>
      <c r="E728"/>
      <c r="F728"/>
      <c r="G728"/>
      <c r="H728"/>
      <c r="I728"/>
    </row>
    <row r="729" spans="1:9" x14ac:dyDescent="0.25">
      <c r="A729" s="13" t="s">
        <v>141</v>
      </c>
      <c r="B729" s="11" t="s">
        <v>171</v>
      </c>
      <c r="C729" s="11" t="s">
        <v>496</v>
      </c>
      <c r="D729" s="12">
        <v>355</v>
      </c>
      <c r="E729"/>
      <c r="F729"/>
      <c r="G729"/>
      <c r="H729"/>
      <c r="I729"/>
    </row>
    <row r="730" spans="1:9" x14ac:dyDescent="0.25">
      <c r="A730" s="13" t="s">
        <v>354</v>
      </c>
      <c r="B730" s="11" t="s">
        <v>171</v>
      </c>
      <c r="C730" s="11" t="s">
        <v>496</v>
      </c>
      <c r="D730" s="12">
        <v>290</v>
      </c>
      <c r="E730"/>
      <c r="F730"/>
      <c r="G730"/>
      <c r="H730"/>
      <c r="I730"/>
    </row>
    <row r="731" spans="1:9" x14ac:dyDescent="0.25">
      <c r="A731" s="13" t="s">
        <v>608</v>
      </c>
      <c r="B731" s="11" t="s">
        <v>171</v>
      </c>
      <c r="C731" s="11" t="s">
        <v>496</v>
      </c>
      <c r="D731" s="12">
        <v>270</v>
      </c>
      <c r="E731"/>
      <c r="F731"/>
      <c r="G731"/>
      <c r="H731"/>
      <c r="I731"/>
    </row>
    <row r="732" spans="1:9" x14ac:dyDescent="0.25">
      <c r="A732" s="13" t="s">
        <v>607</v>
      </c>
      <c r="B732" s="11" t="s">
        <v>171</v>
      </c>
      <c r="C732" s="11" t="s">
        <v>496</v>
      </c>
      <c r="D732" s="12">
        <v>270</v>
      </c>
      <c r="E732"/>
      <c r="F732"/>
      <c r="G732"/>
      <c r="H732"/>
      <c r="I732"/>
    </row>
    <row r="733" spans="1:9" x14ac:dyDescent="0.25">
      <c r="A733" s="13" t="s">
        <v>356</v>
      </c>
      <c r="B733" s="11" t="s">
        <v>171</v>
      </c>
      <c r="C733" s="11" t="s">
        <v>496</v>
      </c>
      <c r="D733" s="12">
        <v>225</v>
      </c>
      <c r="E733"/>
      <c r="F733"/>
      <c r="G733"/>
      <c r="H733"/>
      <c r="I733"/>
    </row>
    <row r="734" spans="1:9" x14ac:dyDescent="0.25">
      <c r="A734" s="13" t="s">
        <v>371</v>
      </c>
      <c r="B734" s="11" t="s">
        <v>171</v>
      </c>
      <c r="C734" s="11" t="s">
        <v>496</v>
      </c>
      <c r="D734" s="12">
        <v>245</v>
      </c>
      <c r="E734"/>
      <c r="F734"/>
      <c r="G734"/>
      <c r="H734"/>
      <c r="I734"/>
    </row>
    <row r="735" spans="1:9" x14ac:dyDescent="0.25">
      <c r="A735" s="13" t="s">
        <v>413</v>
      </c>
      <c r="B735" s="11" t="s">
        <v>171</v>
      </c>
      <c r="C735" s="11" t="s">
        <v>496</v>
      </c>
      <c r="D735" s="12">
        <v>225</v>
      </c>
      <c r="E735"/>
      <c r="F735"/>
      <c r="G735"/>
      <c r="H735"/>
      <c r="I735"/>
    </row>
    <row r="736" spans="1:9" x14ac:dyDescent="0.25">
      <c r="A736" s="13" t="s">
        <v>611</v>
      </c>
      <c r="B736" s="11" t="s">
        <v>171</v>
      </c>
      <c r="C736" s="11" t="s">
        <v>496</v>
      </c>
      <c r="D736" s="12">
        <v>300</v>
      </c>
      <c r="E736"/>
      <c r="F736"/>
      <c r="G736"/>
      <c r="H736"/>
      <c r="I736"/>
    </row>
    <row r="737" spans="1:9" x14ac:dyDescent="0.25">
      <c r="A737" s="13" t="s">
        <v>414</v>
      </c>
      <c r="B737" s="11" t="s">
        <v>171</v>
      </c>
      <c r="C737" s="11" t="s">
        <v>496</v>
      </c>
      <c r="D737" s="12">
        <v>245</v>
      </c>
      <c r="E737"/>
      <c r="F737"/>
      <c r="G737"/>
      <c r="H737"/>
      <c r="I737"/>
    </row>
    <row r="738" spans="1:9" x14ac:dyDescent="0.25">
      <c r="A738" s="13" t="s">
        <v>142</v>
      </c>
      <c r="B738" s="11" t="s">
        <v>171</v>
      </c>
      <c r="C738" s="11" t="s">
        <v>496</v>
      </c>
      <c r="D738" s="12">
        <v>290</v>
      </c>
      <c r="E738"/>
      <c r="F738"/>
      <c r="G738"/>
      <c r="H738"/>
      <c r="I738"/>
    </row>
    <row r="739" spans="1:9" x14ac:dyDescent="0.25">
      <c r="A739" s="13" t="s">
        <v>143</v>
      </c>
      <c r="B739" s="11" t="s">
        <v>171</v>
      </c>
      <c r="C739" s="11" t="s">
        <v>496</v>
      </c>
      <c r="D739" s="12">
        <v>290</v>
      </c>
      <c r="E739"/>
      <c r="F739"/>
      <c r="G739"/>
      <c r="H739"/>
      <c r="I739"/>
    </row>
    <row r="740" spans="1:9" x14ac:dyDescent="0.25">
      <c r="A740" s="13" t="s">
        <v>144</v>
      </c>
      <c r="B740" s="11" t="s">
        <v>171</v>
      </c>
      <c r="C740" s="11" t="s">
        <v>496</v>
      </c>
      <c r="D740" s="12">
        <v>270</v>
      </c>
      <c r="E740"/>
      <c r="F740"/>
      <c r="G740"/>
      <c r="H740"/>
      <c r="I740"/>
    </row>
    <row r="741" spans="1:9" x14ac:dyDescent="0.25">
      <c r="A741" s="13" t="s">
        <v>423</v>
      </c>
      <c r="B741" s="11" t="s">
        <v>171</v>
      </c>
      <c r="C741" s="11" t="s">
        <v>496</v>
      </c>
      <c r="D741" s="12">
        <v>245</v>
      </c>
      <c r="E741"/>
      <c r="F741"/>
      <c r="G741"/>
      <c r="H741"/>
      <c r="I741"/>
    </row>
    <row r="742" spans="1:9" x14ac:dyDescent="0.25">
      <c r="A742" s="13" t="s">
        <v>363</v>
      </c>
      <c r="B742" s="11" t="s">
        <v>171</v>
      </c>
      <c r="C742" s="11" t="s">
        <v>496</v>
      </c>
      <c r="D742" s="12">
        <v>280</v>
      </c>
      <c r="E742"/>
      <c r="F742"/>
      <c r="G742"/>
      <c r="H742"/>
      <c r="I742"/>
    </row>
    <row r="743" spans="1:9" x14ac:dyDescent="0.25">
      <c r="A743" s="13" t="s">
        <v>415</v>
      </c>
      <c r="B743" s="11" t="s">
        <v>171</v>
      </c>
      <c r="C743" s="11" t="s">
        <v>496</v>
      </c>
      <c r="D743" s="12">
        <v>245</v>
      </c>
      <c r="E743"/>
      <c r="F743"/>
      <c r="G743"/>
      <c r="H743"/>
      <c r="I743"/>
    </row>
    <row r="744" spans="1:9" x14ac:dyDescent="0.25">
      <c r="A744" s="13" t="s">
        <v>610</v>
      </c>
      <c r="B744" s="11" t="s">
        <v>171</v>
      </c>
      <c r="C744" s="11" t="s">
        <v>496</v>
      </c>
      <c r="D744" s="12">
        <v>230</v>
      </c>
      <c r="E744"/>
      <c r="F744"/>
      <c r="G744"/>
      <c r="H744"/>
      <c r="I744"/>
    </row>
    <row r="745" spans="1:9" x14ac:dyDescent="0.25">
      <c r="A745" s="13" t="s">
        <v>145</v>
      </c>
      <c r="B745" s="11" t="s">
        <v>171</v>
      </c>
      <c r="C745" s="11" t="s">
        <v>496</v>
      </c>
      <c r="D745" s="12">
        <v>290</v>
      </c>
      <c r="E745"/>
      <c r="F745"/>
      <c r="G745"/>
      <c r="H745"/>
      <c r="I745"/>
    </row>
    <row r="746" spans="1:9" x14ac:dyDescent="0.25">
      <c r="A746" s="13" t="s">
        <v>353</v>
      </c>
      <c r="B746" s="11" t="s">
        <v>171</v>
      </c>
      <c r="C746" s="11" t="s">
        <v>496</v>
      </c>
      <c r="D746" s="12">
        <v>280</v>
      </c>
      <c r="E746"/>
      <c r="F746"/>
      <c r="G746"/>
      <c r="H746"/>
      <c r="I746"/>
    </row>
    <row r="747" spans="1:9" x14ac:dyDescent="0.25">
      <c r="A747" s="13" t="s">
        <v>364</v>
      </c>
      <c r="B747" s="11" t="s">
        <v>171</v>
      </c>
      <c r="C747" s="11" t="s">
        <v>496</v>
      </c>
      <c r="D747" s="12">
        <v>230</v>
      </c>
      <c r="E747"/>
      <c r="F747"/>
      <c r="G747"/>
      <c r="H747"/>
      <c r="I747"/>
    </row>
    <row r="748" spans="1:9" x14ac:dyDescent="0.25">
      <c r="A748" s="13" t="s">
        <v>357</v>
      </c>
      <c r="B748" s="11" t="s">
        <v>171</v>
      </c>
      <c r="C748" s="11" t="s">
        <v>496</v>
      </c>
      <c r="D748" s="12">
        <v>290</v>
      </c>
      <c r="E748"/>
      <c r="F748"/>
      <c r="G748"/>
      <c r="H748"/>
      <c r="I748"/>
    </row>
    <row r="749" spans="1:9" x14ac:dyDescent="0.25">
      <c r="A749" s="13" t="s">
        <v>405</v>
      </c>
      <c r="B749" s="11" t="s">
        <v>171</v>
      </c>
      <c r="C749" s="11" t="s">
        <v>496</v>
      </c>
      <c r="D749" s="12">
        <v>210</v>
      </c>
      <c r="E749"/>
      <c r="F749"/>
      <c r="G749"/>
      <c r="H749"/>
      <c r="I749"/>
    </row>
    <row r="750" spans="1:9" x14ac:dyDescent="0.25">
      <c r="A750" s="13" t="s">
        <v>359</v>
      </c>
      <c r="B750" s="11" t="s">
        <v>171</v>
      </c>
      <c r="C750" s="11" t="s">
        <v>496</v>
      </c>
      <c r="D750" s="12">
        <v>270</v>
      </c>
      <c r="E750"/>
      <c r="F750"/>
      <c r="G750"/>
      <c r="H750"/>
      <c r="I750"/>
    </row>
    <row r="751" spans="1:9" x14ac:dyDescent="0.25">
      <c r="A751" s="13" t="s">
        <v>409</v>
      </c>
      <c r="B751" s="11" t="s">
        <v>171</v>
      </c>
      <c r="C751" s="11" t="s">
        <v>496</v>
      </c>
      <c r="D751" s="12">
        <v>270</v>
      </c>
      <c r="E751"/>
      <c r="F751"/>
      <c r="G751"/>
      <c r="H751"/>
      <c r="I751"/>
    </row>
    <row r="752" spans="1:9" x14ac:dyDescent="0.25">
      <c r="A752" s="13" t="s">
        <v>271</v>
      </c>
      <c r="B752" s="11" t="s">
        <v>171</v>
      </c>
      <c r="C752" s="11" t="s">
        <v>496</v>
      </c>
      <c r="D752" s="12">
        <v>290</v>
      </c>
      <c r="E752"/>
      <c r="F752"/>
      <c r="G752"/>
      <c r="H752"/>
      <c r="I752"/>
    </row>
    <row r="753" spans="1:9" x14ac:dyDescent="0.25">
      <c r="A753" s="13" t="s">
        <v>274</v>
      </c>
      <c r="B753" s="11" t="s">
        <v>171</v>
      </c>
      <c r="C753" s="11" t="s">
        <v>496</v>
      </c>
      <c r="D753" s="12">
        <v>290</v>
      </c>
      <c r="E753"/>
      <c r="F753"/>
      <c r="G753"/>
      <c r="H753"/>
      <c r="I753"/>
    </row>
    <row r="754" spans="1:9" x14ac:dyDescent="0.25">
      <c r="A754" s="13" t="s">
        <v>140</v>
      </c>
      <c r="B754" s="11" t="s">
        <v>171</v>
      </c>
      <c r="C754" s="11" t="s">
        <v>496</v>
      </c>
      <c r="D754" s="12">
        <v>280</v>
      </c>
      <c r="E754"/>
      <c r="F754"/>
      <c r="G754"/>
      <c r="H754"/>
      <c r="I754"/>
    </row>
    <row r="755" spans="1:9" x14ac:dyDescent="0.25">
      <c r="A755" s="13" t="s">
        <v>365</v>
      </c>
      <c r="B755" s="11" t="s">
        <v>171</v>
      </c>
      <c r="C755" s="11" t="s">
        <v>496</v>
      </c>
      <c r="D755" s="12">
        <v>290</v>
      </c>
      <c r="E755"/>
      <c r="F755"/>
      <c r="G755"/>
      <c r="H755"/>
      <c r="I755"/>
    </row>
    <row r="756" spans="1:9" x14ac:dyDescent="0.25">
      <c r="A756" s="13" t="s">
        <v>270</v>
      </c>
      <c r="B756" s="11" t="s">
        <v>171</v>
      </c>
      <c r="C756" s="11" t="s">
        <v>496</v>
      </c>
      <c r="D756" s="12">
        <v>270</v>
      </c>
      <c r="E756"/>
      <c r="F756"/>
      <c r="G756"/>
      <c r="H756"/>
      <c r="I756"/>
    </row>
    <row r="757" spans="1:9" x14ac:dyDescent="0.25">
      <c r="A757" s="13" t="s">
        <v>352</v>
      </c>
      <c r="B757" s="11" t="s">
        <v>171</v>
      </c>
      <c r="C757" s="11" t="s">
        <v>496</v>
      </c>
      <c r="D757" s="12">
        <v>255</v>
      </c>
      <c r="E757"/>
      <c r="F757"/>
      <c r="G757"/>
      <c r="H757"/>
      <c r="I757"/>
    </row>
    <row r="758" spans="1:9" x14ac:dyDescent="0.25">
      <c r="A758" s="13" t="s">
        <v>416</v>
      </c>
      <c r="B758" s="11" t="s">
        <v>171</v>
      </c>
      <c r="C758" s="11" t="s">
        <v>496</v>
      </c>
      <c r="D758" s="12">
        <v>225</v>
      </c>
      <c r="E758"/>
      <c r="F758"/>
      <c r="G758"/>
      <c r="H758"/>
      <c r="I758"/>
    </row>
    <row r="759" spans="1:9" x14ac:dyDescent="0.25">
      <c r="A759" s="13" t="s">
        <v>361</v>
      </c>
      <c r="B759" s="11" t="s">
        <v>171</v>
      </c>
      <c r="C759" s="11" t="s">
        <v>496</v>
      </c>
      <c r="D759" s="12">
        <v>255</v>
      </c>
      <c r="E759"/>
      <c r="F759"/>
      <c r="G759"/>
      <c r="H759"/>
      <c r="I759"/>
    </row>
    <row r="760" spans="1:9" x14ac:dyDescent="0.25">
      <c r="A760" s="13" t="s">
        <v>406</v>
      </c>
      <c r="B760" s="11" t="s">
        <v>171</v>
      </c>
      <c r="C760" s="11" t="s">
        <v>496</v>
      </c>
      <c r="D760" s="12">
        <v>245</v>
      </c>
      <c r="E760"/>
      <c r="F760"/>
      <c r="G760"/>
      <c r="H760"/>
      <c r="I760"/>
    </row>
    <row r="761" spans="1:9" x14ac:dyDescent="0.25">
      <c r="A761" s="13" t="s">
        <v>355</v>
      </c>
      <c r="B761" s="11" t="s">
        <v>171</v>
      </c>
      <c r="C761" s="11" t="s">
        <v>496</v>
      </c>
      <c r="D761" s="12">
        <v>270</v>
      </c>
      <c r="E761"/>
      <c r="F761"/>
      <c r="G761"/>
      <c r="H761"/>
      <c r="I761"/>
    </row>
    <row r="762" spans="1:9" x14ac:dyDescent="0.25">
      <c r="A762" s="13" t="s">
        <v>369</v>
      </c>
      <c r="B762" s="11" t="s">
        <v>171</v>
      </c>
      <c r="C762" s="11" t="s">
        <v>496</v>
      </c>
      <c r="D762" s="12">
        <v>185</v>
      </c>
      <c r="E762"/>
      <c r="F762"/>
      <c r="G762"/>
      <c r="H762"/>
      <c r="I762"/>
    </row>
    <row r="763" spans="1:9" x14ac:dyDescent="0.25">
      <c r="A763" s="13" t="s">
        <v>417</v>
      </c>
      <c r="B763" s="11" t="s">
        <v>171</v>
      </c>
      <c r="C763" s="11" t="s">
        <v>496</v>
      </c>
      <c r="D763" s="12">
        <v>270</v>
      </c>
      <c r="E763"/>
      <c r="F763"/>
      <c r="G763"/>
      <c r="H763"/>
      <c r="I763"/>
    </row>
    <row r="764" spans="1:9" x14ac:dyDescent="0.25">
      <c r="A764" s="13" t="s">
        <v>418</v>
      </c>
      <c r="B764" s="11" t="s">
        <v>171</v>
      </c>
      <c r="C764" s="11" t="s">
        <v>496</v>
      </c>
      <c r="D764" s="12">
        <v>270</v>
      </c>
      <c r="E764"/>
      <c r="F764"/>
      <c r="G764"/>
      <c r="H764"/>
      <c r="I764"/>
    </row>
    <row r="765" spans="1:9" x14ac:dyDescent="0.25">
      <c r="A765" s="13" t="s">
        <v>419</v>
      </c>
      <c r="B765" s="11" t="s">
        <v>171</v>
      </c>
      <c r="C765" s="11" t="s">
        <v>496</v>
      </c>
      <c r="D765" s="12">
        <v>225</v>
      </c>
      <c r="E765"/>
      <c r="F765"/>
      <c r="G765"/>
      <c r="H765"/>
      <c r="I765"/>
    </row>
    <row r="766" spans="1:9" x14ac:dyDescent="0.25">
      <c r="A766" s="13" t="s">
        <v>612</v>
      </c>
      <c r="B766" s="11" t="s">
        <v>171</v>
      </c>
      <c r="C766" s="11" t="s">
        <v>496</v>
      </c>
      <c r="D766" s="12">
        <v>290</v>
      </c>
      <c r="E766"/>
      <c r="F766"/>
      <c r="G766"/>
      <c r="H766"/>
      <c r="I766"/>
    </row>
    <row r="767" spans="1:9" x14ac:dyDescent="0.25">
      <c r="A767" s="13" t="s">
        <v>349</v>
      </c>
      <c r="B767" s="11" t="s">
        <v>171</v>
      </c>
      <c r="C767" s="11" t="s">
        <v>496</v>
      </c>
      <c r="D767" s="12">
        <v>325</v>
      </c>
      <c r="E767"/>
      <c r="F767"/>
      <c r="G767"/>
      <c r="H767"/>
      <c r="I767"/>
    </row>
    <row r="768" spans="1:9" x14ac:dyDescent="0.25">
      <c r="A768" s="13" t="s">
        <v>596</v>
      </c>
      <c r="B768" s="11" t="s">
        <v>171</v>
      </c>
      <c r="C768" s="11" t="s">
        <v>496</v>
      </c>
      <c r="D768" s="12">
        <v>280</v>
      </c>
      <c r="E768"/>
      <c r="F768"/>
      <c r="G768"/>
      <c r="H768"/>
      <c r="I768"/>
    </row>
    <row r="769" spans="1:9" x14ac:dyDescent="0.25">
      <c r="A769" s="13" t="s">
        <v>350</v>
      </c>
      <c r="B769" s="11" t="s">
        <v>171</v>
      </c>
      <c r="C769" s="11" t="s">
        <v>496</v>
      </c>
      <c r="D769" s="12">
        <v>345</v>
      </c>
      <c r="E769"/>
      <c r="F769"/>
      <c r="G769"/>
      <c r="H769"/>
      <c r="I769"/>
    </row>
    <row r="770" spans="1:9" x14ac:dyDescent="0.25">
      <c r="A770" s="13" t="s">
        <v>264</v>
      </c>
      <c r="B770" s="11" t="s">
        <v>171</v>
      </c>
      <c r="C770" s="11" t="s">
        <v>496</v>
      </c>
      <c r="D770" s="12">
        <v>210</v>
      </c>
      <c r="E770"/>
      <c r="F770"/>
      <c r="G770"/>
      <c r="H770"/>
      <c r="I770"/>
    </row>
    <row r="771" spans="1:9" x14ac:dyDescent="0.25">
      <c r="A771" s="13" t="s">
        <v>272</v>
      </c>
      <c r="B771" s="11" t="s">
        <v>171</v>
      </c>
      <c r="C771" s="11" t="s">
        <v>496</v>
      </c>
      <c r="D771" s="12">
        <v>270</v>
      </c>
      <c r="E771"/>
      <c r="F771"/>
      <c r="G771"/>
      <c r="H771"/>
      <c r="I771"/>
    </row>
    <row r="772" spans="1:9" x14ac:dyDescent="0.25">
      <c r="A772" s="13" t="s">
        <v>273</v>
      </c>
      <c r="B772" s="11" t="s">
        <v>171</v>
      </c>
      <c r="C772" s="11" t="s">
        <v>496</v>
      </c>
      <c r="D772" s="12">
        <v>270</v>
      </c>
      <c r="E772"/>
      <c r="F772"/>
      <c r="G772"/>
      <c r="H772"/>
      <c r="I772"/>
    </row>
    <row r="773" spans="1:9" x14ac:dyDescent="0.25">
      <c r="A773" s="13" t="s">
        <v>367</v>
      </c>
      <c r="B773" s="11" t="s">
        <v>171</v>
      </c>
      <c r="C773" s="11" t="s">
        <v>496</v>
      </c>
      <c r="D773" s="12">
        <v>300</v>
      </c>
      <c r="E773"/>
      <c r="F773"/>
      <c r="G773"/>
      <c r="H773"/>
      <c r="I773"/>
    </row>
    <row r="774" spans="1:9" x14ac:dyDescent="0.25">
      <c r="A774" s="13" t="s">
        <v>601</v>
      </c>
      <c r="B774" s="11" t="s">
        <v>171</v>
      </c>
      <c r="C774" s="11" t="s">
        <v>496</v>
      </c>
      <c r="D774" s="12">
        <v>280</v>
      </c>
      <c r="E774"/>
      <c r="F774"/>
      <c r="G774"/>
      <c r="H774"/>
      <c r="I774"/>
    </row>
    <row r="775" spans="1:9" x14ac:dyDescent="0.25">
      <c r="A775" s="13" t="s">
        <v>358</v>
      </c>
      <c r="B775" s="11" t="s">
        <v>171</v>
      </c>
      <c r="C775" s="11" t="s">
        <v>496</v>
      </c>
      <c r="D775" s="12">
        <v>300</v>
      </c>
      <c r="E775"/>
      <c r="F775"/>
      <c r="G775"/>
      <c r="H775"/>
      <c r="I775"/>
    </row>
    <row r="776" spans="1:9" x14ac:dyDescent="0.25">
      <c r="A776" s="13" t="s">
        <v>420</v>
      </c>
      <c r="B776" s="11" t="s">
        <v>171</v>
      </c>
      <c r="C776" s="11" t="s">
        <v>496</v>
      </c>
      <c r="D776" s="12">
        <v>225</v>
      </c>
      <c r="E776"/>
      <c r="F776"/>
      <c r="G776"/>
      <c r="H776"/>
      <c r="I776"/>
    </row>
    <row r="777" spans="1:9" x14ac:dyDescent="0.25">
      <c r="A777" s="13" t="s">
        <v>366</v>
      </c>
      <c r="B777" s="11" t="s">
        <v>171</v>
      </c>
      <c r="C777" s="11" t="s">
        <v>496</v>
      </c>
      <c r="D777" s="12">
        <v>230</v>
      </c>
      <c r="E777"/>
      <c r="F777"/>
      <c r="G777"/>
      <c r="H777"/>
      <c r="I777"/>
    </row>
    <row r="778" spans="1:9" x14ac:dyDescent="0.25">
      <c r="A778" s="13" t="s">
        <v>599</v>
      </c>
      <c r="B778" s="11" t="s">
        <v>171</v>
      </c>
      <c r="C778" s="11" t="s">
        <v>496</v>
      </c>
      <c r="D778" s="12">
        <v>290</v>
      </c>
      <c r="E778"/>
      <c r="F778"/>
      <c r="G778"/>
      <c r="H778"/>
      <c r="I778"/>
    </row>
    <row r="779" spans="1:9" x14ac:dyDescent="0.25">
      <c r="A779" s="13" t="s">
        <v>146</v>
      </c>
      <c r="B779" s="11" t="s">
        <v>171</v>
      </c>
      <c r="C779" s="11" t="s">
        <v>496</v>
      </c>
      <c r="D779" s="12">
        <v>290</v>
      </c>
      <c r="E779"/>
      <c r="F779"/>
      <c r="G779"/>
      <c r="H779"/>
      <c r="I779"/>
    </row>
    <row r="780" spans="1:9" x14ac:dyDescent="0.25">
      <c r="A780" s="13" t="s">
        <v>147</v>
      </c>
      <c r="B780" s="11" t="s">
        <v>171</v>
      </c>
      <c r="C780" s="11" t="s">
        <v>496</v>
      </c>
      <c r="D780" s="12">
        <v>270</v>
      </c>
      <c r="E780"/>
      <c r="F780"/>
      <c r="G780"/>
      <c r="H780"/>
      <c r="I780"/>
    </row>
    <row r="781" spans="1:9" x14ac:dyDescent="0.25">
      <c r="A781" s="13" t="s">
        <v>148</v>
      </c>
      <c r="B781" s="11" t="s">
        <v>171</v>
      </c>
      <c r="C781" s="11" t="s">
        <v>496</v>
      </c>
      <c r="D781" s="12">
        <v>270</v>
      </c>
      <c r="E781"/>
      <c r="F781"/>
      <c r="G781"/>
      <c r="H781"/>
      <c r="I781"/>
    </row>
    <row r="782" spans="1:9" x14ac:dyDescent="0.25">
      <c r="A782" s="13" t="s">
        <v>149</v>
      </c>
      <c r="B782" s="11" t="s">
        <v>171</v>
      </c>
      <c r="C782" s="11" t="s">
        <v>496</v>
      </c>
      <c r="D782" s="12">
        <v>270</v>
      </c>
      <c r="E782"/>
      <c r="F782"/>
      <c r="G782"/>
      <c r="H782"/>
      <c r="I782"/>
    </row>
    <row r="783" spans="1:9" x14ac:dyDescent="0.25">
      <c r="A783" s="13" t="s">
        <v>260</v>
      </c>
      <c r="B783" s="11" t="s">
        <v>171</v>
      </c>
      <c r="C783" s="11" t="s">
        <v>496</v>
      </c>
      <c r="D783" s="12">
        <v>140</v>
      </c>
      <c r="E783"/>
      <c r="F783"/>
      <c r="G783"/>
      <c r="H783"/>
      <c r="I783"/>
    </row>
    <row r="784" spans="1:9" x14ac:dyDescent="0.25">
      <c r="A784" s="13" t="s">
        <v>348</v>
      </c>
      <c r="B784" s="11" t="s">
        <v>171</v>
      </c>
      <c r="C784" s="11" t="s">
        <v>496</v>
      </c>
      <c r="D784" s="12">
        <v>115</v>
      </c>
      <c r="E784"/>
      <c r="F784"/>
      <c r="G784"/>
      <c r="H784"/>
      <c r="I784"/>
    </row>
    <row r="785" spans="1:9" x14ac:dyDescent="0.25">
      <c r="A785" s="13" t="s">
        <v>351</v>
      </c>
      <c r="B785" s="11" t="s">
        <v>171</v>
      </c>
      <c r="C785" s="11" t="s">
        <v>496</v>
      </c>
      <c r="D785" s="12">
        <v>530</v>
      </c>
      <c r="E785"/>
      <c r="F785"/>
      <c r="G785"/>
      <c r="H785"/>
      <c r="I785"/>
    </row>
    <row r="786" spans="1:9" x14ac:dyDescent="0.25">
      <c r="A786" s="13" t="s">
        <v>368</v>
      </c>
      <c r="B786" s="11" t="s">
        <v>171</v>
      </c>
      <c r="C786" s="11" t="s">
        <v>496</v>
      </c>
      <c r="D786" s="12">
        <v>545</v>
      </c>
      <c r="E786"/>
      <c r="F786"/>
      <c r="G786"/>
      <c r="H786"/>
      <c r="I786"/>
    </row>
    <row r="787" spans="1:9" x14ac:dyDescent="0.25">
      <c r="A787" s="13" t="s">
        <v>266</v>
      </c>
      <c r="B787" s="11" t="s">
        <v>171</v>
      </c>
      <c r="C787" s="11" t="s">
        <v>496</v>
      </c>
      <c r="D787" s="12">
        <v>275</v>
      </c>
      <c r="E787"/>
      <c r="F787"/>
      <c r="G787"/>
      <c r="H787"/>
      <c r="I787"/>
    </row>
    <row r="788" spans="1:9" x14ac:dyDescent="0.25">
      <c r="A788" s="13" t="s">
        <v>268</v>
      </c>
      <c r="B788" s="11" t="s">
        <v>171</v>
      </c>
      <c r="C788" s="11" t="s">
        <v>496</v>
      </c>
      <c r="D788" s="12">
        <v>255</v>
      </c>
      <c r="E788"/>
      <c r="F788"/>
      <c r="G788"/>
      <c r="H788"/>
      <c r="I788"/>
    </row>
    <row r="789" spans="1:9" x14ac:dyDescent="0.25">
      <c r="A789" s="13" t="s">
        <v>360</v>
      </c>
      <c r="B789" s="11" t="s">
        <v>171</v>
      </c>
      <c r="C789" s="11" t="s">
        <v>496</v>
      </c>
      <c r="D789" s="12">
        <v>270</v>
      </c>
      <c r="E789"/>
      <c r="F789"/>
      <c r="G789"/>
      <c r="H789"/>
      <c r="I789"/>
    </row>
    <row r="790" spans="1:9" x14ac:dyDescent="0.25">
      <c r="A790" s="13" t="s">
        <v>275</v>
      </c>
      <c r="B790" s="11" t="s">
        <v>171</v>
      </c>
      <c r="C790" s="11" t="s">
        <v>496</v>
      </c>
      <c r="D790" s="12">
        <v>280</v>
      </c>
      <c r="E790"/>
      <c r="F790"/>
      <c r="G790"/>
      <c r="H790"/>
      <c r="I790"/>
    </row>
    <row r="791" spans="1:9" x14ac:dyDescent="0.25">
      <c r="A791" s="13" t="s">
        <v>605</v>
      </c>
      <c r="B791" s="11" t="s">
        <v>171</v>
      </c>
      <c r="C791" s="11" t="s">
        <v>496</v>
      </c>
      <c r="D791" s="12">
        <v>340</v>
      </c>
      <c r="E791"/>
      <c r="F791"/>
      <c r="G791"/>
      <c r="H791"/>
      <c r="I791"/>
    </row>
    <row r="792" spans="1:9" x14ac:dyDescent="0.25">
      <c r="A792" s="13" t="s">
        <v>262</v>
      </c>
      <c r="B792" s="11" t="s">
        <v>171</v>
      </c>
      <c r="C792" s="11" t="s">
        <v>496</v>
      </c>
      <c r="D792" s="12">
        <v>160</v>
      </c>
      <c r="E792"/>
      <c r="F792"/>
      <c r="G792"/>
      <c r="H792"/>
      <c r="I792"/>
    </row>
    <row r="793" spans="1:9" x14ac:dyDescent="0.25">
      <c r="A793" s="13" t="s">
        <v>150</v>
      </c>
      <c r="B793" s="11" t="s">
        <v>171</v>
      </c>
      <c r="C793" s="11" t="s">
        <v>496</v>
      </c>
      <c r="D793" s="12">
        <v>280</v>
      </c>
      <c r="E793"/>
      <c r="F793"/>
      <c r="G793"/>
      <c r="H793"/>
      <c r="I793"/>
    </row>
    <row r="794" spans="1:9" x14ac:dyDescent="0.25">
      <c r="A794" s="13" t="s">
        <v>593</v>
      </c>
      <c r="B794" s="11" t="s">
        <v>171</v>
      </c>
      <c r="C794" s="11" t="s">
        <v>496</v>
      </c>
      <c r="D794" s="12">
        <v>225</v>
      </c>
      <c r="E794"/>
      <c r="F794"/>
      <c r="G794"/>
      <c r="H794"/>
      <c r="I794"/>
    </row>
    <row r="795" spans="1:9" x14ac:dyDescent="0.25">
      <c r="A795" s="13" t="s">
        <v>594</v>
      </c>
      <c r="B795" s="11" t="s">
        <v>171</v>
      </c>
      <c r="C795" s="11" t="s">
        <v>496</v>
      </c>
      <c r="D795" s="12">
        <v>225</v>
      </c>
      <c r="E795"/>
      <c r="F795"/>
      <c r="G795"/>
      <c r="H795"/>
      <c r="I795"/>
    </row>
    <row r="796" spans="1:9" x14ac:dyDescent="0.25">
      <c r="A796" s="13" t="s">
        <v>592</v>
      </c>
      <c r="B796" s="11" t="s">
        <v>171</v>
      </c>
      <c r="C796" s="11" t="s">
        <v>496</v>
      </c>
      <c r="D796" s="12">
        <v>300</v>
      </c>
      <c r="E796"/>
      <c r="F796"/>
      <c r="G796"/>
      <c r="H796"/>
      <c r="I796"/>
    </row>
    <row r="797" spans="1:9" x14ac:dyDescent="0.25">
      <c r="A797" s="13" t="s">
        <v>590</v>
      </c>
      <c r="B797" s="11" t="s">
        <v>171</v>
      </c>
      <c r="C797" s="11" t="s">
        <v>496</v>
      </c>
      <c r="D797" s="12">
        <v>255</v>
      </c>
      <c r="E797"/>
      <c r="F797"/>
      <c r="G797"/>
      <c r="H797"/>
      <c r="I797"/>
    </row>
    <row r="798" spans="1:9" x14ac:dyDescent="0.25">
      <c r="A798" s="13" t="s">
        <v>591</v>
      </c>
      <c r="B798" s="11" t="s">
        <v>171</v>
      </c>
      <c r="C798" s="11" t="s">
        <v>496</v>
      </c>
      <c r="D798" s="12">
        <v>225</v>
      </c>
      <c r="E798"/>
      <c r="F798"/>
      <c r="G798"/>
      <c r="H798"/>
      <c r="I798"/>
    </row>
    <row r="799" spans="1:9" x14ac:dyDescent="0.25">
      <c r="A799" s="13" t="s">
        <v>586</v>
      </c>
      <c r="B799" s="11" t="s">
        <v>171</v>
      </c>
      <c r="C799" s="11" t="s">
        <v>496</v>
      </c>
      <c r="D799" s="12">
        <v>290</v>
      </c>
      <c r="E799"/>
      <c r="F799"/>
      <c r="G799"/>
      <c r="H799"/>
      <c r="I799"/>
    </row>
    <row r="800" spans="1:9" x14ac:dyDescent="0.25">
      <c r="A800" s="13" t="s">
        <v>585</v>
      </c>
      <c r="B800" s="11" t="s">
        <v>171</v>
      </c>
      <c r="C800" s="11" t="s">
        <v>496</v>
      </c>
      <c r="D800" s="12">
        <v>265</v>
      </c>
      <c r="E800"/>
      <c r="F800"/>
      <c r="G800"/>
      <c r="H800"/>
      <c r="I800"/>
    </row>
    <row r="801" spans="1:9" x14ac:dyDescent="0.25">
      <c r="A801" s="13" t="s">
        <v>589</v>
      </c>
      <c r="B801" s="11" t="s">
        <v>171</v>
      </c>
      <c r="C801" s="11" t="s">
        <v>496</v>
      </c>
      <c r="D801" s="12">
        <v>220</v>
      </c>
      <c r="E801"/>
      <c r="F801"/>
      <c r="G801"/>
      <c r="H801"/>
      <c r="I801"/>
    </row>
    <row r="802" spans="1:9" x14ac:dyDescent="0.25">
      <c r="A802" s="13" t="s">
        <v>588</v>
      </c>
      <c r="B802" s="11" t="s">
        <v>171</v>
      </c>
      <c r="C802" s="11" t="s">
        <v>496</v>
      </c>
      <c r="D802" s="12">
        <v>220</v>
      </c>
      <c r="E802"/>
      <c r="F802"/>
      <c r="G802"/>
      <c r="H802"/>
      <c r="I802"/>
    </row>
    <row r="803" spans="1:9" x14ac:dyDescent="0.25">
      <c r="A803" s="13" t="s">
        <v>587</v>
      </c>
      <c r="B803" s="11" t="s">
        <v>171</v>
      </c>
      <c r="C803" s="11" t="s">
        <v>496</v>
      </c>
      <c r="D803" s="12">
        <v>245</v>
      </c>
      <c r="E803"/>
      <c r="F803"/>
      <c r="G803"/>
      <c r="H803"/>
      <c r="I803"/>
    </row>
    <row r="804" spans="1:9" x14ac:dyDescent="0.25">
      <c r="A804" s="13" t="s">
        <v>649</v>
      </c>
      <c r="B804" s="11" t="s">
        <v>162</v>
      </c>
      <c r="C804" s="11" t="s">
        <v>701</v>
      </c>
      <c r="D804" s="12">
        <v>980</v>
      </c>
      <c r="E804"/>
      <c r="F804"/>
      <c r="G804"/>
      <c r="H804"/>
      <c r="I804"/>
    </row>
    <row r="805" spans="1:9" x14ac:dyDescent="0.25">
      <c r="A805" s="13" t="s">
        <v>676</v>
      </c>
      <c r="B805" s="11" t="s">
        <v>162</v>
      </c>
      <c r="C805" s="11" t="s">
        <v>702</v>
      </c>
      <c r="D805" s="12">
        <v>895</v>
      </c>
      <c r="E805"/>
      <c r="F805"/>
      <c r="G805"/>
      <c r="H805"/>
      <c r="I805"/>
    </row>
    <row r="806" spans="1:9" x14ac:dyDescent="0.25">
      <c r="A806" s="13" t="s">
        <v>666</v>
      </c>
      <c r="B806" s="11" t="s">
        <v>162</v>
      </c>
      <c r="C806" s="11" t="s">
        <v>701</v>
      </c>
      <c r="D806" s="12">
        <v>875</v>
      </c>
      <c r="E806"/>
      <c r="F806"/>
      <c r="G806"/>
      <c r="H806"/>
      <c r="I806"/>
    </row>
    <row r="807" spans="1:9" x14ac:dyDescent="0.25">
      <c r="A807" s="13" t="s">
        <v>617</v>
      </c>
      <c r="B807" s="11" t="s">
        <v>162</v>
      </c>
      <c r="C807" s="11" t="s">
        <v>702</v>
      </c>
      <c r="D807" s="12">
        <v>5590</v>
      </c>
      <c r="E807"/>
      <c r="F807"/>
      <c r="G807"/>
      <c r="H807"/>
      <c r="I807"/>
    </row>
    <row r="808" spans="1:9" x14ac:dyDescent="0.25">
      <c r="A808" s="13" t="s">
        <v>619</v>
      </c>
      <c r="B808" s="11" t="s">
        <v>162</v>
      </c>
      <c r="C808" s="11" t="s">
        <v>702</v>
      </c>
      <c r="D808" s="12">
        <v>4845</v>
      </c>
      <c r="E808"/>
      <c r="F808"/>
      <c r="G808"/>
      <c r="H808"/>
      <c r="I808"/>
    </row>
    <row r="809" spans="1:9" x14ac:dyDescent="0.25">
      <c r="A809" s="13" t="s">
        <v>621</v>
      </c>
      <c r="B809" s="11" t="s">
        <v>162</v>
      </c>
      <c r="C809" s="11" t="s">
        <v>702</v>
      </c>
      <c r="D809" s="12">
        <v>4210</v>
      </c>
      <c r="E809"/>
      <c r="F809"/>
      <c r="G809"/>
      <c r="H809"/>
      <c r="I809"/>
    </row>
    <row r="810" spans="1:9" x14ac:dyDescent="0.25">
      <c r="A810" s="13" t="s">
        <v>630</v>
      </c>
      <c r="B810" s="11" t="s">
        <v>162</v>
      </c>
      <c r="C810" s="11" t="s">
        <v>702</v>
      </c>
      <c r="D810" s="12">
        <v>2770</v>
      </c>
      <c r="E810"/>
      <c r="F810"/>
      <c r="G810"/>
      <c r="H810"/>
      <c r="I810"/>
    </row>
    <row r="811" spans="1:9" x14ac:dyDescent="0.25">
      <c r="A811" s="13" t="s">
        <v>652</v>
      </c>
      <c r="B811" s="11" t="s">
        <v>162</v>
      </c>
      <c r="C811" s="11" t="s">
        <v>701</v>
      </c>
      <c r="D811" s="12">
        <v>945</v>
      </c>
      <c r="E811"/>
      <c r="F811"/>
      <c r="G811"/>
      <c r="H811"/>
      <c r="I811"/>
    </row>
    <row r="812" spans="1:9" x14ac:dyDescent="0.25">
      <c r="A812" s="13" t="s">
        <v>942</v>
      </c>
      <c r="B812" s="11" t="s">
        <v>162</v>
      </c>
      <c r="C812" s="11" t="s">
        <v>702</v>
      </c>
      <c r="D812" s="12">
        <v>1470</v>
      </c>
      <c r="E812"/>
      <c r="F812"/>
      <c r="G812"/>
      <c r="H812"/>
      <c r="I812"/>
    </row>
    <row r="813" spans="1:9" x14ac:dyDescent="0.25">
      <c r="A813" s="13" t="s">
        <v>164</v>
      </c>
      <c r="B813" s="11" t="s">
        <v>162</v>
      </c>
      <c r="C813" s="11" t="s">
        <v>702</v>
      </c>
      <c r="D813" s="12">
        <v>935</v>
      </c>
      <c r="E813"/>
      <c r="F813"/>
      <c r="G813"/>
      <c r="H813"/>
      <c r="I813"/>
    </row>
    <row r="814" spans="1:9" x14ac:dyDescent="0.25">
      <c r="A814" s="13" t="s">
        <v>646</v>
      </c>
      <c r="B814" s="11" t="s">
        <v>162</v>
      </c>
      <c r="C814" s="11" t="s">
        <v>701</v>
      </c>
      <c r="D814" s="12">
        <v>960</v>
      </c>
      <c r="E814"/>
      <c r="F814"/>
      <c r="G814"/>
      <c r="H814"/>
      <c r="I814"/>
    </row>
    <row r="815" spans="1:9" x14ac:dyDescent="0.25">
      <c r="A815" s="13" t="s">
        <v>654</v>
      </c>
      <c r="B815" s="11" t="s">
        <v>162</v>
      </c>
      <c r="C815" s="11" t="s">
        <v>701</v>
      </c>
      <c r="D815" s="12">
        <v>890</v>
      </c>
      <c r="E815"/>
      <c r="F815"/>
      <c r="G815"/>
      <c r="H815"/>
      <c r="I815"/>
    </row>
    <row r="816" spans="1:9" x14ac:dyDescent="0.25">
      <c r="A816" s="13" t="s">
        <v>943</v>
      </c>
      <c r="B816" s="11" t="s">
        <v>162</v>
      </c>
      <c r="C816" s="11" t="s">
        <v>702</v>
      </c>
      <c r="D816" s="12">
        <v>1815</v>
      </c>
      <c r="E816"/>
      <c r="F816"/>
      <c r="G816"/>
      <c r="H816"/>
      <c r="I816"/>
    </row>
    <row r="817" spans="1:9" x14ac:dyDescent="0.25">
      <c r="A817" s="13" t="s">
        <v>669</v>
      </c>
      <c r="B817" s="11" t="s">
        <v>162</v>
      </c>
      <c r="C817" s="11" t="s">
        <v>701</v>
      </c>
      <c r="D817" s="12">
        <v>990</v>
      </c>
      <c r="E817"/>
      <c r="F817"/>
      <c r="G817"/>
      <c r="H817"/>
      <c r="I817"/>
    </row>
    <row r="818" spans="1:9" x14ac:dyDescent="0.25">
      <c r="A818" s="13" t="s">
        <v>298</v>
      </c>
      <c r="B818" s="11" t="s">
        <v>162</v>
      </c>
      <c r="C818" s="11" t="s">
        <v>701</v>
      </c>
      <c r="D818" s="12">
        <v>635</v>
      </c>
      <c r="E818"/>
      <c r="F818"/>
      <c r="G818"/>
      <c r="H818"/>
      <c r="I818"/>
    </row>
    <row r="819" spans="1:9" x14ac:dyDescent="0.25">
      <c r="A819" s="13" t="s">
        <v>299</v>
      </c>
      <c r="B819" s="11" t="s">
        <v>162</v>
      </c>
      <c r="C819" s="11" t="s">
        <v>701</v>
      </c>
      <c r="D819" s="12">
        <v>635</v>
      </c>
      <c r="E819"/>
      <c r="F819"/>
      <c r="G819"/>
      <c r="H819"/>
      <c r="I819"/>
    </row>
    <row r="820" spans="1:9" x14ac:dyDescent="0.25">
      <c r="A820" s="13" t="s">
        <v>300</v>
      </c>
      <c r="B820" s="11" t="s">
        <v>162</v>
      </c>
      <c r="C820" s="11" t="s">
        <v>701</v>
      </c>
      <c r="D820" s="12">
        <v>635</v>
      </c>
      <c r="E820"/>
      <c r="F820"/>
      <c r="G820"/>
      <c r="H820"/>
      <c r="I820"/>
    </row>
    <row r="821" spans="1:9" x14ac:dyDescent="0.25">
      <c r="A821" s="13" t="s">
        <v>301</v>
      </c>
      <c r="B821" s="11" t="s">
        <v>162</v>
      </c>
      <c r="C821" s="11" t="s">
        <v>701</v>
      </c>
      <c r="D821" s="12">
        <v>635</v>
      </c>
      <c r="E821"/>
      <c r="F821"/>
      <c r="G821"/>
      <c r="H821"/>
      <c r="I821"/>
    </row>
    <row r="822" spans="1:9" x14ac:dyDescent="0.25">
      <c r="A822" s="13" t="s">
        <v>302</v>
      </c>
      <c r="B822" s="11" t="s">
        <v>162</v>
      </c>
      <c r="C822" s="11" t="s">
        <v>701</v>
      </c>
      <c r="D822" s="12">
        <v>635</v>
      </c>
      <c r="E822"/>
      <c r="F822"/>
      <c r="G822"/>
      <c r="H822"/>
      <c r="I822"/>
    </row>
    <row r="823" spans="1:9" x14ac:dyDescent="0.25">
      <c r="A823" s="13" t="s">
        <v>306</v>
      </c>
      <c r="B823" s="11" t="s">
        <v>162</v>
      </c>
      <c r="C823" s="11" t="s">
        <v>701</v>
      </c>
      <c r="D823" s="12">
        <v>935</v>
      </c>
      <c r="E823"/>
      <c r="F823"/>
      <c r="G823"/>
      <c r="H823"/>
      <c r="I823"/>
    </row>
    <row r="824" spans="1:9" x14ac:dyDescent="0.25">
      <c r="A824" s="13" t="s">
        <v>307</v>
      </c>
      <c r="B824" s="11" t="s">
        <v>162</v>
      </c>
      <c r="C824" s="11" t="s">
        <v>701</v>
      </c>
      <c r="D824" s="12">
        <v>935</v>
      </c>
      <c r="E824"/>
      <c r="F824"/>
      <c r="G824"/>
      <c r="H824"/>
      <c r="I824"/>
    </row>
    <row r="825" spans="1:9" x14ac:dyDescent="0.25">
      <c r="A825" s="13" t="s">
        <v>308</v>
      </c>
      <c r="B825" s="11" t="s">
        <v>162</v>
      </c>
      <c r="C825" s="11" t="s">
        <v>701</v>
      </c>
      <c r="D825" s="12">
        <v>935</v>
      </c>
      <c r="E825"/>
      <c r="F825"/>
      <c r="G825"/>
      <c r="H825"/>
      <c r="I825"/>
    </row>
    <row r="826" spans="1:9" x14ac:dyDescent="0.25">
      <c r="A826" s="13" t="s">
        <v>309</v>
      </c>
      <c r="B826" s="11" t="s">
        <v>162</v>
      </c>
      <c r="C826" s="11" t="s">
        <v>701</v>
      </c>
      <c r="D826" s="12">
        <v>935</v>
      </c>
      <c r="E826"/>
      <c r="F826"/>
      <c r="G826"/>
      <c r="H826"/>
      <c r="I826"/>
    </row>
    <row r="827" spans="1:9" x14ac:dyDescent="0.25">
      <c r="A827" s="13" t="s">
        <v>310</v>
      </c>
      <c r="B827" s="11" t="s">
        <v>162</v>
      </c>
      <c r="C827" s="11" t="s">
        <v>701</v>
      </c>
      <c r="D827" s="12">
        <v>935</v>
      </c>
      <c r="E827"/>
      <c r="F827"/>
      <c r="G827"/>
      <c r="H827"/>
      <c r="I827"/>
    </row>
    <row r="828" spans="1:9" x14ac:dyDescent="0.25">
      <c r="A828" s="13" t="s">
        <v>303</v>
      </c>
      <c r="B828" s="11" t="s">
        <v>162</v>
      </c>
      <c r="C828" s="11" t="s">
        <v>701</v>
      </c>
      <c r="D828" s="12">
        <v>935</v>
      </c>
      <c r="E828"/>
      <c r="F828"/>
      <c r="G828"/>
      <c r="H828"/>
      <c r="I828"/>
    </row>
    <row r="829" spans="1:9" x14ac:dyDescent="0.25">
      <c r="A829" s="13" t="s">
        <v>311</v>
      </c>
      <c r="B829" s="11" t="s">
        <v>162</v>
      </c>
      <c r="C829" s="11" t="s">
        <v>701</v>
      </c>
      <c r="D829" s="12">
        <v>935</v>
      </c>
      <c r="E829"/>
      <c r="F829"/>
      <c r="G829"/>
      <c r="H829"/>
      <c r="I829"/>
    </row>
    <row r="830" spans="1:9" x14ac:dyDescent="0.25">
      <c r="A830" s="13" t="s">
        <v>304</v>
      </c>
      <c r="B830" s="11" t="s">
        <v>162</v>
      </c>
      <c r="C830" s="11" t="s">
        <v>701</v>
      </c>
      <c r="D830" s="12">
        <v>935</v>
      </c>
      <c r="H830"/>
      <c r="I830"/>
    </row>
    <row r="831" spans="1:9" x14ac:dyDescent="0.25">
      <c r="A831" s="13" t="s">
        <v>305</v>
      </c>
      <c r="B831" s="11" t="s">
        <v>162</v>
      </c>
      <c r="C831" s="11" t="s">
        <v>701</v>
      </c>
      <c r="D831" s="12">
        <v>935</v>
      </c>
      <c r="H831"/>
      <c r="I831"/>
    </row>
    <row r="832" spans="1:9" x14ac:dyDescent="0.25">
      <c r="A832" s="13" t="s">
        <v>688</v>
      </c>
      <c r="B832" s="11" t="s">
        <v>162</v>
      </c>
      <c r="C832" s="11" t="s">
        <v>702</v>
      </c>
      <c r="D832" s="12">
        <v>1105</v>
      </c>
      <c r="H832"/>
      <c r="I832"/>
    </row>
    <row r="833" spans="1:9" x14ac:dyDescent="0.25">
      <c r="A833" s="13" t="s">
        <v>333</v>
      </c>
      <c r="B833" s="11" t="s">
        <v>162</v>
      </c>
      <c r="C833" s="11" t="s">
        <v>702</v>
      </c>
      <c r="D833" s="12">
        <v>3795</v>
      </c>
      <c r="H833"/>
      <c r="I833"/>
    </row>
    <row r="834" spans="1:9" x14ac:dyDescent="0.25">
      <c r="A834" s="13" t="s">
        <v>324</v>
      </c>
      <c r="B834" s="11" t="s">
        <v>162</v>
      </c>
      <c r="C834" s="11" t="s">
        <v>702</v>
      </c>
      <c r="D834" s="12">
        <v>5405</v>
      </c>
      <c r="H834"/>
      <c r="I834"/>
    </row>
    <row r="835" spans="1:9" x14ac:dyDescent="0.25">
      <c r="A835" s="13" t="s">
        <v>671</v>
      </c>
      <c r="B835" s="11" t="s">
        <v>162</v>
      </c>
      <c r="C835" s="11" t="s">
        <v>701</v>
      </c>
      <c r="D835" s="12">
        <v>795</v>
      </c>
      <c r="H835"/>
      <c r="I835"/>
    </row>
    <row r="836" spans="1:9" x14ac:dyDescent="0.25">
      <c r="A836" s="13" t="s">
        <v>665</v>
      </c>
      <c r="B836" s="11" t="s">
        <v>162</v>
      </c>
      <c r="C836" s="11" t="s">
        <v>701</v>
      </c>
      <c r="D836" s="12">
        <v>875</v>
      </c>
      <c r="H836"/>
      <c r="I836"/>
    </row>
    <row r="837" spans="1:9" x14ac:dyDescent="0.25">
      <c r="A837" s="13" t="s">
        <v>322</v>
      </c>
      <c r="B837" s="11" t="s">
        <v>162</v>
      </c>
      <c r="C837" s="11" t="s">
        <v>702</v>
      </c>
      <c r="D837" s="12">
        <v>960</v>
      </c>
      <c r="H837"/>
      <c r="I837"/>
    </row>
    <row r="838" spans="1:9" x14ac:dyDescent="0.25">
      <c r="A838" s="13" t="s">
        <v>653</v>
      </c>
      <c r="B838" s="11" t="s">
        <v>162</v>
      </c>
      <c r="C838" s="11" t="s">
        <v>701</v>
      </c>
      <c r="D838" s="12">
        <v>980</v>
      </c>
      <c r="H838"/>
      <c r="I838"/>
    </row>
    <row r="839" spans="1:9" x14ac:dyDescent="0.25">
      <c r="A839" s="13" t="s">
        <v>667</v>
      </c>
      <c r="B839" s="11" t="s">
        <v>162</v>
      </c>
      <c r="C839" s="11" t="s">
        <v>701</v>
      </c>
      <c r="D839" s="12">
        <v>875</v>
      </c>
      <c r="H839"/>
      <c r="I839"/>
    </row>
    <row r="840" spans="1:9" x14ac:dyDescent="0.25">
      <c r="A840" s="13" t="s">
        <v>678</v>
      </c>
      <c r="B840" s="11" t="s">
        <v>162</v>
      </c>
      <c r="C840" s="11" t="s">
        <v>702</v>
      </c>
      <c r="D840" s="12">
        <v>1045</v>
      </c>
      <c r="H840"/>
      <c r="I840"/>
    </row>
    <row r="841" spans="1:9" x14ac:dyDescent="0.25">
      <c r="A841" s="13" t="s">
        <v>674</v>
      </c>
      <c r="B841" s="11" t="s">
        <v>162</v>
      </c>
      <c r="C841" s="11" t="s">
        <v>702</v>
      </c>
      <c r="D841" s="12">
        <v>755</v>
      </c>
      <c r="H841"/>
      <c r="I841"/>
    </row>
    <row r="842" spans="1:9" x14ac:dyDescent="0.25">
      <c r="A842" s="13" t="s">
        <v>334</v>
      </c>
      <c r="B842" s="11" t="s">
        <v>162</v>
      </c>
      <c r="C842" s="11" t="s">
        <v>701</v>
      </c>
      <c r="D842" s="12">
        <v>520</v>
      </c>
      <c r="H842"/>
      <c r="I842"/>
    </row>
    <row r="843" spans="1:9" x14ac:dyDescent="0.25">
      <c r="A843" s="13" t="s">
        <v>320</v>
      </c>
      <c r="B843" s="11" t="s">
        <v>162</v>
      </c>
      <c r="C843" s="11" t="s">
        <v>702</v>
      </c>
      <c r="D843" s="12">
        <v>1105</v>
      </c>
      <c r="H843"/>
      <c r="I843"/>
    </row>
    <row r="844" spans="1:9" x14ac:dyDescent="0.25">
      <c r="A844" s="13" t="s">
        <v>340</v>
      </c>
      <c r="B844" s="11" t="s">
        <v>162</v>
      </c>
      <c r="C844" s="11" t="s">
        <v>701</v>
      </c>
      <c r="D844" s="12">
        <v>960</v>
      </c>
      <c r="H844"/>
      <c r="I844"/>
    </row>
    <row r="845" spans="1:9" x14ac:dyDescent="0.25">
      <c r="A845" s="13" t="s">
        <v>336</v>
      </c>
      <c r="B845" s="11" t="s">
        <v>162</v>
      </c>
      <c r="C845" s="11" t="s">
        <v>701</v>
      </c>
      <c r="D845" s="12">
        <v>705</v>
      </c>
    </row>
    <row r="846" spans="1:9" x14ac:dyDescent="0.25">
      <c r="A846" s="13" t="s">
        <v>166</v>
      </c>
      <c r="B846" s="11" t="s">
        <v>162</v>
      </c>
      <c r="C846" s="11" t="s">
        <v>702</v>
      </c>
      <c r="D846" s="12">
        <v>820</v>
      </c>
    </row>
    <row r="847" spans="1:9" x14ac:dyDescent="0.25">
      <c r="A847" s="13" t="s">
        <v>165</v>
      </c>
      <c r="B847" s="11" t="s">
        <v>162</v>
      </c>
      <c r="C847" s="11" t="s">
        <v>702</v>
      </c>
      <c r="D847" s="12">
        <v>895</v>
      </c>
    </row>
    <row r="848" spans="1:9" x14ac:dyDescent="0.25">
      <c r="A848" s="13" t="s">
        <v>341</v>
      </c>
      <c r="B848" s="11" t="s">
        <v>162</v>
      </c>
      <c r="C848" s="11" t="s">
        <v>702</v>
      </c>
      <c r="D848" s="12">
        <v>875</v>
      </c>
    </row>
    <row r="849" spans="1:4" x14ac:dyDescent="0.25">
      <c r="A849" s="13" t="s">
        <v>339</v>
      </c>
      <c r="B849" s="11" t="s">
        <v>162</v>
      </c>
      <c r="C849" s="11" t="s">
        <v>701</v>
      </c>
      <c r="D849" s="12">
        <v>635</v>
      </c>
    </row>
    <row r="850" spans="1:4" x14ac:dyDescent="0.25">
      <c r="A850" s="13" t="s">
        <v>338</v>
      </c>
      <c r="B850" s="11" t="s">
        <v>162</v>
      </c>
      <c r="C850" s="11" t="s">
        <v>701</v>
      </c>
      <c r="D850" s="12">
        <v>760</v>
      </c>
    </row>
    <row r="852" spans="1:4" x14ac:dyDescent="0.25">
      <c r="A852" s="13">
        <v>5590</v>
      </c>
      <c r="D852" s="12">
        <v>195</v>
      </c>
    </row>
  </sheetData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horizontalDpi="0" verticalDpi="0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4229E-B223-4E10-AD5D-7025C5B7EF3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FE068-A177-4D99-8272-3821CDC7A7D8}">
  <dimension ref="A1:G801"/>
  <sheetViews>
    <sheetView workbookViewId="0">
      <selection sqref="A1:F793"/>
    </sheetView>
  </sheetViews>
  <sheetFormatPr defaultRowHeight="17.25" x14ac:dyDescent="0.3"/>
  <cols>
    <col min="1" max="1" width="20.28515625" style="15" bestFit="1" customWidth="1"/>
    <col min="2" max="2" width="8.7109375" style="16" bestFit="1" customWidth="1"/>
    <col min="3" max="3" width="11.7109375" style="16" bestFit="1" customWidth="1"/>
    <col min="4" max="4" width="10.140625" style="17" bestFit="1" customWidth="1"/>
    <col min="5" max="5" width="10.42578125" style="17" bestFit="1" customWidth="1"/>
    <col min="6" max="6" width="11.42578125" style="17" bestFit="1" customWidth="1"/>
    <col min="7" max="7" width="12.42578125" style="17" bestFit="1" customWidth="1"/>
  </cols>
  <sheetData>
    <row r="1" spans="1:7" x14ac:dyDescent="0.3">
      <c r="A1" s="15" t="s">
        <v>696</v>
      </c>
      <c r="B1" s="16" t="s">
        <v>427</v>
      </c>
      <c r="C1" s="16" t="s">
        <v>503</v>
      </c>
      <c r="D1" s="17" t="s">
        <v>754</v>
      </c>
      <c r="E1"/>
      <c r="F1"/>
      <c r="G1"/>
    </row>
    <row r="2" spans="1:7" x14ac:dyDescent="0.3">
      <c r="A2" s="15">
        <v>120</v>
      </c>
      <c r="B2" s="16" t="s">
        <v>287</v>
      </c>
      <c r="C2" s="16" t="s">
        <v>167</v>
      </c>
      <c r="D2" s="17">
        <v>760</v>
      </c>
      <c r="E2"/>
      <c r="F2"/>
      <c r="G2"/>
    </row>
    <row r="3" spans="1:7" x14ac:dyDescent="0.3">
      <c r="A3" s="15">
        <v>121</v>
      </c>
      <c r="B3" s="16" t="s">
        <v>287</v>
      </c>
      <c r="C3" s="16" t="s">
        <v>497</v>
      </c>
      <c r="D3" s="17">
        <v>4685</v>
      </c>
      <c r="E3"/>
      <c r="F3"/>
      <c r="G3"/>
    </row>
    <row r="4" spans="1:7" x14ac:dyDescent="0.3">
      <c r="A4" s="15">
        <v>122</v>
      </c>
      <c r="B4" s="16" t="s">
        <v>287</v>
      </c>
      <c r="C4" s="16" t="s">
        <v>497</v>
      </c>
      <c r="D4" s="17">
        <v>1625</v>
      </c>
      <c r="E4"/>
      <c r="F4"/>
      <c r="G4"/>
    </row>
    <row r="5" spans="1:7" x14ac:dyDescent="0.3">
      <c r="A5" s="15">
        <v>123</v>
      </c>
      <c r="B5" s="16" t="s">
        <v>287</v>
      </c>
      <c r="C5" s="16" t="s">
        <v>497</v>
      </c>
      <c r="D5" s="17">
        <v>2155</v>
      </c>
      <c r="E5"/>
      <c r="F5"/>
      <c r="G5"/>
    </row>
    <row r="6" spans="1:7" x14ac:dyDescent="0.3">
      <c r="A6" s="15">
        <v>127</v>
      </c>
      <c r="B6" s="16" t="s">
        <v>287</v>
      </c>
      <c r="C6" s="16" t="s">
        <v>497</v>
      </c>
      <c r="D6" s="17">
        <v>1555</v>
      </c>
      <c r="E6"/>
      <c r="F6"/>
      <c r="G6"/>
    </row>
    <row r="7" spans="1:7" x14ac:dyDescent="0.3">
      <c r="A7" s="15">
        <v>150</v>
      </c>
      <c r="B7" s="16" t="s">
        <v>287</v>
      </c>
      <c r="C7" s="16" t="s">
        <v>497</v>
      </c>
      <c r="D7" s="17">
        <v>1930</v>
      </c>
      <c r="E7"/>
      <c r="F7"/>
      <c r="G7"/>
    </row>
    <row r="8" spans="1:7" x14ac:dyDescent="0.3">
      <c r="A8" s="15">
        <v>170</v>
      </c>
      <c r="B8" s="16" t="s">
        <v>287</v>
      </c>
      <c r="C8" s="16" t="s">
        <v>497</v>
      </c>
      <c r="D8" s="17">
        <v>1750</v>
      </c>
      <c r="E8"/>
      <c r="F8"/>
      <c r="G8"/>
    </row>
    <row r="9" spans="1:7" x14ac:dyDescent="0.3">
      <c r="A9" s="15">
        <v>190</v>
      </c>
      <c r="B9" s="16" t="s">
        <v>287</v>
      </c>
      <c r="C9" s="16" t="s">
        <v>167</v>
      </c>
      <c r="D9" s="17">
        <v>700</v>
      </c>
      <c r="E9"/>
      <c r="F9"/>
      <c r="G9"/>
    </row>
    <row r="10" spans="1:7" x14ac:dyDescent="0.3">
      <c r="A10" s="15">
        <v>191</v>
      </c>
      <c r="B10" s="16" t="s">
        <v>287</v>
      </c>
      <c r="C10" s="16" t="s">
        <v>700</v>
      </c>
      <c r="D10" s="17">
        <v>1045</v>
      </c>
      <c r="E10"/>
      <c r="F10"/>
      <c r="G10"/>
    </row>
    <row r="11" spans="1:7" x14ac:dyDescent="0.3">
      <c r="A11" s="15">
        <v>192</v>
      </c>
      <c r="B11" s="16" t="s">
        <v>287</v>
      </c>
      <c r="C11" s="16" t="s">
        <v>167</v>
      </c>
      <c r="D11" s="17">
        <v>695</v>
      </c>
      <c r="E11"/>
      <c r="F11"/>
      <c r="G11"/>
    </row>
    <row r="12" spans="1:7" x14ac:dyDescent="0.3">
      <c r="A12" s="15">
        <v>193</v>
      </c>
      <c r="B12" s="16" t="s">
        <v>287</v>
      </c>
      <c r="C12" s="16" t="s">
        <v>497</v>
      </c>
      <c r="D12" s="17">
        <v>3650</v>
      </c>
      <c r="E12"/>
      <c r="F12"/>
      <c r="G12"/>
    </row>
    <row r="13" spans="1:7" x14ac:dyDescent="0.3">
      <c r="A13" s="15">
        <v>194</v>
      </c>
      <c r="B13" s="16" t="s">
        <v>287</v>
      </c>
      <c r="C13" s="16" t="s">
        <v>497</v>
      </c>
      <c r="D13" s="17">
        <v>1710</v>
      </c>
      <c r="E13"/>
      <c r="F13"/>
      <c r="G13"/>
    </row>
    <row r="14" spans="1:7" x14ac:dyDescent="0.3">
      <c r="A14" s="15">
        <v>275</v>
      </c>
      <c r="B14" s="16" t="s">
        <v>287</v>
      </c>
      <c r="C14" s="16" t="s">
        <v>494</v>
      </c>
      <c r="D14" s="17">
        <v>290</v>
      </c>
      <c r="E14"/>
      <c r="F14"/>
      <c r="G14"/>
    </row>
    <row r="15" spans="1:7" x14ac:dyDescent="0.3">
      <c r="A15" s="15">
        <v>276</v>
      </c>
      <c r="B15" s="16" t="s">
        <v>287</v>
      </c>
      <c r="C15" s="16" t="s">
        <v>494</v>
      </c>
      <c r="D15" s="17">
        <v>190</v>
      </c>
      <c r="E15"/>
      <c r="F15"/>
      <c r="G15"/>
    </row>
    <row r="16" spans="1:7" x14ac:dyDescent="0.3">
      <c r="A16" s="15">
        <v>402</v>
      </c>
      <c r="B16" s="16" t="s">
        <v>287</v>
      </c>
      <c r="C16" s="16" t="s">
        <v>500</v>
      </c>
      <c r="D16" s="17">
        <v>295</v>
      </c>
      <c r="E16"/>
      <c r="F16"/>
      <c r="G16"/>
    </row>
    <row r="17" spans="1:7" x14ac:dyDescent="0.3">
      <c r="A17" s="15">
        <v>406</v>
      </c>
      <c r="B17" s="16" t="s">
        <v>287</v>
      </c>
      <c r="C17" s="16" t="s">
        <v>494</v>
      </c>
      <c r="D17" s="17">
        <v>185</v>
      </c>
      <c r="E17"/>
      <c r="F17"/>
      <c r="G17"/>
    </row>
    <row r="18" spans="1:7" x14ac:dyDescent="0.3">
      <c r="A18" s="15">
        <v>444</v>
      </c>
      <c r="B18" s="16" t="s">
        <v>287</v>
      </c>
      <c r="C18" s="16" t="s">
        <v>494</v>
      </c>
      <c r="D18" s="17">
        <v>175</v>
      </c>
      <c r="E18"/>
      <c r="F18"/>
      <c r="G18"/>
    </row>
    <row r="19" spans="1:7" x14ac:dyDescent="0.3">
      <c r="A19" s="15">
        <v>472</v>
      </c>
      <c r="B19" s="16" t="s">
        <v>287</v>
      </c>
      <c r="C19" s="16" t="s">
        <v>494</v>
      </c>
      <c r="D19" s="17">
        <v>265</v>
      </c>
      <c r="E19"/>
      <c r="F19"/>
      <c r="G19"/>
    </row>
    <row r="20" spans="1:7" x14ac:dyDescent="0.3">
      <c r="A20" s="15">
        <v>550</v>
      </c>
      <c r="B20" s="16" t="s">
        <v>287</v>
      </c>
      <c r="C20" s="16" t="s">
        <v>494</v>
      </c>
      <c r="D20" s="17">
        <v>405</v>
      </c>
      <c r="E20"/>
      <c r="F20"/>
      <c r="G20"/>
    </row>
    <row r="21" spans="1:7" x14ac:dyDescent="0.3">
      <c r="A21" s="15">
        <v>555</v>
      </c>
      <c r="B21" s="16" t="s">
        <v>287</v>
      </c>
      <c r="C21" s="16" t="s">
        <v>494</v>
      </c>
      <c r="D21" s="17">
        <v>215</v>
      </c>
      <c r="E21"/>
      <c r="F21"/>
      <c r="G21"/>
    </row>
    <row r="22" spans="1:7" x14ac:dyDescent="0.3">
      <c r="A22" s="15">
        <v>666</v>
      </c>
      <c r="B22" s="16" t="s">
        <v>287</v>
      </c>
      <c r="C22" s="16" t="s">
        <v>494</v>
      </c>
      <c r="D22" s="17">
        <v>255</v>
      </c>
      <c r="E22"/>
      <c r="F22"/>
      <c r="G22"/>
    </row>
    <row r="23" spans="1:7" x14ac:dyDescent="0.3">
      <c r="A23" s="15">
        <v>710</v>
      </c>
      <c r="B23" s="16" t="s">
        <v>287</v>
      </c>
      <c r="C23" s="16" t="s">
        <v>699</v>
      </c>
      <c r="D23" s="17">
        <v>570</v>
      </c>
      <c r="E23"/>
      <c r="F23"/>
      <c r="G23"/>
    </row>
    <row r="24" spans="1:7" x14ac:dyDescent="0.3">
      <c r="A24" s="15">
        <v>747</v>
      </c>
      <c r="B24" s="16" t="s">
        <v>287</v>
      </c>
      <c r="C24" s="16" t="s">
        <v>167</v>
      </c>
      <c r="D24" s="17">
        <v>560</v>
      </c>
      <c r="E24"/>
      <c r="F24"/>
      <c r="G24"/>
    </row>
    <row r="25" spans="1:7" x14ac:dyDescent="0.3">
      <c r="A25" s="15">
        <v>749</v>
      </c>
      <c r="B25" s="16" t="s">
        <v>287</v>
      </c>
      <c r="C25" s="16" t="s">
        <v>494</v>
      </c>
      <c r="D25" s="17">
        <v>430</v>
      </c>
      <c r="E25"/>
      <c r="F25"/>
      <c r="G25"/>
    </row>
    <row r="26" spans="1:7" x14ac:dyDescent="0.3">
      <c r="A26" s="15">
        <v>751</v>
      </c>
      <c r="B26" s="16" t="s">
        <v>287</v>
      </c>
      <c r="C26" s="16" t="s">
        <v>494</v>
      </c>
      <c r="D26" s="17">
        <v>350</v>
      </c>
      <c r="E26"/>
      <c r="F26"/>
      <c r="G26"/>
    </row>
    <row r="27" spans="1:7" x14ac:dyDescent="0.3">
      <c r="A27" s="15">
        <v>761</v>
      </c>
      <c r="B27" s="16" t="s">
        <v>287</v>
      </c>
      <c r="C27" s="16" t="s">
        <v>499</v>
      </c>
      <c r="D27" s="17">
        <v>290</v>
      </c>
      <c r="E27"/>
      <c r="F27"/>
      <c r="G27"/>
    </row>
    <row r="28" spans="1:7" x14ac:dyDescent="0.3">
      <c r="A28" s="15">
        <v>762</v>
      </c>
      <c r="B28" s="16" t="s">
        <v>287</v>
      </c>
      <c r="C28" s="16" t="s">
        <v>499</v>
      </c>
      <c r="D28" s="17">
        <v>290</v>
      </c>
      <c r="E28"/>
      <c r="F28"/>
      <c r="G28"/>
    </row>
    <row r="29" spans="1:7" x14ac:dyDescent="0.3">
      <c r="A29" s="15">
        <v>888</v>
      </c>
      <c r="B29" s="16" t="s">
        <v>287</v>
      </c>
      <c r="C29" s="16" t="s">
        <v>494</v>
      </c>
      <c r="D29" s="17">
        <v>350</v>
      </c>
      <c r="E29"/>
      <c r="F29"/>
      <c r="G29"/>
    </row>
    <row r="30" spans="1:7" x14ac:dyDescent="0.3">
      <c r="A30" s="15">
        <v>910</v>
      </c>
      <c r="B30" s="16" t="s">
        <v>287</v>
      </c>
      <c r="C30" s="16" t="s">
        <v>699</v>
      </c>
      <c r="D30" s="17">
        <v>870</v>
      </c>
      <c r="E30"/>
      <c r="F30"/>
      <c r="G30"/>
    </row>
    <row r="31" spans="1:7" x14ac:dyDescent="0.3">
      <c r="A31" s="15">
        <v>1000</v>
      </c>
      <c r="B31" s="16" t="s">
        <v>287</v>
      </c>
      <c r="C31" s="16" t="s">
        <v>699</v>
      </c>
      <c r="D31" s="17">
        <v>1030</v>
      </c>
      <c r="E31"/>
      <c r="F31"/>
      <c r="G31"/>
    </row>
    <row r="32" spans="1:7" x14ac:dyDescent="0.3">
      <c r="A32" s="15">
        <v>1010</v>
      </c>
      <c r="B32" s="16" t="s">
        <v>287</v>
      </c>
      <c r="C32" s="16" t="s">
        <v>699</v>
      </c>
      <c r="D32" s="17">
        <v>815</v>
      </c>
      <c r="E32"/>
      <c r="F32"/>
      <c r="G32"/>
    </row>
    <row r="33" spans="1:7" x14ac:dyDescent="0.3">
      <c r="A33" s="15">
        <v>1111</v>
      </c>
      <c r="B33" s="16" t="s">
        <v>287</v>
      </c>
      <c r="C33" s="16" t="s">
        <v>494</v>
      </c>
      <c r="D33" s="17">
        <v>430</v>
      </c>
      <c r="E33"/>
      <c r="F33"/>
      <c r="G33"/>
    </row>
    <row r="34" spans="1:7" x14ac:dyDescent="0.3">
      <c r="A34" s="15">
        <v>1200</v>
      </c>
      <c r="B34" s="16" t="s">
        <v>287</v>
      </c>
      <c r="C34" s="16" t="s">
        <v>167</v>
      </c>
      <c r="D34" s="17">
        <v>870</v>
      </c>
      <c r="E34"/>
      <c r="F34"/>
      <c r="G34"/>
    </row>
    <row r="35" spans="1:7" x14ac:dyDescent="0.3">
      <c r="A35" s="15">
        <v>1211</v>
      </c>
      <c r="B35" s="16" t="s">
        <v>287</v>
      </c>
      <c r="C35" s="16" t="s">
        <v>497</v>
      </c>
      <c r="D35" s="17">
        <v>2750</v>
      </c>
      <c r="E35"/>
      <c r="F35"/>
      <c r="G35"/>
    </row>
    <row r="36" spans="1:7" x14ac:dyDescent="0.3">
      <c r="A36" s="15">
        <v>1212</v>
      </c>
      <c r="B36" s="16" t="s">
        <v>287</v>
      </c>
      <c r="C36" s="16" t="s">
        <v>497</v>
      </c>
      <c r="D36" s="17">
        <v>1980</v>
      </c>
      <c r="E36"/>
      <c r="F36"/>
      <c r="G36"/>
    </row>
    <row r="37" spans="1:7" x14ac:dyDescent="0.3">
      <c r="A37" s="15">
        <v>1213</v>
      </c>
      <c r="B37" s="16" t="s">
        <v>287</v>
      </c>
      <c r="C37" s="16" t="s">
        <v>497</v>
      </c>
      <c r="D37" s="17">
        <v>2615</v>
      </c>
      <c r="E37"/>
      <c r="F37"/>
      <c r="G37"/>
    </row>
    <row r="38" spans="1:7" x14ac:dyDescent="0.3">
      <c r="A38" s="15">
        <v>1214</v>
      </c>
      <c r="B38" s="16" t="s">
        <v>680</v>
      </c>
      <c r="C38" s="16" t="s">
        <v>497</v>
      </c>
      <c r="D38" s="17">
        <v>3795</v>
      </c>
      <c r="E38"/>
      <c r="F38"/>
      <c r="G38"/>
    </row>
    <row r="39" spans="1:7" x14ac:dyDescent="0.3">
      <c r="A39" s="15">
        <v>1400</v>
      </c>
      <c r="B39" s="16" t="s">
        <v>287</v>
      </c>
      <c r="C39" s="16" t="s">
        <v>167</v>
      </c>
      <c r="D39" s="17">
        <v>285</v>
      </c>
      <c r="E39"/>
      <c r="F39"/>
      <c r="G39"/>
    </row>
    <row r="40" spans="1:7" x14ac:dyDescent="0.3">
      <c r="A40" s="15">
        <v>1600</v>
      </c>
      <c r="B40" s="16" t="s">
        <v>287</v>
      </c>
      <c r="C40" s="16" t="s">
        <v>167</v>
      </c>
      <c r="D40" s="17">
        <v>405</v>
      </c>
      <c r="E40"/>
      <c r="F40"/>
      <c r="G40"/>
    </row>
    <row r="41" spans="1:7" x14ac:dyDescent="0.3">
      <c r="A41" s="15">
        <v>1651</v>
      </c>
      <c r="B41" s="16" t="s">
        <v>287</v>
      </c>
      <c r="C41" s="16" t="s">
        <v>699</v>
      </c>
      <c r="D41" s="17">
        <v>1315</v>
      </c>
      <c r="E41"/>
      <c r="F41"/>
      <c r="G41"/>
    </row>
    <row r="42" spans="1:7" x14ac:dyDescent="0.3">
      <c r="A42" s="15">
        <v>1800</v>
      </c>
      <c r="B42" s="16" t="s">
        <v>287</v>
      </c>
      <c r="C42" s="16" t="s">
        <v>167</v>
      </c>
      <c r="D42" s="17">
        <v>605</v>
      </c>
      <c r="E42"/>
      <c r="F42"/>
      <c r="G42"/>
    </row>
    <row r="43" spans="1:7" x14ac:dyDescent="0.3">
      <c r="A43" s="15">
        <v>2010</v>
      </c>
      <c r="B43" s="16" t="s">
        <v>287</v>
      </c>
      <c r="C43" s="16" t="s">
        <v>167</v>
      </c>
      <c r="D43" s="17">
        <v>770</v>
      </c>
      <c r="E43"/>
      <c r="F43"/>
      <c r="G43"/>
    </row>
    <row r="44" spans="1:7" x14ac:dyDescent="0.3">
      <c r="A44" s="15">
        <v>2011</v>
      </c>
      <c r="B44" s="16" t="s">
        <v>287</v>
      </c>
      <c r="C44" s="16" t="s">
        <v>167</v>
      </c>
      <c r="D44" s="17">
        <v>760</v>
      </c>
      <c r="E44"/>
      <c r="F44"/>
      <c r="G44"/>
    </row>
    <row r="45" spans="1:7" x14ac:dyDescent="0.3">
      <c r="A45" s="15">
        <v>2400</v>
      </c>
      <c r="B45" s="16" t="s">
        <v>287</v>
      </c>
      <c r="C45" s="16" t="s">
        <v>699</v>
      </c>
      <c r="D45" s="17">
        <v>1375</v>
      </c>
      <c r="E45"/>
      <c r="F45"/>
      <c r="G45"/>
    </row>
    <row r="46" spans="1:7" x14ac:dyDescent="0.3">
      <c r="A46" s="15">
        <v>2451</v>
      </c>
      <c r="B46" s="16" t="s">
        <v>287</v>
      </c>
      <c r="C46" s="16" t="s">
        <v>699</v>
      </c>
      <c r="D46" s="17">
        <v>1925</v>
      </c>
      <c r="E46"/>
      <c r="F46"/>
      <c r="G46"/>
    </row>
    <row r="47" spans="1:7" x14ac:dyDescent="0.3">
      <c r="A47" s="15">
        <v>2751</v>
      </c>
      <c r="B47" s="16" t="s">
        <v>287</v>
      </c>
      <c r="C47" s="16" t="s">
        <v>494</v>
      </c>
      <c r="D47" s="17">
        <v>205</v>
      </c>
      <c r="E47"/>
      <c r="F47"/>
      <c r="G47"/>
    </row>
    <row r="48" spans="1:7" x14ac:dyDescent="0.3">
      <c r="A48" s="15">
        <v>2752</v>
      </c>
      <c r="B48" s="16" t="s">
        <v>287</v>
      </c>
      <c r="C48" s="16" t="s">
        <v>494</v>
      </c>
      <c r="D48" s="17">
        <v>245</v>
      </c>
      <c r="E48"/>
      <c r="F48"/>
      <c r="G48"/>
    </row>
    <row r="49" spans="1:7" x14ac:dyDescent="0.3">
      <c r="A49" s="15">
        <v>2753</v>
      </c>
      <c r="B49" s="16" t="s">
        <v>287</v>
      </c>
      <c r="C49" s="16" t="s">
        <v>494</v>
      </c>
      <c r="D49" s="17">
        <v>345</v>
      </c>
      <c r="E49"/>
      <c r="F49"/>
      <c r="G49"/>
    </row>
    <row r="50" spans="1:7" x14ac:dyDescent="0.3">
      <c r="A50" s="15">
        <v>2754</v>
      </c>
      <c r="B50" s="16" t="s">
        <v>287</v>
      </c>
      <c r="C50" s="16" t="s">
        <v>494</v>
      </c>
      <c r="D50" s="17">
        <v>195</v>
      </c>
      <c r="E50"/>
      <c r="F50"/>
      <c r="G50"/>
    </row>
    <row r="51" spans="1:7" x14ac:dyDescent="0.3">
      <c r="A51" s="15">
        <v>2755</v>
      </c>
      <c r="B51" s="16" t="s">
        <v>287</v>
      </c>
      <c r="C51" s="16" t="s">
        <v>494</v>
      </c>
      <c r="D51" s="17">
        <v>210</v>
      </c>
      <c r="E51"/>
      <c r="F51"/>
      <c r="G51"/>
    </row>
    <row r="52" spans="1:7" x14ac:dyDescent="0.3">
      <c r="A52" s="15">
        <v>2756</v>
      </c>
      <c r="B52" s="16" t="s">
        <v>287</v>
      </c>
      <c r="C52" s="16" t="s">
        <v>494</v>
      </c>
      <c r="D52" s="17">
        <v>165</v>
      </c>
      <c r="E52"/>
      <c r="F52"/>
      <c r="G52"/>
    </row>
    <row r="53" spans="1:7" x14ac:dyDescent="0.3">
      <c r="A53" s="15">
        <v>2757</v>
      </c>
      <c r="B53" s="16" t="s">
        <v>287</v>
      </c>
      <c r="C53" s="16" t="s">
        <v>494</v>
      </c>
      <c r="D53" s="17">
        <v>175</v>
      </c>
      <c r="E53"/>
      <c r="F53"/>
      <c r="G53"/>
    </row>
    <row r="54" spans="1:7" x14ac:dyDescent="0.3">
      <c r="A54" s="15">
        <v>2758</v>
      </c>
      <c r="B54" s="16" t="s">
        <v>287</v>
      </c>
      <c r="C54" s="16" t="s">
        <v>494</v>
      </c>
      <c r="D54" s="17">
        <v>150</v>
      </c>
      <c r="E54"/>
      <c r="F54"/>
      <c r="G54"/>
    </row>
    <row r="55" spans="1:7" x14ac:dyDescent="0.3">
      <c r="A55" s="15">
        <v>2759</v>
      </c>
      <c r="B55" s="16" t="s">
        <v>287</v>
      </c>
      <c r="C55" s="16" t="s">
        <v>494</v>
      </c>
      <c r="D55" s="17">
        <v>210</v>
      </c>
      <c r="E55"/>
      <c r="F55"/>
      <c r="G55"/>
    </row>
    <row r="56" spans="1:7" x14ac:dyDescent="0.3">
      <c r="A56" s="15">
        <v>2760</v>
      </c>
      <c r="B56" s="16" t="s">
        <v>287</v>
      </c>
      <c r="C56" s="16" t="s">
        <v>494</v>
      </c>
      <c r="D56" s="17">
        <v>210</v>
      </c>
      <c r="E56"/>
      <c r="F56"/>
      <c r="G56"/>
    </row>
    <row r="57" spans="1:7" x14ac:dyDescent="0.3">
      <c r="A57" s="15">
        <v>2766</v>
      </c>
      <c r="B57" s="16" t="s">
        <v>287</v>
      </c>
      <c r="C57" s="16" t="s">
        <v>494</v>
      </c>
      <c r="D57" s="17">
        <v>205</v>
      </c>
      <c r="E57"/>
      <c r="F57"/>
      <c r="G57"/>
    </row>
    <row r="58" spans="1:7" x14ac:dyDescent="0.3">
      <c r="A58" s="15">
        <v>4502</v>
      </c>
      <c r="B58" s="16" t="s">
        <v>287</v>
      </c>
      <c r="C58" s="16" t="s">
        <v>494</v>
      </c>
      <c r="D58" s="17">
        <v>245</v>
      </c>
      <c r="E58"/>
      <c r="F58"/>
      <c r="G58"/>
    </row>
    <row r="59" spans="1:7" x14ac:dyDescent="0.3">
      <c r="A59" s="15">
        <v>4503</v>
      </c>
      <c r="B59" s="16" t="s">
        <v>287</v>
      </c>
      <c r="C59" s="16" t="s">
        <v>494</v>
      </c>
      <c r="D59" s="17">
        <v>175</v>
      </c>
      <c r="E59"/>
      <c r="F59"/>
      <c r="G59"/>
    </row>
    <row r="60" spans="1:7" x14ac:dyDescent="0.3">
      <c r="A60" s="15">
        <v>4509</v>
      </c>
      <c r="B60" s="16" t="s">
        <v>287</v>
      </c>
      <c r="C60" s="16" t="s">
        <v>494</v>
      </c>
      <c r="D60" s="17">
        <v>95</v>
      </c>
      <c r="E60"/>
      <c r="F60"/>
      <c r="G60"/>
    </row>
    <row r="61" spans="1:7" x14ac:dyDescent="0.3">
      <c r="A61" s="15" t="s">
        <v>1018</v>
      </c>
      <c r="B61" s="16" t="s">
        <v>287</v>
      </c>
      <c r="C61" s="16" t="s">
        <v>494</v>
      </c>
      <c r="D61" s="17">
        <v>315</v>
      </c>
      <c r="E61"/>
      <c r="F61"/>
      <c r="G61"/>
    </row>
    <row r="62" spans="1:7" x14ac:dyDescent="0.3">
      <c r="A62" s="15" t="s">
        <v>1017</v>
      </c>
      <c r="B62" s="16" t="s">
        <v>287</v>
      </c>
      <c r="C62" s="16" t="s">
        <v>494</v>
      </c>
      <c r="D62" s="17">
        <v>240</v>
      </c>
      <c r="E62"/>
      <c r="F62"/>
      <c r="G62"/>
    </row>
    <row r="63" spans="1:7" x14ac:dyDescent="0.3">
      <c r="A63" s="15" t="s">
        <v>1016</v>
      </c>
      <c r="B63" s="16" t="s">
        <v>287</v>
      </c>
      <c r="C63" s="16" t="s">
        <v>494</v>
      </c>
      <c r="D63" s="17">
        <v>275</v>
      </c>
      <c r="E63"/>
      <c r="F63"/>
      <c r="G63"/>
    </row>
    <row r="64" spans="1:7" x14ac:dyDescent="0.3">
      <c r="A64" s="15" t="s">
        <v>1019</v>
      </c>
      <c r="B64" s="16" t="s">
        <v>287</v>
      </c>
      <c r="C64" s="16" t="s">
        <v>494</v>
      </c>
      <c r="D64" s="17">
        <v>430</v>
      </c>
      <c r="E64"/>
      <c r="F64"/>
      <c r="G64"/>
    </row>
    <row r="65" spans="1:7" x14ac:dyDescent="0.3">
      <c r="A65" s="15" t="s">
        <v>1023</v>
      </c>
      <c r="B65" s="16" t="s">
        <v>287</v>
      </c>
      <c r="C65" s="16" t="s">
        <v>494</v>
      </c>
      <c r="D65" s="17">
        <v>265</v>
      </c>
      <c r="E65"/>
      <c r="F65"/>
      <c r="G65"/>
    </row>
    <row r="66" spans="1:7" x14ac:dyDescent="0.3">
      <c r="A66" s="15" t="s">
        <v>553</v>
      </c>
      <c r="B66" s="16" t="s">
        <v>287</v>
      </c>
      <c r="C66" s="16" t="s">
        <v>494</v>
      </c>
      <c r="D66" s="17">
        <v>140</v>
      </c>
      <c r="E66"/>
      <c r="F66"/>
      <c r="G66"/>
    </row>
    <row r="67" spans="1:7" x14ac:dyDescent="0.3">
      <c r="A67" s="15" t="s">
        <v>554</v>
      </c>
      <c r="B67" s="16" t="s">
        <v>287</v>
      </c>
      <c r="C67" s="16" t="s">
        <v>494</v>
      </c>
      <c r="D67" s="17">
        <v>215</v>
      </c>
      <c r="E67"/>
      <c r="F67"/>
      <c r="G67"/>
    </row>
    <row r="68" spans="1:7" x14ac:dyDescent="0.3">
      <c r="A68" s="15" t="s">
        <v>555</v>
      </c>
      <c r="B68" s="16" t="s">
        <v>287</v>
      </c>
      <c r="C68" s="16" t="s">
        <v>494</v>
      </c>
      <c r="D68" s="17">
        <v>205</v>
      </c>
      <c r="E68"/>
      <c r="F68"/>
      <c r="G68"/>
    </row>
    <row r="69" spans="1:7" x14ac:dyDescent="0.3">
      <c r="A69" s="15" t="s">
        <v>557</v>
      </c>
      <c r="B69" s="16" t="s">
        <v>287</v>
      </c>
      <c r="C69" s="16" t="s">
        <v>494</v>
      </c>
      <c r="D69" s="17">
        <v>240</v>
      </c>
      <c r="E69"/>
      <c r="F69"/>
      <c r="G69"/>
    </row>
    <row r="70" spans="1:7" x14ac:dyDescent="0.3">
      <c r="A70" s="15" t="s">
        <v>556</v>
      </c>
      <c r="B70" s="16" t="s">
        <v>287</v>
      </c>
      <c r="C70" s="16" t="s">
        <v>494</v>
      </c>
      <c r="D70" s="17">
        <v>395</v>
      </c>
      <c r="E70"/>
      <c r="F70"/>
      <c r="G70"/>
    </row>
    <row r="71" spans="1:7" x14ac:dyDescent="0.3">
      <c r="A71" s="15" t="s">
        <v>558</v>
      </c>
      <c r="B71" s="16" t="s">
        <v>287</v>
      </c>
      <c r="C71" s="16" t="s">
        <v>494</v>
      </c>
      <c r="D71" s="17">
        <v>300</v>
      </c>
      <c r="E71"/>
      <c r="F71"/>
      <c r="G71"/>
    </row>
    <row r="72" spans="1:7" x14ac:dyDescent="0.3">
      <c r="A72" s="15" t="s">
        <v>559</v>
      </c>
      <c r="B72" s="16" t="s">
        <v>287</v>
      </c>
      <c r="C72" s="16" t="s">
        <v>494</v>
      </c>
      <c r="D72" s="17">
        <v>335</v>
      </c>
      <c r="E72"/>
      <c r="F72"/>
      <c r="G72"/>
    </row>
    <row r="73" spans="1:7" x14ac:dyDescent="0.3">
      <c r="A73" s="15" t="s">
        <v>1024</v>
      </c>
      <c r="B73" s="16" t="s">
        <v>287</v>
      </c>
      <c r="C73" s="16" t="s">
        <v>494</v>
      </c>
      <c r="D73" s="17">
        <v>265</v>
      </c>
      <c r="E73"/>
      <c r="F73"/>
      <c r="G73"/>
    </row>
    <row r="74" spans="1:7" x14ac:dyDescent="0.3">
      <c r="A74" s="15" t="s">
        <v>114</v>
      </c>
      <c r="B74" s="16" t="s">
        <v>287</v>
      </c>
      <c r="C74" s="16" t="s">
        <v>494</v>
      </c>
      <c r="D74" s="17">
        <v>430</v>
      </c>
      <c r="E74"/>
      <c r="F74"/>
      <c r="G74"/>
    </row>
    <row r="75" spans="1:7" x14ac:dyDescent="0.3">
      <c r="A75" s="15" t="s">
        <v>63</v>
      </c>
      <c r="B75" s="16" t="s">
        <v>31</v>
      </c>
      <c r="C75" s="16" t="s">
        <v>31</v>
      </c>
      <c r="D75" s="17">
        <v>135</v>
      </c>
      <c r="E75"/>
      <c r="F75"/>
      <c r="G75"/>
    </row>
    <row r="76" spans="1:7" x14ac:dyDescent="0.3">
      <c r="A76" s="15">
        <v>847</v>
      </c>
      <c r="B76" s="16" t="s">
        <v>938</v>
      </c>
      <c r="C76" s="16" t="s">
        <v>494</v>
      </c>
      <c r="D76" s="17">
        <v>1220</v>
      </c>
      <c r="E76"/>
      <c r="F76"/>
      <c r="G76"/>
    </row>
    <row r="77" spans="1:7" x14ac:dyDescent="0.3">
      <c r="A77" s="15" t="s">
        <v>362</v>
      </c>
      <c r="B77" s="16" t="s">
        <v>153</v>
      </c>
      <c r="C77" s="16" t="s">
        <v>31</v>
      </c>
      <c r="D77" s="17">
        <v>340</v>
      </c>
      <c r="E77"/>
      <c r="F77"/>
      <c r="G77"/>
    </row>
    <row r="78" spans="1:7" x14ac:dyDescent="0.3">
      <c r="A78" s="15" t="s">
        <v>408</v>
      </c>
      <c r="B78" s="16" t="s">
        <v>153</v>
      </c>
      <c r="C78" s="16" t="s">
        <v>496</v>
      </c>
      <c r="D78" s="17">
        <v>550</v>
      </c>
      <c r="E78"/>
      <c r="F78"/>
      <c r="G78"/>
    </row>
    <row r="79" spans="1:7" x14ac:dyDescent="0.3">
      <c r="A79" s="15" t="s">
        <v>152</v>
      </c>
      <c r="B79" s="16" t="s">
        <v>153</v>
      </c>
      <c r="C79" s="16" t="s">
        <v>496</v>
      </c>
      <c r="D79" s="17">
        <v>400</v>
      </c>
      <c r="E79"/>
      <c r="F79"/>
      <c r="G79"/>
    </row>
    <row r="80" spans="1:7" x14ac:dyDescent="0.3">
      <c r="A80" s="15" t="s">
        <v>370</v>
      </c>
      <c r="B80" s="16" t="s">
        <v>153</v>
      </c>
      <c r="C80" s="16" t="s">
        <v>496</v>
      </c>
      <c r="D80" s="17">
        <v>445</v>
      </c>
      <c r="E80"/>
      <c r="F80"/>
      <c r="G80"/>
    </row>
    <row r="81" spans="1:7" x14ac:dyDescent="0.3">
      <c r="A81" s="15" t="s">
        <v>151</v>
      </c>
      <c r="B81" s="16" t="s">
        <v>153</v>
      </c>
      <c r="C81" s="16" t="s">
        <v>496</v>
      </c>
      <c r="D81" s="17">
        <v>455</v>
      </c>
      <c r="E81"/>
      <c r="F81"/>
      <c r="G81"/>
    </row>
    <row r="82" spans="1:7" x14ac:dyDescent="0.3">
      <c r="A82" s="15">
        <v>5201</v>
      </c>
      <c r="B82" s="16" t="s">
        <v>501</v>
      </c>
      <c r="C82" s="16" t="s">
        <v>494</v>
      </c>
      <c r="D82" s="17">
        <v>300</v>
      </c>
      <c r="E82"/>
      <c r="F82"/>
      <c r="G82"/>
    </row>
    <row r="83" spans="1:7" x14ac:dyDescent="0.3">
      <c r="A83" s="15">
        <v>101</v>
      </c>
      <c r="B83" s="16" t="s">
        <v>284</v>
      </c>
      <c r="C83" s="16" t="s">
        <v>698</v>
      </c>
      <c r="D83" s="17">
        <v>580</v>
      </c>
      <c r="E83"/>
      <c r="F83"/>
      <c r="G83"/>
    </row>
    <row r="84" spans="1:7" x14ac:dyDescent="0.3">
      <c r="A84" s="15">
        <v>102</v>
      </c>
      <c r="B84" s="16" t="s">
        <v>284</v>
      </c>
      <c r="C84" s="16" t="s">
        <v>699</v>
      </c>
      <c r="D84" s="17">
        <v>575</v>
      </c>
      <c r="E84"/>
      <c r="F84"/>
      <c r="G84"/>
    </row>
    <row r="85" spans="1:7" x14ac:dyDescent="0.3">
      <c r="A85" s="15">
        <v>105</v>
      </c>
      <c r="B85" s="16" t="s">
        <v>284</v>
      </c>
      <c r="C85" s="16" t="s">
        <v>497</v>
      </c>
      <c r="D85" s="17">
        <v>17460</v>
      </c>
      <c r="E85"/>
      <c r="F85"/>
      <c r="G85"/>
    </row>
    <row r="86" spans="1:7" x14ac:dyDescent="0.3">
      <c r="A86" s="15">
        <v>106</v>
      </c>
      <c r="B86" s="16" t="s">
        <v>284</v>
      </c>
      <c r="C86" s="16" t="s">
        <v>497</v>
      </c>
      <c r="D86" s="17">
        <v>11885</v>
      </c>
      <c r="E86"/>
      <c r="F86"/>
      <c r="G86"/>
    </row>
    <row r="87" spans="1:7" x14ac:dyDescent="0.3">
      <c r="A87" s="15">
        <v>107</v>
      </c>
      <c r="B87" s="16" t="s">
        <v>277</v>
      </c>
      <c r="C87" s="16" t="s">
        <v>497</v>
      </c>
      <c r="D87" s="17">
        <v>3780</v>
      </c>
      <c r="E87"/>
      <c r="F87"/>
      <c r="G87"/>
    </row>
    <row r="88" spans="1:7" x14ac:dyDescent="0.3">
      <c r="A88" s="15">
        <v>108</v>
      </c>
      <c r="B88" s="16" t="s">
        <v>277</v>
      </c>
      <c r="C88" s="16" t="s">
        <v>497</v>
      </c>
      <c r="D88" s="17">
        <v>5185</v>
      </c>
      <c r="E88"/>
      <c r="F88"/>
      <c r="G88"/>
    </row>
    <row r="89" spans="1:7" x14ac:dyDescent="0.3">
      <c r="A89" s="15">
        <v>109</v>
      </c>
      <c r="B89" s="16" t="s">
        <v>284</v>
      </c>
      <c r="C89" s="16" t="s">
        <v>497</v>
      </c>
      <c r="D89" s="17">
        <v>11895</v>
      </c>
      <c r="E89"/>
      <c r="F89"/>
      <c r="G89"/>
    </row>
    <row r="90" spans="1:7" x14ac:dyDescent="0.3">
      <c r="A90" s="15">
        <v>110</v>
      </c>
      <c r="B90" s="16" t="s">
        <v>277</v>
      </c>
      <c r="C90" s="16" t="s">
        <v>497</v>
      </c>
      <c r="D90" s="17">
        <v>5310</v>
      </c>
      <c r="E90"/>
      <c r="F90"/>
      <c r="G90"/>
    </row>
    <row r="91" spans="1:7" x14ac:dyDescent="0.3">
      <c r="A91" s="15">
        <v>112</v>
      </c>
      <c r="B91" s="16" t="s">
        <v>284</v>
      </c>
      <c r="C91" s="16" t="s">
        <v>497</v>
      </c>
      <c r="D91" s="17">
        <v>6320</v>
      </c>
      <c r="E91"/>
      <c r="F91"/>
      <c r="G91"/>
    </row>
    <row r="92" spans="1:7" x14ac:dyDescent="0.3">
      <c r="A92" s="15">
        <v>113</v>
      </c>
      <c r="B92" s="16" t="s">
        <v>277</v>
      </c>
      <c r="C92" s="16" t="s">
        <v>497</v>
      </c>
      <c r="D92" s="17">
        <v>7395</v>
      </c>
      <c r="E92"/>
      <c r="F92"/>
      <c r="G92"/>
    </row>
    <row r="93" spans="1:7" x14ac:dyDescent="0.3">
      <c r="A93" s="15">
        <v>114</v>
      </c>
      <c r="B93" s="16" t="s">
        <v>277</v>
      </c>
      <c r="C93" s="16" t="s">
        <v>494</v>
      </c>
      <c r="D93" s="17">
        <v>455</v>
      </c>
      <c r="E93"/>
      <c r="F93"/>
      <c r="G93"/>
    </row>
    <row r="94" spans="1:7" x14ac:dyDescent="0.3">
      <c r="A94" s="15">
        <v>115</v>
      </c>
      <c r="B94" s="16" t="s">
        <v>284</v>
      </c>
      <c r="C94" s="16" t="s">
        <v>497</v>
      </c>
      <c r="D94" s="17">
        <v>1935</v>
      </c>
      <c r="E94"/>
      <c r="F94"/>
      <c r="G94"/>
    </row>
    <row r="95" spans="1:7" x14ac:dyDescent="0.3">
      <c r="A95" s="15">
        <v>116</v>
      </c>
      <c r="B95" s="16" t="s">
        <v>277</v>
      </c>
      <c r="C95" s="16" t="s">
        <v>497</v>
      </c>
      <c r="D95" s="17">
        <v>5865</v>
      </c>
      <c r="E95"/>
      <c r="F95"/>
      <c r="G95"/>
    </row>
    <row r="96" spans="1:7" x14ac:dyDescent="0.3">
      <c r="A96" s="15">
        <v>117</v>
      </c>
      <c r="B96" s="16" t="s">
        <v>284</v>
      </c>
      <c r="C96" s="16" t="s">
        <v>497</v>
      </c>
      <c r="D96" s="17">
        <v>3170</v>
      </c>
      <c r="E96"/>
      <c r="F96"/>
      <c r="G96"/>
    </row>
    <row r="97" spans="1:7" x14ac:dyDescent="0.3">
      <c r="A97" s="15">
        <v>118</v>
      </c>
      <c r="B97" s="16" t="s">
        <v>284</v>
      </c>
      <c r="C97" s="16" t="s">
        <v>497</v>
      </c>
      <c r="D97" s="17">
        <v>3865</v>
      </c>
      <c r="E97"/>
      <c r="F97"/>
      <c r="G97"/>
    </row>
    <row r="98" spans="1:7" x14ac:dyDescent="0.3">
      <c r="A98" s="15">
        <v>119</v>
      </c>
      <c r="B98" s="16" t="s">
        <v>277</v>
      </c>
      <c r="C98" s="16" t="s">
        <v>497</v>
      </c>
      <c r="D98" s="17">
        <v>1800</v>
      </c>
      <c r="E98"/>
      <c r="F98"/>
      <c r="G98"/>
    </row>
    <row r="99" spans="1:7" x14ac:dyDescent="0.3">
      <c r="A99" s="15">
        <v>124</v>
      </c>
      <c r="B99" s="16" t="s">
        <v>277</v>
      </c>
      <c r="C99" s="16" t="s">
        <v>497</v>
      </c>
      <c r="D99" s="17">
        <v>4195</v>
      </c>
      <c r="E99"/>
      <c r="F99"/>
      <c r="G99"/>
    </row>
    <row r="100" spans="1:7" x14ac:dyDescent="0.3">
      <c r="A100" s="15">
        <v>125</v>
      </c>
      <c r="B100" s="16" t="s">
        <v>277</v>
      </c>
      <c r="C100" s="16" t="s">
        <v>497</v>
      </c>
      <c r="D100" s="17">
        <v>6715</v>
      </c>
      <c r="E100"/>
      <c r="F100"/>
      <c r="G100"/>
    </row>
    <row r="101" spans="1:7" x14ac:dyDescent="0.3">
      <c r="A101" s="15">
        <v>126</v>
      </c>
      <c r="B101" s="16" t="s">
        <v>277</v>
      </c>
      <c r="C101" s="16" t="s">
        <v>497</v>
      </c>
      <c r="D101" s="17">
        <v>2805</v>
      </c>
      <c r="E101"/>
      <c r="F101"/>
      <c r="G101"/>
    </row>
    <row r="102" spans="1:7" x14ac:dyDescent="0.3">
      <c r="A102" s="15">
        <v>128</v>
      </c>
      <c r="B102" s="16" t="s">
        <v>284</v>
      </c>
      <c r="C102" s="16" t="s">
        <v>497</v>
      </c>
      <c r="D102" s="17">
        <v>2945</v>
      </c>
      <c r="E102"/>
      <c r="F102"/>
      <c r="G102"/>
    </row>
    <row r="103" spans="1:7" x14ac:dyDescent="0.3">
      <c r="A103" s="15">
        <v>129</v>
      </c>
      <c r="B103" s="16" t="s">
        <v>277</v>
      </c>
      <c r="C103" s="16" t="s">
        <v>497</v>
      </c>
      <c r="D103" s="17">
        <v>2945</v>
      </c>
      <c r="E103"/>
      <c r="F103"/>
      <c r="G103"/>
    </row>
    <row r="104" spans="1:7" x14ac:dyDescent="0.3">
      <c r="A104" s="15">
        <v>130</v>
      </c>
      <c r="B104" s="16" t="s">
        <v>284</v>
      </c>
      <c r="C104" s="16" t="s">
        <v>497</v>
      </c>
      <c r="D104" s="17">
        <v>2530</v>
      </c>
      <c r="E104"/>
      <c r="F104"/>
      <c r="G104"/>
    </row>
    <row r="105" spans="1:7" x14ac:dyDescent="0.3">
      <c r="A105" s="15">
        <v>131</v>
      </c>
      <c r="B105" s="16" t="s">
        <v>277</v>
      </c>
      <c r="C105" s="16" t="s">
        <v>497</v>
      </c>
      <c r="D105" s="17">
        <v>4195</v>
      </c>
      <c r="E105"/>
      <c r="F105"/>
      <c r="G105"/>
    </row>
    <row r="106" spans="1:7" x14ac:dyDescent="0.3">
      <c r="A106" s="15">
        <v>132</v>
      </c>
      <c r="B106" s="16" t="s">
        <v>284</v>
      </c>
      <c r="C106" s="16" t="s">
        <v>497</v>
      </c>
      <c r="D106" s="17">
        <v>2390</v>
      </c>
      <c r="E106"/>
      <c r="F106"/>
      <c r="G106"/>
    </row>
    <row r="107" spans="1:7" x14ac:dyDescent="0.3">
      <c r="A107" s="15">
        <v>133</v>
      </c>
      <c r="B107" s="16" t="s">
        <v>277</v>
      </c>
      <c r="C107" s="16" t="s">
        <v>497</v>
      </c>
      <c r="D107" s="17">
        <v>8370</v>
      </c>
      <c r="E107"/>
      <c r="F107"/>
      <c r="G107"/>
    </row>
    <row r="108" spans="1:7" x14ac:dyDescent="0.3">
      <c r="A108" s="15">
        <v>134</v>
      </c>
      <c r="B108" s="16" t="s">
        <v>277</v>
      </c>
      <c r="C108" s="16" t="s">
        <v>497</v>
      </c>
      <c r="D108" s="17">
        <v>1275</v>
      </c>
      <c r="E108"/>
      <c r="F108"/>
      <c r="G108"/>
    </row>
    <row r="109" spans="1:7" x14ac:dyDescent="0.3">
      <c r="A109" s="15">
        <v>135</v>
      </c>
      <c r="B109" s="16" t="s">
        <v>277</v>
      </c>
      <c r="C109" s="16" t="s">
        <v>497</v>
      </c>
      <c r="D109" s="17">
        <v>2110</v>
      </c>
      <c r="E109"/>
      <c r="F109"/>
      <c r="G109"/>
    </row>
    <row r="110" spans="1:7" x14ac:dyDescent="0.3">
      <c r="A110" s="15">
        <v>136</v>
      </c>
      <c r="B110" s="16" t="s">
        <v>284</v>
      </c>
      <c r="C110" s="16" t="s">
        <v>497</v>
      </c>
      <c r="D110" s="17">
        <v>1940</v>
      </c>
      <c r="E110"/>
      <c r="F110"/>
      <c r="G110"/>
    </row>
    <row r="111" spans="1:7" x14ac:dyDescent="0.3">
      <c r="A111" s="15">
        <v>137</v>
      </c>
      <c r="B111" s="16" t="s">
        <v>277</v>
      </c>
      <c r="C111" s="16" t="s">
        <v>497</v>
      </c>
      <c r="D111" s="17">
        <v>9065</v>
      </c>
      <c r="E111"/>
      <c r="F111"/>
      <c r="G111"/>
    </row>
    <row r="112" spans="1:7" x14ac:dyDescent="0.3">
      <c r="A112" s="15">
        <v>138</v>
      </c>
      <c r="B112" s="16" t="s">
        <v>277</v>
      </c>
      <c r="C112" s="16" t="s">
        <v>497</v>
      </c>
      <c r="D112" s="17">
        <v>12545</v>
      </c>
      <c r="E112"/>
      <c r="F112"/>
      <c r="G112"/>
    </row>
    <row r="113" spans="1:7" x14ac:dyDescent="0.3">
      <c r="A113" s="15">
        <v>139</v>
      </c>
      <c r="B113" s="16" t="s">
        <v>277</v>
      </c>
      <c r="C113" s="16" t="s">
        <v>497</v>
      </c>
      <c r="D113" s="17">
        <v>7165</v>
      </c>
      <c r="E113"/>
      <c r="F113"/>
      <c r="G113"/>
    </row>
    <row r="114" spans="1:7" x14ac:dyDescent="0.3">
      <c r="A114" s="15">
        <v>140</v>
      </c>
      <c r="B114" s="16" t="s">
        <v>277</v>
      </c>
      <c r="C114" s="16" t="s">
        <v>494</v>
      </c>
      <c r="D114" s="17">
        <v>520</v>
      </c>
      <c r="E114"/>
      <c r="F114"/>
      <c r="G114"/>
    </row>
    <row r="115" spans="1:7" x14ac:dyDescent="0.3">
      <c r="A115" s="15">
        <v>141</v>
      </c>
      <c r="B115" s="16" t="s">
        <v>277</v>
      </c>
      <c r="C115" s="16" t="s">
        <v>497</v>
      </c>
      <c r="D115" s="17">
        <v>6300</v>
      </c>
      <c r="E115"/>
      <c r="F115"/>
      <c r="G115"/>
    </row>
    <row r="116" spans="1:7" x14ac:dyDescent="0.3">
      <c r="A116" s="15">
        <v>142</v>
      </c>
      <c r="B116" s="16" t="s">
        <v>284</v>
      </c>
      <c r="C116" s="16" t="s">
        <v>494</v>
      </c>
      <c r="D116" s="17">
        <v>925</v>
      </c>
      <c r="E116"/>
      <c r="F116"/>
      <c r="G116"/>
    </row>
    <row r="117" spans="1:7" x14ac:dyDescent="0.3">
      <c r="A117" s="15">
        <v>143</v>
      </c>
      <c r="B117" s="16" t="s">
        <v>284</v>
      </c>
      <c r="C117" s="16" t="s">
        <v>494</v>
      </c>
      <c r="D117" s="17">
        <v>1195</v>
      </c>
      <c r="E117"/>
      <c r="F117"/>
      <c r="G117"/>
    </row>
    <row r="118" spans="1:7" x14ac:dyDescent="0.3">
      <c r="A118" s="15">
        <v>144</v>
      </c>
      <c r="B118" s="16" t="s">
        <v>277</v>
      </c>
      <c r="C118" s="16" t="s">
        <v>497</v>
      </c>
      <c r="D118" s="17">
        <v>2055</v>
      </c>
      <c r="E118"/>
      <c r="F118"/>
      <c r="G118"/>
    </row>
    <row r="119" spans="1:7" x14ac:dyDescent="0.3">
      <c r="A119" s="15">
        <v>145</v>
      </c>
      <c r="B119" s="16" t="s">
        <v>277</v>
      </c>
      <c r="C119" s="16" t="s">
        <v>497</v>
      </c>
      <c r="D119" s="17">
        <v>18125</v>
      </c>
      <c r="E119"/>
      <c r="F119"/>
      <c r="G119"/>
    </row>
    <row r="120" spans="1:7" x14ac:dyDescent="0.3">
      <c r="A120" s="15">
        <v>146</v>
      </c>
      <c r="B120" s="16" t="s">
        <v>277</v>
      </c>
      <c r="C120" s="16" t="s">
        <v>497</v>
      </c>
      <c r="D120" s="17">
        <v>22295</v>
      </c>
      <c r="E120"/>
      <c r="F120"/>
      <c r="G120"/>
    </row>
    <row r="121" spans="1:7" x14ac:dyDescent="0.3">
      <c r="A121" s="15">
        <v>147</v>
      </c>
      <c r="B121" s="16" t="s">
        <v>284</v>
      </c>
      <c r="C121" s="16" t="s">
        <v>497</v>
      </c>
      <c r="D121" s="17">
        <v>25080</v>
      </c>
      <c r="E121"/>
      <c r="F121"/>
      <c r="G121"/>
    </row>
    <row r="122" spans="1:7" x14ac:dyDescent="0.3">
      <c r="A122" s="15">
        <v>148</v>
      </c>
      <c r="B122" s="16" t="s">
        <v>284</v>
      </c>
      <c r="C122" s="16" t="s">
        <v>497</v>
      </c>
      <c r="D122" s="17">
        <v>26470</v>
      </c>
      <c r="E122"/>
      <c r="F122"/>
      <c r="G122"/>
    </row>
    <row r="123" spans="1:7" x14ac:dyDescent="0.3">
      <c r="A123" s="15">
        <v>149</v>
      </c>
      <c r="B123" s="16" t="s">
        <v>284</v>
      </c>
      <c r="C123" s="16" t="s">
        <v>497</v>
      </c>
      <c r="D123" s="17">
        <v>5515</v>
      </c>
      <c r="E123"/>
      <c r="F123"/>
      <c r="G123"/>
    </row>
    <row r="124" spans="1:7" x14ac:dyDescent="0.3">
      <c r="A124" s="15">
        <v>151</v>
      </c>
      <c r="B124" s="16" t="s">
        <v>284</v>
      </c>
      <c r="C124" s="16" t="s">
        <v>497</v>
      </c>
      <c r="D124" s="17">
        <v>5250</v>
      </c>
      <c r="E124"/>
      <c r="F124"/>
      <c r="G124"/>
    </row>
    <row r="125" spans="1:7" x14ac:dyDescent="0.3">
      <c r="A125" s="15">
        <v>152</v>
      </c>
      <c r="B125" s="16" t="s">
        <v>284</v>
      </c>
      <c r="C125" s="16" t="s">
        <v>497</v>
      </c>
      <c r="D125" s="17">
        <v>5100</v>
      </c>
      <c r="E125"/>
      <c r="F125"/>
      <c r="G125"/>
    </row>
    <row r="126" spans="1:7" x14ac:dyDescent="0.3">
      <c r="A126" s="15">
        <v>153</v>
      </c>
      <c r="B126" s="16" t="s">
        <v>284</v>
      </c>
      <c r="C126" s="16" t="s">
        <v>497</v>
      </c>
      <c r="D126" s="17">
        <v>4215</v>
      </c>
      <c r="E126"/>
      <c r="F126"/>
      <c r="G126"/>
    </row>
    <row r="127" spans="1:7" x14ac:dyDescent="0.3">
      <c r="A127" s="15">
        <v>154</v>
      </c>
      <c r="B127" s="16" t="s">
        <v>284</v>
      </c>
      <c r="C127" s="16" t="s">
        <v>497</v>
      </c>
      <c r="D127" s="17">
        <v>4795</v>
      </c>
      <c r="E127"/>
      <c r="F127"/>
      <c r="G127"/>
    </row>
    <row r="128" spans="1:7" x14ac:dyDescent="0.3">
      <c r="A128" s="15">
        <v>155</v>
      </c>
      <c r="B128" s="16" t="s">
        <v>284</v>
      </c>
      <c r="C128" s="16" t="s">
        <v>497</v>
      </c>
      <c r="D128" s="17">
        <v>16035</v>
      </c>
      <c r="E128"/>
      <c r="F128"/>
      <c r="G128"/>
    </row>
    <row r="129" spans="1:7" x14ac:dyDescent="0.3">
      <c r="A129" s="15">
        <v>160</v>
      </c>
      <c r="B129" s="16" t="s">
        <v>284</v>
      </c>
      <c r="C129" s="16" t="s">
        <v>497</v>
      </c>
      <c r="D129" s="17">
        <v>1005</v>
      </c>
      <c r="E129"/>
      <c r="F129"/>
      <c r="G129"/>
    </row>
    <row r="130" spans="1:7" x14ac:dyDescent="0.3">
      <c r="A130" s="15">
        <v>161</v>
      </c>
      <c r="B130" s="16" t="s">
        <v>284</v>
      </c>
      <c r="C130" s="16" t="s">
        <v>497</v>
      </c>
      <c r="D130" s="17">
        <v>1030</v>
      </c>
      <c r="E130"/>
      <c r="F130"/>
      <c r="G130"/>
    </row>
    <row r="131" spans="1:7" x14ac:dyDescent="0.3">
      <c r="A131" s="15">
        <v>203</v>
      </c>
      <c r="B131" s="16" t="s">
        <v>284</v>
      </c>
      <c r="C131" s="16" t="s">
        <v>493</v>
      </c>
      <c r="D131" s="17">
        <v>425</v>
      </c>
      <c r="E131"/>
      <c r="F131"/>
      <c r="G131"/>
    </row>
    <row r="132" spans="1:7" x14ac:dyDescent="0.3">
      <c r="A132" s="15">
        <v>208</v>
      </c>
      <c r="B132" s="16" t="s">
        <v>284</v>
      </c>
      <c r="C132" s="16" t="s">
        <v>493</v>
      </c>
      <c r="D132" s="17">
        <v>530</v>
      </c>
      <c r="E132"/>
      <c r="F132"/>
      <c r="G132"/>
    </row>
    <row r="133" spans="1:7" x14ac:dyDescent="0.3">
      <c r="A133" s="15">
        <v>215</v>
      </c>
      <c r="B133" s="16" t="s">
        <v>284</v>
      </c>
      <c r="C133" s="16" t="s">
        <v>493</v>
      </c>
      <c r="D133" s="17">
        <v>680</v>
      </c>
      <c r="E133"/>
      <c r="F133"/>
      <c r="G133"/>
    </row>
    <row r="134" spans="1:7" x14ac:dyDescent="0.3">
      <c r="A134" s="15">
        <v>216</v>
      </c>
      <c r="B134" s="16" t="s">
        <v>284</v>
      </c>
      <c r="C134" s="16" t="s">
        <v>493</v>
      </c>
      <c r="D134" s="17">
        <v>625</v>
      </c>
      <c r="E134"/>
      <c r="F134"/>
      <c r="G134"/>
    </row>
    <row r="135" spans="1:7" x14ac:dyDescent="0.3">
      <c r="A135" s="15">
        <v>221</v>
      </c>
      <c r="B135" s="16" t="s">
        <v>277</v>
      </c>
      <c r="C135" s="16" t="s">
        <v>497</v>
      </c>
      <c r="D135" s="17">
        <v>435</v>
      </c>
      <c r="E135"/>
      <c r="F135"/>
      <c r="G135"/>
    </row>
    <row r="136" spans="1:7" x14ac:dyDescent="0.3">
      <c r="A136" s="15">
        <v>223</v>
      </c>
      <c r="B136" s="16" t="s">
        <v>277</v>
      </c>
      <c r="C136" s="16" t="s">
        <v>494</v>
      </c>
      <c r="D136" s="17">
        <v>315</v>
      </c>
      <c r="E136"/>
      <c r="F136"/>
      <c r="G136"/>
    </row>
    <row r="137" spans="1:7" x14ac:dyDescent="0.3">
      <c r="A137" s="15">
        <v>224</v>
      </c>
      <c r="B137" s="16" t="s">
        <v>277</v>
      </c>
      <c r="C137" s="16" t="s">
        <v>497</v>
      </c>
      <c r="D137" s="17">
        <v>1360</v>
      </c>
      <c r="E137"/>
      <c r="F137"/>
      <c r="G137"/>
    </row>
    <row r="138" spans="1:7" x14ac:dyDescent="0.3">
      <c r="A138" s="15">
        <v>225</v>
      </c>
      <c r="B138" s="16" t="s">
        <v>277</v>
      </c>
      <c r="C138" s="16" t="s">
        <v>497</v>
      </c>
      <c r="D138" s="17">
        <v>620</v>
      </c>
      <c r="E138"/>
      <c r="F138"/>
      <c r="G138"/>
    </row>
    <row r="139" spans="1:7" x14ac:dyDescent="0.3">
      <c r="A139" s="15">
        <v>226</v>
      </c>
      <c r="B139" s="16" t="s">
        <v>277</v>
      </c>
      <c r="C139" s="16" t="s">
        <v>167</v>
      </c>
      <c r="D139" s="17">
        <v>570</v>
      </c>
      <c r="E139"/>
      <c r="F139"/>
      <c r="G139"/>
    </row>
    <row r="140" spans="1:7" x14ac:dyDescent="0.3">
      <c r="A140" s="15">
        <v>227</v>
      </c>
      <c r="B140" s="16" t="s">
        <v>284</v>
      </c>
      <c r="C140" s="16" t="s">
        <v>497</v>
      </c>
      <c r="D140" s="17">
        <v>530</v>
      </c>
      <c r="E140"/>
      <c r="F140"/>
      <c r="G140"/>
    </row>
    <row r="141" spans="1:7" x14ac:dyDescent="0.3">
      <c r="A141" s="15">
        <v>228</v>
      </c>
      <c r="B141" s="16" t="s">
        <v>277</v>
      </c>
      <c r="C141" s="16" t="s">
        <v>494</v>
      </c>
      <c r="D141" s="17">
        <v>425</v>
      </c>
      <c r="E141"/>
      <c r="F141"/>
      <c r="G141"/>
    </row>
    <row r="142" spans="1:7" x14ac:dyDescent="0.3">
      <c r="A142" s="15">
        <v>229</v>
      </c>
      <c r="B142" s="16" t="s">
        <v>277</v>
      </c>
      <c r="C142" s="16" t="s">
        <v>494</v>
      </c>
      <c r="D142" s="17">
        <v>395</v>
      </c>
      <c r="E142"/>
      <c r="F142"/>
      <c r="G142"/>
    </row>
    <row r="143" spans="1:7" x14ac:dyDescent="0.3">
      <c r="A143" s="15">
        <v>231</v>
      </c>
      <c r="B143" s="16" t="s">
        <v>277</v>
      </c>
      <c r="C143" s="16" t="s">
        <v>494</v>
      </c>
      <c r="D143" s="17">
        <v>325</v>
      </c>
      <c r="E143"/>
      <c r="F143"/>
      <c r="G143"/>
    </row>
    <row r="144" spans="1:7" x14ac:dyDescent="0.3">
      <c r="A144" s="15">
        <v>232</v>
      </c>
      <c r="B144" s="16" t="s">
        <v>277</v>
      </c>
      <c r="C144" s="16" t="s">
        <v>494</v>
      </c>
      <c r="D144" s="17">
        <v>440</v>
      </c>
      <c r="E144"/>
      <c r="F144"/>
      <c r="G144"/>
    </row>
    <row r="145" spans="1:7" x14ac:dyDescent="0.3">
      <c r="A145" s="15">
        <v>233</v>
      </c>
      <c r="B145" s="16" t="s">
        <v>277</v>
      </c>
      <c r="C145" s="16" t="s">
        <v>494</v>
      </c>
      <c r="D145" s="17">
        <v>425</v>
      </c>
      <c r="E145"/>
      <c r="F145"/>
      <c r="G145"/>
    </row>
    <row r="146" spans="1:7" x14ac:dyDescent="0.3">
      <c r="A146" s="15">
        <v>234</v>
      </c>
      <c r="B146" s="16" t="s">
        <v>277</v>
      </c>
      <c r="C146" s="16" t="s">
        <v>494</v>
      </c>
      <c r="D146" s="17">
        <v>315</v>
      </c>
      <c r="E146"/>
      <c r="F146"/>
      <c r="G146"/>
    </row>
    <row r="147" spans="1:7" x14ac:dyDescent="0.3">
      <c r="A147" s="15">
        <v>235</v>
      </c>
      <c r="B147" s="16" t="s">
        <v>277</v>
      </c>
      <c r="C147" s="16" t="s">
        <v>494</v>
      </c>
      <c r="D147" s="17">
        <v>395</v>
      </c>
      <c r="E147"/>
      <c r="F147"/>
      <c r="G147"/>
    </row>
    <row r="148" spans="1:7" x14ac:dyDescent="0.3">
      <c r="A148" s="15">
        <v>236</v>
      </c>
      <c r="B148" s="16" t="s">
        <v>277</v>
      </c>
      <c r="C148" s="16" t="s">
        <v>497</v>
      </c>
      <c r="D148" s="17">
        <v>390</v>
      </c>
      <c r="E148"/>
      <c r="F148"/>
      <c r="G148"/>
    </row>
    <row r="149" spans="1:7" x14ac:dyDescent="0.3">
      <c r="A149" s="15">
        <v>238</v>
      </c>
      <c r="B149" s="16" t="s">
        <v>277</v>
      </c>
      <c r="C149" s="16" t="s">
        <v>494</v>
      </c>
      <c r="D149" s="17">
        <v>305</v>
      </c>
      <c r="E149"/>
      <c r="F149"/>
      <c r="G149"/>
    </row>
    <row r="150" spans="1:7" x14ac:dyDescent="0.3">
      <c r="A150" s="15">
        <v>239</v>
      </c>
      <c r="B150" s="16" t="s">
        <v>277</v>
      </c>
      <c r="C150" s="16" t="s">
        <v>497</v>
      </c>
      <c r="D150" s="17">
        <v>625</v>
      </c>
      <c r="E150"/>
      <c r="F150"/>
      <c r="G150"/>
    </row>
    <row r="151" spans="1:7" x14ac:dyDescent="0.3">
      <c r="A151" s="15">
        <v>240</v>
      </c>
      <c r="B151" s="16" t="s">
        <v>277</v>
      </c>
      <c r="C151" s="16" t="s">
        <v>498</v>
      </c>
      <c r="D151" s="17">
        <v>150</v>
      </c>
      <c r="E151"/>
      <c r="F151"/>
      <c r="G151"/>
    </row>
    <row r="152" spans="1:7" x14ac:dyDescent="0.3">
      <c r="A152" s="15">
        <v>242</v>
      </c>
      <c r="B152" s="16" t="s">
        <v>284</v>
      </c>
      <c r="C152" s="16" t="s">
        <v>498</v>
      </c>
      <c r="D152" s="17">
        <v>180</v>
      </c>
      <c r="E152"/>
      <c r="F152"/>
      <c r="G152"/>
    </row>
    <row r="153" spans="1:7" x14ac:dyDescent="0.3">
      <c r="A153" s="15">
        <v>244</v>
      </c>
      <c r="B153" s="16" t="s">
        <v>284</v>
      </c>
      <c r="C153" s="16" t="s">
        <v>538</v>
      </c>
      <c r="D153" s="17">
        <v>440</v>
      </c>
      <c r="E153"/>
      <c r="F153"/>
      <c r="G153"/>
    </row>
    <row r="154" spans="1:7" x14ac:dyDescent="0.3">
      <c r="A154" s="15">
        <v>245</v>
      </c>
      <c r="B154" s="16" t="s">
        <v>277</v>
      </c>
      <c r="C154" s="16" t="s">
        <v>494</v>
      </c>
      <c r="D154" s="17">
        <v>335</v>
      </c>
      <c r="E154"/>
      <c r="F154"/>
      <c r="G154"/>
    </row>
    <row r="155" spans="1:7" x14ac:dyDescent="0.3">
      <c r="A155" s="15">
        <v>246</v>
      </c>
      <c r="B155" s="16" t="s">
        <v>277</v>
      </c>
      <c r="C155" s="16" t="s">
        <v>167</v>
      </c>
      <c r="D155" s="17">
        <v>330</v>
      </c>
      <c r="E155"/>
      <c r="F155"/>
      <c r="G155"/>
    </row>
    <row r="156" spans="1:7" x14ac:dyDescent="0.3">
      <c r="A156" s="15">
        <v>249</v>
      </c>
      <c r="B156" s="16" t="s">
        <v>277</v>
      </c>
      <c r="C156" s="16" t="s">
        <v>494</v>
      </c>
      <c r="D156" s="17">
        <v>335</v>
      </c>
      <c r="E156"/>
      <c r="F156"/>
      <c r="G156"/>
    </row>
    <row r="157" spans="1:7" x14ac:dyDescent="0.3">
      <c r="A157" s="15">
        <v>250</v>
      </c>
      <c r="B157" s="16" t="s">
        <v>277</v>
      </c>
      <c r="C157" s="16" t="s">
        <v>497</v>
      </c>
      <c r="D157" s="17">
        <v>530</v>
      </c>
      <c r="E157"/>
      <c r="F157"/>
      <c r="G157"/>
    </row>
    <row r="158" spans="1:7" x14ac:dyDescent="0.3">
      <c r="A158" s="15">
        <v>252</v>
      </c>
      <c r="B158" s="16" t="s">
        <v>277</v>
      </c>
      <c r="C158" s="16" t="s">
        <v>497</v>
      </c>
      <c r="D158" s="17">
        <v>700</v>
      </c>
      <c r="E158"/>
      <c r="F158"/>
      <c r="G158"/>
    </row>
    <row r="159" spans="1:7" x14ac:dyDescent="0.3">
      <c r="A159" s="15">
        <v>253</v>
      </c>
      <c r="B159" s="16" t="s">
        <v>277</v>
      </c>
      <c r="C159" s="16" t="s">
        <v>497</v>
      </c>
      <c r="D159" s="17">
        <v>500</v>
      </c>
      <c r="E159"/>
      <c r="F159"/>
      <c r="G159"/>
    </row>
    <row r="160" spans="1:7" x14ac:dyDescent="0.3">
      <c r="A160" s="15">
        <v>254</v>
      </c>
      <c r="B160" s="16" t="s">
        <v>277</v>
      </c>
      <c r="C160" s="16" t="s">
        <v>497</v>
      </c>
      <c r="D160" s="17">
        <v>405</v>
      </c>
      <c r="E160"/>
      <c r="F160"/>
      <c r="G160"/>
    </row>
    <row r="161" spans="1:7" x14ac:dyDescent="0.3">
      <c r="A161" s="15">
        <v>255</v>
      </c>
      <c r="B161" s="16" t="s">
        <v>277</v>
      </c>
      <c r="C161" s="16" t="s">
        <v>497</v>
      </c>
      <c r="D161" s="17">
        <v>1045</v>
      </c>
      <c r="E161"/>
      <c r="F161"/>
      <c r="G161"/>
    </row>
    <row r="162" spans="1:7" x14ac:dyDescent="0.3">
      <c r="A162" s="15">
        <v>256</v>
      </c>
      <c r="B162" s="16" t="s">
        <v>277</v>
      </c>
      <c r="C162" s="16" t="s">
        <v>497</v>
      </c>
      <c r="D162" s="17">
        <v>825</v>
      </c>
      <c r="E162"/>
      <c r="F162"/>
      <c r="G162"/>
    </row>
    <row r="163" spans="1:7" x14ac:dyDescent="0.3">
      <c r="A163" s="15">
        <v>257</v>
      </c>
      <c r="B163" s="16" t="s">
        <v>277</v>
      </c>
      <c r="C163" s="16" t="s">
        <v>497</v>
      </c>
      <c r="D163" s="17">
        <v>645</v>
      </c>
      <c r="E163"/>
      <c r="F163"/>
      <c r="G163"/>
    </row>
    <row r="164" spans="1:7" x14ac:dyDescent="0.3">
      <c r="A164" s="15">
        <v>258</v>
      </c>
      <c r="B164" s="16" t="s">
        <v>277</v>
      </c>
      <c r="C164" s="16" t="s">
        <v>497</v>
      </c>
      <c r="D164" s="17">
        <v>715</v>
      </c>
      <c r="E164"/>
      <c r="F164"/>
      <c r="G164"/>
    </row>
    <row r="165" spans="1:7" x14ac:dyDescent="0.3">
      <c r="A165" s="15">
        <v>259</v>
      </c>
      <c r="B165" s="16" t="s">
        <v>277</v>
      </c>
      <c r="C165" s="16" t="s">
        <v>497</v>
      </c>
      <c r="D165" s="17">
        <v>835</v>
      </c>
      <c r="E165"/>
      <c r="F165"/>
      <c r="G165"/>
    </row>
    <row r="166" spans="1:7" x14ac:dyDescent="0.3">
      <c r="A166" s="15">
        <v>260</v>
      </c>
      <c r="B166" s="16" t="s">
        <v>277</v>
      </c>
      <c r="C166" s="16" t="s">
        <v>497</v>
      </c>
      <c r="D166" s="17">
        <v>665</v>
      </c>
      <c r="E166"/>
      <c r="F166"/>
      <c r="G166"/>
    </row>
    <row r="167" spans="1:7" x14ac:dyDescent="0.3">
      <c r="A167" s="15">
        <v>261</v>
      </c>
      <c r="B167" s="16" t="s">
        <v>277</v>
      </c>
      <c r="C167" s="16" t="s">
        <v>497</v>
      </c>
      <c r="D167" s="17">
        <v>820</v>
      </c>
      <c r="E167"/>
      <c r="F167"/>
      <c r="G167"/>
    </row>
    <row r="168" spans="1:7" x14ac:dyDescent="0.3">
      <c r="A168" s="15">
        <v>262</v>
      </c>
      <c r="B168" s="16" t="s">
        <v>277</v>
      </c>
      <c r="C168" s="16" t="s">
        <v>497</v>
      </c>
      <c r="D168" s="17">
        <v>785</v>
      </c>
      <c r="E168"/>
      <c r="F168"/>
      <c r="G168"/>
    </row>
    <row r="169" spans="1:7" x14ac:dyDescent="0.3">
      <c r="A169" s="15">
        <v>263</v>
      </c>
      <c r="B169" s="16" t="s">
        <v>277</v>
      </c>
      <c r="C169" s="16" t="s">
        <v>497</v>
      </c>
      <c r="D169" s="17">
        <v>925</v>
      </c>
      <c r="E169"/>
      <c r="F169"/>
      <c r="G169"/>
    </row>
    <row r="170" spans="1:7" x14ac:dyDescent="0.3">
      <c r="A170" s="15">
        <v>264</v>
      </c>
      <c r="B170" s="16" t="s">
        <v>277</v>
      </c>
      <c r="C170" s="16" t="s">
        <v>497</v>
      </c>
      <c r="D170" s="17">
        <v>700</v>
      </c>
      <c r="E170"/>
      <c r="F170"/>
      <c r="G170"/>
    </row>
    <row r="171" spans="1:7" x14ac:dyDescent="0.3">
      <c r="A171" s="15">
        <v>266</v>
      </c>
      <c r="B171" s="16" t="s">
        <v>277</v>
      </c>
      <c r="C171" s="16" t="s">
        <v>497</v>
      </c>
      <c r="D171" s="17">
        <v>870</v>
      </c>
      <c r="E171"/>
      <c r="F171"/>
      <c r="G171"/>
    </row>
    <row r="172" spans="1:7" x14ac:dyDescent="0.3">
      <c r="A172" s="15">
        <v>267</v>
      </c>
      <c r="B172" s="16" t="s">
        <v>277</v>
      </c>
      <c r="C172" s="16" t="s">
        <v>497</v>
      </c>
      <c r="D172" s="17">
        <v>805</v>
      </c>
      <c r="E172"/>
      <c r="F172"/>
      <c r="G172"/>
    </row>
    <row r="173" spans="1:7" x14ac:dyDescent="0.3">
      <c r="A173" s="15">
        <v>269</v>
      </c>
      <c r="B173" s="16" t="s">
        <v>277</v>
      </c>
      <c r="C173" s="16" t="s">
        <v>494</v>
      </c>
      <c r="D173" s="17">
        <v>360</v>
      </c>
      <c r="E173"/>
      <c r="F173"/>
      <c r="G173"/>
    </row>
    <row r="174" spans="1:7" x14ac:dyDescent="0.3">
      <c r="A174" s="15">
        <v>271</v>
      </c>
      <c r="B174" s="16" t="s">
        <v>277</v>
      </c>
      <c r="C174" s="16" t="s">
        <v>494</v>
      </c>
      <c r="D174" s="17">
        <v>425</v>
      </c>
      <c r="E174"/>
      <c r="F174"/>
      <c r="G174"/>
    </row>
    <row r="175" spans="1:7" x14ac:dyDescent="0.3">
      <c r="A175" s="15">
        <v>272</v>
      </c>
      <c r="B175" s="16" t="s">
        <v>277</v>
      </c>
      <c r="C175" s="16" t="s">
        <v>494</v>
      </c>
      <c r="D175" s="17">
        <v>425</v>
      </c>
      <c r="E175"/>
      <c r="F175"/>
      <c r="G175"/>
    </row>
    <row r="176" spans="1:7" x14ac:dyDescent="0.3">
      <c r="A176" s="15">
        <v>273</v>
      </c>
      <c r="B176" s="16" t="s">
        <v>277</v>
      </c>
      <c r="C176" s="16" t="s">
        <v>494</v>
      </c>
      <c r="D176" s="17">
        <v>110</v>
      </c>
      <c r="E176"/>
      <c r="F176"/>
      <c r="G176"/>
    </row>
    <row r="177" spans="1:7" x14ac:dyDescent="0.3">
      <c r="A177" s="15">
        <v>274</v>
      </c>
      <c r="B177" s="16" t="s">
        <v>277</v>
      </c>
      <c r="C177" s="16" t="s">
        <v>494</v>
      </c>
      <c r="D177" s="17">
        <v>150</v>
      </c>
      <c r="E177"/>
      <c r="F177"/>
      <c r="G177"/>
    </row>
    <row r="178" spans="1:7" x14ac:dyDescent="0.3">
      <c r="A178" s="15">
        <v>280</v>
      </c>
      <c r="B178" s="16" t="s">
        <v>277</v>
      </c>
      <c r="C178" s="16" t="s">
        <v>494</v>
      </c>
      <c r="D178" s="17">
        <v>105</v>
      </c>
      <c r="E178"/>
      <c r="F178"/>
      <c r="G178"/>
    </row>
    <row r="179" spans="1:7" x14ac:dyDescent="0.3">
      <c r="A179" s="15">
        <v>281</v>
      </c>
      <c r="B179" s="16" t="s">
        <v>277</v>
      </c>
      <c r="C179" s="16" t="s">
        <v>494</v>
      </c>
      <c r="D179" s="17">
        <v>180</v>
      </c>
      <c r="E179"/>
      <c r="F179"/>
      <c r="G179"/>
    </row>
    <row r="180" spans="1:7" x14ac:dyDescent="0.3">
      <c r="A180" s="15">
        <v>284</v>
      </c>
      <c r="B180" s="16" t="s">
        <v>277</v>
      </c>
      <c r="C180" s="16" t="s">
        <v>494</v>
      </c>
      <c r="D180" s="17">
        <v>135</v>
      </c>
      <c r="E180"/>
      <c r="F180"/>
      <c r="G180"/>
    </row>
    <row r="181" spans="1:7" x14ac:dyDescent="0.3">
      <c r="A181" s="15">
        <v>286</v>
      </c>
      <c r="B181" s="16" t="s">
        <v>277</v>
      </c>
      <c r="C181" s="16" t="s">
        <v>494</v>
      </c>
      <c r="D181" s="17">
        <v>215</v>
      </c>
      <c r="E181"/>
      <c r="F181"/>
      <c r="G181"/>
    </row>
    <row r="182" spans="1:7" x14ac:dyDescent="0.3">
      <c r="A182" s="15">
        <v>288</v>
      </c>
      <c r="B182" s="16" t="s">
        <v>277</v>
      </c>
      <c r="C182" s="16" t="s">
        <v>494</v>
      </c>
      <c r="D182" s="17">
        <v>160</v>
      </c>
      <c r="E182"/>
      <c r="F182"/>
      <c r="G182"/>
    </row>
    <row r="183" spans="1:7" x14ac:dyDescent="0.3">
      <c r="A183" s="15">
        <v>289</v>
      </c>
      <c r="B183" s="16" t="s">
        <v>277</v>
      </c>
      <c r="C183" s="16" t="s">
        <v>494</v>
      </c>
      <c r="D183" s="17">
        <v>165</v>
      </c>
      <c r="E183"/>
      <c r="F183"/>
      <c r="G183"/>
    </row>
    <row r="184" spans="1:7" x14ac:dyDescent="0.3">
      <c r="A184" s="15">
        <v>291</v>
      </c>
      <c r="B184" s="16" t="s">
        <v>284</v>
      </c>
      <c r="C184" s="16" t="s">
        <v>493</v>
      </c>
      <c r="D184" s="17">
        <v>960</v>
      </c>
      <c r="E184"/>
      <c r="F184"/>
      <c r="G184"/>
    </row>
    <row r="185" spans="1:7" x14ac:dyDescent="0.3">
      <c r="A185" s="15">
        <v>292</v>
      </c>
      <c r="B185" s="16" t="s">
        <v>284</v>
      </c>
      <c r="C185" s="16" t="s">
        <v>493</v>
      </c>
      <c r="D185" s="17">
        <v>960</v>
      </c>
      <c r="E185"/>
      <c r="F185"/>
      <c r="G185"/>
    </row>
    <row r="186" spans="1:7" x14ac:dyDescent="0.3">
      <c r="A186" s="15">
        <v>333</v>
      </c>
      <c r="B186" s="16" t="s">
        <v>277</v>
      </c>
      <c r="C186" s="16" t="s">
        <v>494</v>
      </c>
      <c r="D186" s="17">
        <v>110</v>
      </c>
      <c r="E186"/>
      <c r="F186"/>
      <c r="G186"/>
    </row>
    <row r="187" spans="1:7" x14ac:dyDescent="0.3">
      <c r="A187" s="15">
        <v>401</v>
      </c>
      <c r="B187" s="16" t="s">
        <v>277</v>
      </c>
      <c r="C187" s="16" t="s">
        <v>494</v>
      </c>
      <c r="D187" s="17">
        <v>175</v>
      </c>
      <c r="E187"/>
      <c r="F187"/>
      <c r="G187"/>
    </row>
    <row r="188" spans="1:7" x14ac:dyDescent="0.3">
      <c r="A188" s="15">
        <v>403</v>
      </c>
      <c r="B188" s="16" t="s">
        <v>277</v>
      </c>
      <c r="C188" s="16" t="s">
        <v>494</v>
      </c>
      <c r="D188" s="17">
        <v>185</v>
      </c>
      <c r="E188"/>
      <c r="F188"/>
      <c r="G188"/>
    </row>
    <row r="189" spans="1:7" x14ac:dyDescent="0.3">
      <c r="A189" s="15">
        <v>404</v>
      </c>
      <c r="B189" s="16" t="s">
        <v>277</v>
      </c>
      <c r="C189" s="16" t="s">
        <v>494</v>
      </c>
      <c r="D189" s="17">
        <v>175</v>
      </c>
      <c r="E189"/>
      <c r="F189"/>
      <c r="G189"/>
    </row>
    <row r="190" spans="1:7" x14ac:dyDescent="0.3">
      <c r="A190" s="15">
        <v>405</v>
      </c>
      <c r="B190" s="16" t="s">
        <v>277</v>
      </c>
      <c r="C190" s="16" t="s">
        <v>494</v>
      </c>
      <c r="D190" s="17">
        <v>175</v>
      </c>
      <c r="E190"/>
      <c r="F190"/>
      <c r="G190"/>
    </row>
    <row r="191" spans="1:7" x14ac:dyDescent="0.3">
      <c r="A191" s="15">
        <v>407</v>
      </c>
      <c r="B191" s="16" t="s">
        <v>277</v>
      </c>
      <c r="C191" s="16" t="s">
        <v>494</v>
      </c>
      <c r="D191" s="17">
        <v>255</v>
      </c>
      <c r="E191"/>
      <c r="F191"/>
      <c r="G191"/>
    </row>
    <row r="192" spans="1:7" x14ac:dyDescent="0.3">
      <c r="A192" s="15">
        <v>408</v>
      </c>
      <c r="B192" s="16" t="s">
        <v>277</v>
      </c>
      <c r="C192" s="16" t="s">
        <v>494</v>
      </c>
      <c r="D192" s="17">
        <v>185</v>
      </c>
      <c r="E192"/>
      <c r="F192"/>
      <c r="G192"/>
    </row>
    <row r="193" spans="1:7" x14ac:dyDescent="0.3">
      <c r="A193" s="15">
        <v>409</v>
      </c>
      <c r="B193" s="16" t="s">
        <v>277</v>
      </c>
      <c r="C193" s="16" t="s">
        <v>494</v>
      </c>
      <c r="D193" s="17">
        <v>150</v>
      </c>
      <c r="E193"/>
      <c r="F193"/>
      <c r="G193"/>
    </row>
    <row r="194" spans="1:7" x14ac:dyDescent="0.3">
      <c r="A194" s="15">
        <v>410</v>
      </c>
      <c r="B194" s="16" t="s">
        <v>277</v>
      </c>
      <c r="C194" s="16" t="s">
        <v>494</v>
      </c>
      <c r="D194" s="17">
        <v>210</v>
      </c>
      <c r="E194"/>
      <c r="F194"/>
      <c r="G194"/>
    </row>
    <row r="195" spans="1:7" x14ac:dyDescent="0.3">
      <c r="A195" s="15">
        <v>411</v>
      </c>
      <c r="B195" s="16" t="s">
        <v>277</v>
      </c>
      <c r="C195" s="16" t="s">
        <v>494</v>
      </c>
      <c r="D195" s="17">
        <v>145</v>
      </c>
      <c r="E195"/>
      <c r="F195"/>
      <c r="G195"/>
    </row>
    <row r="196" spans="1:7" x14ac:dyDescent="0.3">
      <c r="A196" s="15">
        <v>412</v>
      </c>
      <c r="B196" s="16" t="s">
        <v>277</v>
      </c>
      <c r="C196" s="16" t="s">
        <v>494</v>
      </c>
      <c r="D196" s="17">
        <v>190</v>
      </c>
      <c r="E196"/>
      <c r="F196"/>
      <c r="G196"/>
    </row>
    <row r="197" spans="1:7" x14ac:dyDescent="0.3">
      <c r="A197" s="15">
        <v>413</v>
      </c>
      <c r="B197" s="16" t="s">
        <v>277</v>
      </c>
      <c r="C197" s="16" t="s">
        <v>494</v>
      </c>
      <c r="D197" s="17">
        <v>145</v>
      </c>
      <c r="E197"/>
      <c r="F197"/>
      <c r="G197"/>
    </row>
    <row r="198" spans="1:7" x14ac:dyDescent="0.3">
      <c r="A198" s="15">
        <v>414</v>
      </c>
      <c r="B198" s="16" t="s">
        <v>277</v>
      </c>
      <c r="C198" s="16" t="s">
        <v>494</v>
      </c>
      <c r="D198" s="17">
        <v>175</v>
      </c>
      <c r="E198"/>
      <c r="F198"/>
      <c r="G198"/>
    </row>
    <row r="199" spans="1:7" x14ac:dyDescent="0.3">
      <c r="A199" s="15">
        <v>415</v>
      </c>
      <c r="B199" s="16" t="s">
        <v>277</v>
      </c>
      <c r="C199" s="16" t="s">
        <v>494</v>
      </c>
      <c r="D199" s="17">
        <v>175</v>
      </c>
      <c r="E199"/>
      <c r="F199"/>
      <c r="G199"/>
    </row>
    <row r="200" spans="1:7" x14ac:dyDescent="0.3">
      <c r="A200" s="15">
        <v>416</v>
      </c>
      <c r="B200" s="16" t="s">
        <v>277</v>
      </c>
      <c r="C200" s="16" t="s">
        <v>494</v>
      </c>
      <c r="D200" s="17">
        <v>150</v>
      </c>
      <c r="E200"/>
      <c r="F200"/>
      <c r="G200"/>
    </row>
    <row r="201" spans="1:7" x14ac:dyDescent="0.3">
      <c r="A201" s="15">
        <v>417</v>
      </c>
      <c r="B201" s="16" t="s">
        <v>277</v>
      </c>
      <c r="C201" s="16" t="s">
        <v>494</v>
      </c>
      <c r="D201" s="17">
        <v>225</v>
      </c>
      <c r="E201"/>
      <c r="F201"/>
      <c r="G201"/>
    </row>
    <row r="202" spans="1:7" x14ac:dyDescent="0.3">
      <c r="A202" s="15">
        <v>418</v>
      </c>
      <c r="B202" s="16" t="s">
        <v>284</v>
      </c>
      <c r="C202" s="16" t="s">
        <v>494</v>
      </c>
      <c r="D202" s="17">
        <v>190</v>
      </c>
      <c r="E202"/>
      <c r="F202"/>
      <c r="G202"/>
    </row>
    <row r="203" spans="1:7" x14ac:dyDescent="0.3">
      <c r="A203" s="15">
        <v>424</v>
      </c>
      <c r="B203" s="16" t="s">
        <v>277</v>
      </c>
      <c r="C203" s="16" t="s">
        <v>494</v>
      </c>
      <c r="D203" s="17">
        <v>245</v>
      </c>
      <c r="E203"/>
      <c r="F203"/>
      <c r="G203"/>
    </row>
    <row r="204" spans="1:7" x14ac:dyDescent="0.3">
      <c r="A204" s="15">
        <v>426</v>
      </c>
      <c r="B204" s="16" t="s">
        <v>277</v>
      </c>
      <c r="C204" s="16" t="s">
        <v>494</v>
      </c>
      <c r="D204" s="17">
        <v>215</v>
      </c>
      <c r="E204"/>
      <c r="F204"/>
      <c r="G204"/>
    </row>
    <row r="205" spans="1:7" x14ac:dyDescent="0.3">
      <c r="A205" s="15">
        <v>427</v>
      </c>
      <c r="B205" s="16" t="s">
        <v>277</v>
      </c>
      <c r="C205" s="16" t="s">
        <v>494</v>
      </c>
      <c r="D205" s="17">
        <v>175</v>
      </c>
      <c r="E205"/>
      <c r="F205"/>
      <c r="G205"/>
    </row>
    <row r="206" spans="1:7" x14ac:dyDescent="0.3">
      <c r="A206" s="15">
        <v>429</v>
      </c>
      <c r="B206" s="16" t="s">
        <v>277</v>
      </c>
      <c r="C206" s="16" t="s">
        <v>494</v>
      </c>
      <c r="D206" s="17">
        <v>160</v>
      </c>
      <c r="E206"/>
      <c r="F206"/>
      <c r="G206"/>
    </row>
    <row r="207" spans="1:7" x14ac:dyDescent="0.3">
      <c r="A207" s="15">
        <v>430</v>
      </c>
      <c r="B207" s="16" t="s">
        <v>277</v>
      </c>
      <c r="C207" s="16" t="s">
        <v>494</v>
      </c>
      <c r="D207" s="17">
        <v>145</v>
      </c>
      <c r="E207"/>
      <c r="F207"/>
      <c r="G207"/>
    </row>
    <row r="208" spans="1:7" x14ac:dyDescent="0.3">
      <c r="A208" s="15">
        <v>432</v>
      </c>
      <c r="B208" s="16" t="s">
        <v>277</v>
      </c>
      <c r="C208" s="16" t="s">
        <v>494</v>
      </c>
      <c r="D208" s="17">
        <v>185</v>
      </c>
      <c r="E208"/>
      <c r="F208"/>
      <c r="G208"/>
    </row>
    <row r="209" spans="1:7" x14ac:dyDescent="0.3">
      <c r="A209" s="15">
        <v>438</v>
      </c>
      <c r="B209" s="16" t="s">
        <v>277</v>
      </c>
      <c r="C209" s="16" t="s">
        <v>494</v>
      </c>
      <c r="D209" s="17">
        <v>215</v>
      </c>
      <c r="E209"/>
      <c r="F209"/>
      <c r="G209"/>
    </row>
    <row r="210" spans="1:7" x14ac:dyDescent="0.3">
      <c r="A210" s="15">
        <v>442</v>
      </c>
      <c r="B210" s="16" t="s">
        <v>277</v>
      </c>
      <c r="C210" s="16" t="s">
        <v>494</v>
      </c>
      <c r="D210" s="17">
        <v>190</v>
      </c>
      <c r="E210"/>
      <c r="F210"/>
      <c r="G210"/>
    </row>
    <row r="211" spans="1:7" x14ac:dyDescent="0.3">
      <c r="A211" s="15">
        <v>446</v>
      </c>
      <c r="B211" s="16" t="s">
        <v>277</v>
      </c>
      <c r="C211" s="16" t="s">
        <v>494</v>
      </c>
      <c r="D211" s="17">
        <v>190</v>
      </c>
      <c r="E211"/>
      <c r="F211"/>
      <c r="G211"/>
    </row>
    <row r="212" spans="1:7" x14ac:dyDescent="0.3">
      <c r="A212" s="15">
        <v>448</v>
      </c>
      <c r="B212" s="16" t="s">
        <v>277</v>
      </c>
      <c r="C212" s="16" t="s">
        <v>494</v>
      </c>
      <c r="D212" s="17">
        <v>240</v>
      </c>
      <c r="E212"/>
      <c r="F212"/>
      <c r="G212"/>
    </row>
    <row r="213" spans="1:7" x14ac:dyDescent="0.3">
      <c r="A213" s="15">
        <v>449</v>
      </c>
      <c r="B213" s="16" t="s">
        <v>277</v>
      </c>
      <c r="C213" s="16" t="s">
        <v>494</v>
      </c>
      <c r="D213" s="17">
        <v>135</v>
      </c>
      <c r="E213"/>
      <c r="F213"/>
      <c r="G213"/>
    </row>
    <row r="214" spans="1:7" x14ac:dyDescent="0.3">
      <c r="A214" s="15">
        <v>474</v>
      </c>
      <c r="B214" s="16" t="s">
        <v>277</v>
      </c>
      <c r="C214" s="16" t="s">
        <v>494</v>
      </c>
      <c r="D214" s="17">
        <v>190</v>
      </c>
      <c r="E214"/>
      <c r="F214"/>
      <c r="G214"/>
    </row>
    <row r="215" spans="1:7" x14ac:dyDescent="0.3">
      <c r="A215" s="15">
        <v>477</v>
      </c>
      <c r="B215" s="16" t="s">
        <v>277</v>
      </c>
      <c r="C215" s="16" t="s">
        <v>494</v>
      </c>
      <c r="D215" s="17">
        <v>95</v>
      </c>
      <c r="E215"/>
      <c r="F215"/>
      <c r="G215"/>
    </row>
    <row r="216" spans="1:7" x14ac:dyDescent="0.3">
      <c r="A216" s="15">
        <v>480</v>
      </c>
      <c r="B216" s="16" t="s">
        <v>277</v>
      </c>
      <c r="C216" s="16" t="s">
        <v>494</v>
      </c>
      <c r="D216" s="17">
        <v>135</v>
      </c>
      <c r="E216"/>
      <c r="F216"/>
      <c r="G216"/>
    </row>
    <row r="217" spans="1:7" x14ac:dyDescent="0.3">
      <c r="A217" s="15">
        <v>481</v>
      </c>
      <c r="B217" s="16" t="s">
        <v>277</v>
      </c>
      <c r="C217" s="16" t="s">
        <v>494</v>
      </c>
      <c r="D217" s="17">
        <v>120</v>
      </c>
      <c r="E217"/>
      <c r="F217"/>
      <c r="G217"/>
    </row>
    <row r="218" spans="1:7" x14ac:dyDescent="0.3">
      <c r="A218" s="15">
        <v>484</v>
      </c>
      <c r="B218" s="16" t="s">
        <v>277</v>
      </c>
      <c r="C218" s="16" t="s">
        <v>494</v>
      </c>
      <c r="D218" s="17">
        <v>215</v>
      </c>
      <c r="E218"/>
      <c r="F218"/>
      <c r="G218"/>
    </row>
    <row r="219" spans="1:7" x14ac:dyDescent="0.3">
      <c r="A219" s="15">
        <v>491</v>
      </c>
      <c r="B219" s="16" t="s">
        <v>277</v>
      </c>
      <c r="C219" s="16" t="s">
        <v>494</v>
      </c>
      <c r="D219" s="17">
        <v>100</v>
      </c>
      <c r="E219"/>
      <c r="F219"/>
      <c r="G219"/>
    </row>
    <row r="220" spans="1:7" x14ac:dyDescent="0.3">
      <c r="A220" s="15">
        <v>493</v>
      </c>
      <c r="B220" s="16" t="s">
        <v>277</v>
      </c>
      <c r="C220" s="16" t="s">
        <v>494</v>
      </c>
      <c r="D220" s="17">
        <v>235</v>
      </c>
      <c r="E220"/>
      <c r="F220"/>
      <c r="G220"/>
    </row>
    <row r="221" spans="1:7" x14ac:dyDescent="0.3">
      <c r="A221" s="15">
        <v>601</v>
      </c>
      <c r="B221" s="16" t="s">
        <v>277</v>
      </c>
      <c r="C221" s="16" t="s">
        <v>494</v>
      </c>
      <c r="D221" s="17">
        <v>605</v>
      </c>
      <c r="E221"/>
      <c r="F221"/>
      <c r="G221"/>
    </row>
    <row r="222" spans="1:7" x14ac:dyDescent="0.3">
      <c r="A222" s="15">
        <v>602</v>
      </c>
      <c r="B222" s="16" t="s">
        <v>277</v>
      </c>
      <c r="C222" s="16" t="s">
        <v>494</v>
      </c>
      <c r="D222" s="17">
        <v>525</v>
      </c>
      <c r="E222"/>
      <c r="F222"/>
      <c r="G222"/>
    </row>
    <row r="223" spans="1:7" x14ac:dyDescent="0.3">
      <c r="A223" s="15">
        <v>603</v>
      </c>
      <c r="B223" s="16" t="s">
        <v>277</v>
      </c>
      <c r="C223" s="16" t="s">
        <v>494</v>
      </c>
      <c r="D223" s="17">
        <v>520</v>
      </c>
      <c r="E223"/>
      <c r="F223"/>
      <c r="G223"/>
    </row>
    <row r="224" spans="1:7" x14ac:dyDescent="0.3">
      <c r="A224" s="15">
        <v>604</v>
      </c>
      <c r="B224" s="16" t="s">
        <v>277</v>
      </c>
      <c r="C224" s="16" t="s">
        <v>494</v>
      </c>
      <c r="D224" s="17">
        <v>610</v>
      </c>
      <c r="E224"/>
      <c r="F224"/>
      <c r="G224"/>
    </row>
    <row r="225" spans="1:7" x14ac:dyDescent="0.3">
      <c r="A225" s="15">
        <v>605</v>
      </c>
      <c r="B225" s="16" t="s">
        <v>277</v>
      </c>
      <c r="C225" s="16" t="s">
        <v>494</v>
      </c>
      <c r="D225" s="17">
        <v>605</v>
      </c>
      <c r="E225"/>
      <c r="F225"/>
      <c r="G225"/>
    </row>
    <row r="226" spans="1:7" x14ac:dyDescent="0.3">
      <c r="A226" s="15">
        <v>607</v>
      </c>
      <c r="B226" s="16" t="s">
        <v>277</v>
      </c>
      <c r="C226" s="16" t="s">
        <v>494</v>
      </c>
      <c r="D226" s="17">
        <v>655</v>
      </c>
      <c r="E226"/>
      <c r="F226"/>
      <c r="G226"/>
    </row>
    <row r="227" spans="1:7" x14ac:dyDescent="0.3">
      <c r="A227" s="15">
        <v>608</v>
      </c>
      <c r="B227" s="16" t="s">
        <v>277</v>
      </c>
      <c r="C227" s="16" t="s">
        <v>494</v>
      </c>
      <c r="D227" s="17">
        <v>600</v>
      </c>
      <c r="E227"/>
      <c r="F227"/>
      <c r="G227"/>
    </row>
    <row r="228" spans="1:7" x14ac:dyDescent="0.3">
      <c r="A228" s="15">
        <v>609</v>
      </c>
      <c r="B228" s="16" t="s">
        <v>277</v>
      </c>
      <c r="C228" s="16" t="s">
        <v>494</v>
      </c>
      <c r="D228" s="17">
        <v>670</v>
      </c>
      <c r="E228"/>
      <c r="F228"/>
      <c r="G228"/>
    </row>
    <row r="229" spans="1:7" x14ac:dyDescent="0.3">
      <c r="A229" s="15">
        <v>610</v>
      </c>
      <c r="B229" s="16" t="s">
        <v>277</v>
      </c>
      <c r="C229" s="16" t="s">
        <v>494</v>
      </c>
      <c r="D229" s="17">
        <v>725</v>
      </c>
      <c r="E229"/>
      <c r="F229"/>
      <c r="G229"/>
    </row>
    <row r="230" spans="1:7" x14ac:dyDescent="0.3">
      <c r="A230" s="15">
        <v>626</v>
      </c>
      <c r="B230" s="16" t="s">
        <v>277</v>
      </c>
      <c r="C230" s="16" t="s">
        <v>494</v>
      </c>
      <c r="D230" s="17">
        <v>915</v>
      </c>
      <c r="E230"/>
      <c r="F230"/>
      <c r="G230"/>
    </row>
    <row r="231" spans="1:7" x14ac:dyDescent="0.3">
      <c r="A231" s="15">
        <v>627</v>
      </c>
      <c r="B231" s="16" t="s">
        <v>277</v>
      </c>
      <c r="C231" s="16" t="s">
        <v>494</v>
      </c>
      <c r="D231" s="17">
        <v>910</v>
      </c>
      <c r="E231"/>
      <c r="F231"/>
      <c r="G231"/>
    </row>
    <row r="232" spans="1:7" x14ac:dyDescent="0.3">
      <c r="A232" s="15">
        <v>628</v>
      </c>
      <c r="B232" s="16" t="s">
        <v>277</v>
      </c>
      <c r="C232" s="16" t="s">
        <v>494</v>
      </c>
      <c r="D232" s="17">
        <v>735</v>
      </c>
      <c r="E232"/>
      <c r="F232"/>
      <c r="G232"/>
    </row>
    <row r="233" spans="1:7" x14ac:dyDescent="0.3">
      <c r="A233" s="15">
        <v>629</v>
      </c>
      <c r="B233" s="16" t="s">
        <v>277</v>
      </c>
      <c r="C233" s="16" t="s">
        <v>494</v>
      </c>
      <c r="D233" s="17">
        <v>855</v>
      </c>
      <c r="E233"/>
      <c r="F233"/>
      <c r="G233"/>
    </row>
    <row r="234" spans="1:7" x14ac:dyDescent="0.3">
      <c r="A234" s="15">
        <v>630</v>
      </c>
      <c r="B234" s="16" t="s">
        <v>277</v>
      </c>
      <c r="C234" s="16" t="s">
        <v>494</v>
      </c>
      <c r="D234" s="17">
        <v>815</v>
      </c>
      <c r="E234"/>
      <c r="F234"/>
      <c r="G234"/>
    </row>
    <row r="235" spans="1:7" x14ac:dyDescent="0.3">
      <c r="A235" s="15">
        <v>631</v>
      </c>
      <c r="B235" s="16" t="s">
        <v>284</v>
      </c>
      <c r="C235" s="16" t="s">
        <v>494</v>
      </c>
      <c r="D235" s="17">
        <v>630</v>
      </c>
      <c r="E235"/>
      <c r="F235"/>
      <c r="G235"/>
    </row>
    <row r="236" spans="1:7" x14ac:dyDescent="0.3">
      <c r="A236" s="15">
        <v>632</v>
      </c>
      <c r="B236" s="16" t="s">
        <v>277</v>
      </c>
      <c r="C236" s="16" t="s">
        <v>494</v>
      </c>
      <c r="D236" s="17">
        <v>585</v>
      </c>
      <c r="E236"/>
      <c r="F236"/>
      <c r="G236"/>
    </row>
    <row r="237" spans="1:7" x14ac:dyDescent="0.3">
      <c r="A237" s="15">
        <v>745</v>
      </c>
      <c r="B237" s="16" t="s">
        <v>277</v>
      </c>
      <c r="C237" s="16" t="s">
        <v>494</v>
      </c>
      <c r="D237" s="17">
        <v>165</v>
      </c>
      <c r="E237"/>
      <c r="F237"/>
      <c r="G237"/>
    </row>
    <row r="238" spans="1:7" x14ac:dyDescent="0.3">
      <c r="A238" s="15">
        <v>750</v>
      </c>
      <c r="B238" s="16" t="s">
        <v>277</v>
      </c>
      <c r="C238" s="16" t="s">
        <v>494</v>
      </c>
      <c r="D238" s="17">
        <v>295</v>
      </c>
      <c r="E238"/>
      <c r="F238"/>
      <c r="G238"/>
    </row>
    <row r="239" spans="1:7" x14ac:dyDescent="0.3">
      <c r="A239" s="15">
        <v>764</v>
      </c>
      <c r="B239" s="16" t="s">
        <v>277</v>
      </c>
      <c r="C239" s="16" t="s">
        <v>494</v>
      </c>
      <c r="D239" s="17">
        <v>280</v>
      </c>
      <c r="E239"/>
      <c r="F239"/>
      <c r="G239"/>
    </row>
    <row r="240" spans="1:7" x14ac:dyDescent="0.3">
      <c r="A240" s="15">
        <v>765</v>
      </c>
      <c r="B240" s="16" t="s">
        <v>277</v>
      </c>
      <c r="C240" s="16" t="s">
        <v>494</v>
      </c>
      <c r="D240" s="17">
        <v>185</v>
      </c>
      <c r="E240"/>
      <c r="F240"/>
      <c r="G240"/>
    </row>
    <row r="241" spans="1:7" x14ac:dyDescent="0.3">
      <c r="A241" s="15">
        <v>766</v>
      </c>
      <c r="B241" s="16" t="s">
        <v>277</v>
      </c>
      <c r="C241" s="16" t="s">
        <v>494</v>
      </c>
      <c r="D241" s="17">
        <v>205</v>
      </c>
      <c r="E241"/>
      <c r="F241"/>
      <c r="G241"/>
    </row>
    <row r="242" spans="1:7" x14ac:dyDescent="0.3">
      <c r="A242" s="15">
        <v>767</v>
      </c>
      <c r="B242" s="16" t="s">
        <v>277</v>
      </c>
      <c r="C242" s="16" t="s">
        <v>494</v>
      </c>
      <c r="D242" s="17">
        <v>370</v>
      </c>
      <c r="E242"/>
      <c r="F242"/>
      <c r="G242"/>
    </row>
    <row r="243" spans="1:7" x14ac:dyDescent="0.3">
      <c r="A243" s="15">
        <v>772</v>
      </c>
      <c r="B243" s="16" t="s">
        <v>277</v>
      </c>
      <c r="C243" s="16" t="s">
        <v>494</v>
      </c>
      <c r="D243" s="17">
        <v>210</v>
      </c>
      <c r="E243"/>
      <c r="F243"/>
      <c r="G243"/>
    </row>
    <row r="244" spans="1:7" x14ac:dyDescent="0.3">
      <c r="A244" s="15">
        <v>801</v>
      </c>
      <c r="B244" s="16" t="s">
        <v>277</v>
      </c>
      <c r="C244" s="16" t="s">
        <v>497</v>
      </c>
      <c r="D244" s="17">
        <v>1920</v>
      </c>
      <c r="E244"/>
      <c r="F244"/>
      <c r="G244"/>
    </row>
    <row r="245" spans="1:7" x14ac:dyDescent="0.3">
      <c r="A245" s="15">
        <v>802</v>
      </c>
      <c r="B245" s="16" t="s">
        <v>277</v>
      </c>
      <c r="C245" s="16" t="s">
        <v>497</v>
      </c>
      <c r="D245" s="17">
        <v>3115</v>
      </c>
      <c r="E245"/>
      <c r="F245"/>
      <c r="G245"/>
    </row>
    <row r="246" spans="1:7" x14ac:dyDescent="0.3">
      <c r="A246" s="15">
        <v>803</v>
      </c>
      <c r="B246" s="16" t="s">
        <v>277</v>
      </c>
      <c r="C246" s="16" t="s">
        <v>497</v>
      </c>
      <c r="D246" s="17">
        <v>2265</v>
      </c>
      <c r="E246"/>
      <c r="F246"/>
      <c r="G246"/>
    </row>
    <row r="247" spans="1:7" x14ac:dyDescent="0.3">
      <c r="A247" s="15">
        <v>804</v>
      </c>
      <c r="B247" s="16" t="s">
        <v>277</v>
      </c>
      <c r="C247" s="16" t="s">
        <v>497</v>
      </c>
      <c r="D247" s="17">
        <v>3240</v>
      </c>
      <c r="E247"/>
      <c r="F247"/>
      <c r="G247"/>
    </row>
    <row r="248" spans="1:7" x14ac:dyDescent="0.3">
      <c r="A248" s="15">
        <v>805</v>
      </c>
      <c r="B248" s="16" t="s">
        <v>277</v>
      </c>
      <c r="C248" s="16" t="s">
        <v>497</v>
      </c>
      <c r="D248" s="17">
        <v>1950</v>
      </c>
      <c r="E248"/>
      <c r="F248"/>
      <c r="G248"/>
    </row>
    <row r="249" spans="1:7" x14ac:dyDescent="0.3">
      <c r="A249" s="15">
        <v>806</v>
      </c>
      <c r="B249" s="16" t="s">
        <v>277</v>
      </c>
      <c r="C249" s="16" t="s">
        <v>497</v>
      </c>
      <c r="D249" s="17">
        <v>4940</v>
      </c>
      <c r="E249"/>
      <c r="F249"/>
      <c r="G249"/>
    </row>
    <row r="250" spans="1:7" x14ac:dyDescent="0.3">
      <c r="A250" s="15">
        <v>807</v>
      </c>
      <c r="B250" s="16" t="s">
        <v>277</v>
      </c>
      <c r="C250" s="16" t="s">
        <v>497</v>
      </c>
      <c r="D250" s="17">
        <v>1485</v>
      </c>
      <c r="E250"/>
      <c r="F250"/>
      <c r="G250"/>
    </row>
    <row r="251" spans="1:7" x14ac:dyDescent="0.3">
      <c r="A251" s="15">
        <v>808</v>
      </c>
      <c r="B251" s="16" t="s">
        <v>277</v>
      </c>
      <c r="C251" s="16" t="s">
        <v>497</v>
      </c>
      <c r="D251" s="17">
        <v>1780</v>
      </c>
      <c r="E251"/>
      <c r="F251"/>
      <c r="G251"/>
    </row>
    <row r="252" spans="1:7" x14ac:dyDescent="0.3">
      <c r="A252" s="15">
        <v>809</v>
      </c>
      <c r="B252" s="16" t="s">
        <v>277</v>
      </c>
      <c r="C252" s="16" t="s">
        <v>497</v>
      </c>
      <c r="D252" s="17">
        <v>2820</v>
      </c>
      <c r="E252"/>
      <c r="F252"/>
      <c r="G252"/>
    </row>
    <row r="253" spans="1:7" x14ac:dyDescent="0.3">
      <c r="A253" s="15">
        <v>810</v>
      </c>
      <c r="B253" s="16" t="s">
        <v>277</v>
      </c>
      <c r="C253" s="16" t="s">
        <v>497</v>
      </c>
      <c r="D253" s="17">
        <v>2960</v>
      </c>
      <c r="E253"/>
      <c r="F253"/>
      <c r="G253"/>
    </row>
    <row r="254" spans="1:7" x14ac:dyDescent="0.3">
      <c r="A254" s="15">
        <v>811</v>
      </c>
      <c r="B254" s="16" t="s">
        <v>277</v>
      </c>
      <c r="C254" s="16" t="s">
        <v>497</v>
      </c>
      <c r="D254" s="17">
        <v>1710</v>
      </c>
      <c r="E254"/>
      <c r="F254"/>
      <c r="G254"/>
    </row>
    <row r="255" spans="1:7" x14ac:dyDescent="0.3">
      <c r="A255" s="15">
        <v>812</v>
      </c>
      <c r="B255" s="16" t="s">
        <v>277</v>
      </c>
      <c r="C255" s="16" t="s">
        <v>497</v>
      </c>
      <c r="D255" s="17">
        <v>1170</v>
      </c>
      <c r="E255"/>
      <c r="F255"/>
      <c r="G255"/>
    </row>
    <row r="256" spans="1:7" x14ac:dyDescent="0.3">
      <c r="A256" s="15">
        <v>813</v>
      </c>
      <c r="B256" s="16" t="s">
        <v>277</v>
      </c>
      <c r="C256" s="16" t="s">
        <v>497</v>
      </c>
      <c r="D256" s="17">
        <v>4035</v>
      </c>
      <c r="E256"/>
      <c r="F256"/>
      <c r="G256"/>
    </row>
    <row r="257" spans="1:7" x14ac:dyDescent="0.3">
      <c r="A257" s="15">
        <v>814</v>
      </c>
      <c r="B257" s="16" t="s">
        <v>277</v>
      </c>
      <c r="C257" s="16" t="s">
        <v>497</v>
      </c>
      <c r="D257" s="17">
        <v>1810</v>
      </c>
      <c r="E257"/>
      <c r="F257"/>
      <c r="G257"/>
    </row>
    <row r="258" spans="1:7" x14ac:dyDescent="0.3">
      <c r="A258" s="15">
        <v>815</v>
      </c>
      <c r="B258" s="16" t="s">
        <v>277</v>
      </c>
      <c r="C258" s="16" t="s">
        <v>497</v>
      </c>
      <c r="D258" s="17">
        <v>1640</v>
      </c>
      <c r="E258"/>
      <c r="F258"/>
      <c r="G258"/>
    </row>
    <row r="259" spans="1:7" x14ac:dyDescent="0.3">
      <c r="A259" s="15">
        <v>816</v>
      </c>
      <c r="B259" s="16" t="s">
        <v>284</v>
      </c>
      <c r="C259" s="16" t="s">
        <v>497</v>
      </c>
      <c r="D259" s="17">
        <v>1220</v>
      </c>
      <c r="E259"/>
      <c r="F259"/>
      <c r="G259"/>
    </row>
    <row r="260" spans="1:7" x14ac:dyDescent="0.3">
      <c r="A260" s="15">
        <v>817</v>
      </c>
      <c r="B260" s="16" t="s">
        <v>277</v>
      </c>
      <c r="C260" s="16" t="s">
        <v>497</v>
      </c>
      <c r="D260" s="17">
        <v>2335</v>
      </c>
      <c r="E260"/>
      <c r="F260"/>
      <c r="G260"/>
    </row>
    <row r="261" spans="1:7" x14ac:dyDescent="0.3">
      <c r="A261" s="15">
        <v>818</v>
      </c>
      <c r="B261" s="16" t="s">
        <v>277</v>
      </c>
      <c r="C261" s="16" t="s">
        <v>497</v>
      </c>
      <c r="D261" s="17">
        <v>1220</v>
      </c>
      <c r="E261"/>
      <c r="F261"/>
      <c r="G261"/>
    </row>
    <row r="262" spans="1:7" x14ac:dyDescent="0.3">
      <c r="A262" s="15">
        <v>819</v>
      </c>
      <c r="B262" s="16" t="s">
        <v>277</v>
      </c>
      <c r="C262" s="16" t="s">
        <v>497</v>
      </c>
      <c r="D262" s="17">
        <v>1135</v>
      </c>
      <c r="E262"/>
      <c r="F262"/>
      <c r="G262"/>
    </row>
    <row r="263" spans="1:7" x14ac:dyDescent="0.3">
      <c r="A263" s="15">
        <v>820</v>
      </c>
      <c r="B263" s="16" t="s">
        <v>277</v>
      </c>
      <c r="C263" s="16" t="s">
        <v>497</v>
      </c>
      <c r="D263" s="17">
        <v>1135</v>
      </c>
      <c r="E263"/>
      <c r="F263"/>
      <c r="G263"/>
    </row>
    <row r="264" spans="1:7" x14ac:dyDescent="0.3">
      <c r="A264" s="15">
        <v>821</v>
      </c>
      <c r="B264" s="16" t="s">
        <v>277</v>
      </c>
      <c r="C264" s="16" t="s">
        <v>497</v>
      </c>
      <c r="D264" s="17">
        <v>1085</v>
      </c>
      <c r="E264"/>
      <c r="F264"/>
      <c r="G264"/>
    </row>
    <row r="265" spans="1:7" x14ac:dyDescent="0.3">
      <c r="A265" s="15">
        <v>822</v>
      </c>
      <c r="B265" s="16" t="s">
        <v>277</v>
      </c>
      <c r="C265" s="16" t="s">
        <v>497</v>
      </c>
      <c r="D265" s="17">
        <v>1135</v>
      </c>
      <c r="E265"/>
      <c r="F265"/>
      <c r="G265"/>
    </row>
    <row r="266" spans="1:7" x14ac:dyDescent="0.3">
      <c r="A266" s="15">
        <v>823</v>
      </c>
      <c r="B266" s="16" t="s">
        <v>277</v>
      </c>
      <c r="C266" s="16" t="s">
        <v>497</v>
      </c>
      <c r="D266" s="17">
        <v>1290</v>
      </c>
      <c r="E266"/>
      <c r="F266"/>
      <c r="G266"/>
    </row>
    <row r="267" spans="1:7" x14ac:dyDescent="0.3">
      <c r="A267" s="15">
        <v>824</v>
      </c>
      <c r="B267" s="16" t="s">
        <v>277</v>
      </c>
      <c r="C267" s="16" t="s">
        <v>497</v>
      </c>
      <c r="D267" s="17">
        <v>1325</v>
      </c>
      <c r="E267"/>
      <c r="F267"/>
      <c r="G267"/>
    </row>
    <row r="268" spans="1:7" x14ac:dyDescent="0.3">
      <c r="A268" s="15">
        <v>825</v>
      </c>
      <c r="B268" s="16" t="s">
        <v>277</v>
      </c>
      <c r="C268" s="16" t="s">
        <v>497</v>
      </c>
      <c r="D268" s="17">
        <v>1430</v>
      </c>
      <c r="E268"/>
      <c r="F268"/>
      <c r="G268"/>
    </row>
    <row r="269" spans="1:7" x14ac:dyDescent="0.3">
      <c r="A269" s="15">
        <v>826</v>
      </c>
      <c r="B269" s="16" t="s">
        <v>277</v>
      </c>
      <c r="C269" s="16" t="s">
        <v>497</v>
      </c>
      <c r="D269" s="17">
        <v>3065</v>
      </c>
      <c r="E269"/>
      <c r="F269"/>
      <c r="G269"/>
    </row>
    <row r="270" spans="1:7" x14ac:dyDescent="0.3">
      <c r="A270" s="15">
        <v>827</v>
      </c>
      <c r="B270" s="16" t="s">
        <v>277</v>
      </c>
      <c r="C270" s="16" t="s">
        <v>497</v>
      </c>
      <c r="D270" s="17">
        <v>2405</v>
      </c>
      <c r="E270"/>
      <c r="F270"/>
      <c r="G270"/>
    </row>
    <row r="271" spans="1:7" x14ac:dyDescent="0.3">
      <c r="A271" s="15">
        <v>828</v>
      </c>
      <c r="B271" s="16" t="s">
        <v>277</v>
      </c>
      <c r="C271" s="16" t="s">
        <v>497</v>
      </c>
      <c r="D271" s="17">
        <v>1395</v>
      </c>
      <c r="E271"/>
      <c r="F271"/>
      <c r="G271"/>
    </row>
    <row r="272" spans="1:7" x14ac:dyDescent="0.3">
      <c r="A272" s="15">
        <v>829</v>
      </c>
      <c r="B272" s="16" t="s">
        <v>277</v>
      </c>
      <c r="C272" s="16" t="s">
        <v>497</v>
      </c>
      <c r="D272" s="17">
        <v>3515</v>
      </c>
      <c r="E272"/>
      <c r="F272"/>
      <c r="G272"/>
    </row>
    <row r="273" spans="1:7" x14ac:dyDescent="0.3">
      <c r="A273" s="15">
        <v>830</v>
      </c>
      <c r="B273" s="16" t="s">
        <v>277</v>
      </c>
      <c r="C273" s="16" t="s">
        <v>497</v>
      </c>
      <c r="D273" s="17">
        <v>1395</v>
      </c>
      <c r="E273"/>
      <c r="F273"/>
      <c r="G273"/>
    </row>
    <row r="274" spans="1:7" x14ac:dyDescent="0.3">
      <c r="A274" s="15">
        <v>831</v>
      </c>
      <c r="B274" s="16" t="s">
        <v>277</v>
      </c>
      <c r="C274" s="16" t="s">
        <v>497</v>
      </c>
      <c r="D274" s="17">
        <v>1780</v>
      </c>
      <c r="E274"/>
      <c r="F274"/>
      <c r="G274"/>
    </row>
    <row r="275" spans="1:7" x14ac:dyDescent="0.3">
      <c r="A275" s="15">
        <v>832</v>
      </c>
      <c r="B275" s="16" t="s">
        <v>277</v>
      </c>
      <c r="C275" s="16" t="s">
        <v>497</v>
      </c>
      <c r="D275" s="17">
        <v>1500</v>
      </c>
      <c r="E275"/>
      <c r="F275"/>
      <c r="G275"/>
    </row>
    <row r="276" spans="1:7" x14ac:dyDescent="0.3">
      <c r="A276" s="15">
        <v>833</v>
      </c>
      <c r="B276" s="16" t="s">
        <v>277</v>
      </c>
      <c r="C276" s="16" t="s">
        <v>497</v>
      </c>
      <c r="D276" s="17">
        <v>1110</v>
      </c>
      <c r="E276"/>
      <c r="F276"/>
      <c r="G276"/>
    </row>
    <row r="277" spans="1:7" x14ac:dyDescent="0.3">
      <c r="A277" s="15">
        <v>834</v>
      </c>
      <c r="B277" s="16" t="s">
        <v>277</v>
      </c>
      <c r="C277" s="16" t="s">
        <v>497</v>
      </c>
      <c r="D277" s="17">
        <v>1430</v>
      </c>
      <c r="E277"/>
      <c r="F277"/>
      <c r="G277"/>
    </row>
    <row r="278" spans="1:7" x14ac:dyDescent="0.3">
      <c r="A278" s="15">
        <v>835</v>
      </c>
      <c r="B278" s="16" t="s">
        <v>277</v>
      </c>
      <c r="C278" s="16" t="s">
        <v>497</v>
      </c>
      <c r="D278" s="17">
        <v>1570</v>
      </c>
      <c r="E278"/>
      <c r="F278"/>
      <c r="G278"/>
    </row>
    <row r="279" spans="1:7" x14ac:dyDescent="0.3">
      <c r="A279" s="15">
        <v>836</v>
      </c>
      <c r="B279" s="16" t="s">
        <v>277</v>
      </c>
      <c r="C279" s="16" t="s">
        <v>497</v>
      </c>
      <c r="D279" s="17">
        <v>1220</v>
      </c>
      <c r="E279"/>
      <c r="F279"/>
      <c r="G279"/>
    </row>
    <row r="280" spans="1:7" x14ac:dyDescent="0.3">
      <c r="A280" s="15">
        <v>837</v>
      </c>
      <c r="B280" s="16" t="s">
        <v>277</v>
      </c>
      <c r="C280" s="16" t="s">
        <v>497</v>
      </c>
      <c r="D280" s="17">
        <v>1360</v>
      </c>
      <c r="E280"/>
      <c r="F280"/>
      <c r="G280"/>
    </row>
    <row r="281" spans="1:7" x14ac:dyDescent="0.3">
      <c r="A281" s="15">
        <v>838</v>
      </c>
      <c r="B281" s="16" t="s">
        <v>277</v>
      </c>
      <c r="C281" s="16" t="s">
        <v>497</v>
      </c>
      <c r="D281" s="17">
        <v>870</v>
      </c>
      <c r="E281"/>
      <c r="F281"/>
      <c r="G281"/>
    </row>
    <row r="282" spans="1:7" x14ac:dyDescent="0.3">
      <c r="A282" s="15">
        <v>839</v>
      </c>
      <c r="B282" s="16" t="s">
        <v>277</v>
      </c>
      <c r="C282" s="16" t="s">
        <v>497</v>
      </c>
      <c r="D282" s="17">
        <v>1105</v>
      </c>
      <c r="E282"/>
      <c r="F282"/>
      <c r="G282"/>
    </row>
    <row r="283" spans="1:7" x14ac:dyDescent="0.3">
      <c r="A283" s="15">
        <v>840</v>
      </c>
      <c r="B283" s="16" t="s">
        <v>277</v>
      </c>
      <c r="C283" s="16" t="s">
        <v>497</v>
      </c>
      <c r="D283" s="17">
        <v>1045</v>
      </c>
      <c r="E283"/>
      <c r="F283"/>
      <c r="G283"/>
    </row>
    <row r="284" spans="1:7" x14ac:dyDescent="0.3">
      <c r="A284" s="15">
        <v>907</v>
      </c>
      <c r="B284" s="16" t="s">
        <v>277</v>
      </c>
      <c r="C284" s="16" t="s">
        <v>497</v>
      </c>
      <c r="D284" s="17">
        <v>2715</v>
      </c>
      <c r="E284"/>
      <c r="F284"/>
      <c r="G284"/>
    </row>
    <row r="285" spans="1:7" x14ac:dyDescent="0.3">
      <c r="A285" s="15">
        <v>948</v>
      </c>
      <c r="B285" s="16" t="s">
        <v>284</v>
      </c>
      <c r="C285" s="16" t="s">
        <v>493</v>
      </c>
      <c r="D285" s="17">
        <v>880</v>
      </c>
      <c r="E285"/>
      <c r="F285"/>
      <c r="G285"/>
    </row>
    <row r="286" spans="1:7" x14ac:dyDescent="0.3">
      <c r="A286" s="15">
        <v>949</v>
      </c>
      <c r="B286" s="16" t="s">
        <v>284</v>
      </c>
      <c r="C286" s="16" t="s">
        <v>493</v>
      </c>
      <c r="D286" s="17">
        <v>980</v>
      </c>
      <c r="E286"/>
      <c r="F286"/>
      <c r="G286"/>
    </row>
    <row r="287" spans="1:7" x14ac:dyDescent="0.3">
      <c r="A287" s="15">
        <v>951</v>
      </c>
      <c r="B287" s="16" t="s">
        <v>284</v>
      </c>
      <c r="C287" s="16" t="s">
        <v>493</v>
      </c>
      <c r="D287" s="17">
        <v>1005</v>
      </c>
      <c r="E287"/>
      <c r="F287"/>
      <c r="G287"/>
    </row>
    <row r="288" spans="1:7" x14ac:dyDescent="0.3">
      <c r="A288" s="15">
        <v>959</v>
      </c>
      <c r="B288" s="16" t="s">
        <v>284</v>
      </c>
      <c r="C288" s="16" t="s">
        <v>493</v>
      </c>
      <c r="D288" s="17">
        <v>950</v>
      </c>
      <c r="E288"/>
      <c r="F288"/>
      <c r="G288"/>
    </row>
    <row r="289" spans="1:7" x14ac:dyDescent="0.3">
      <c r="A289" s="15">
        <v>960</v>
      </c>
      <c r="B289" s="16" t="s">
        <v>284</v>
      </c>
      <c r="C289" s="16" t="s">
        <v>493</v>
      </c>
      <c r="D289" s="17">
        <v>1135</v>
      </c>
      <c r="E289"/>
      <c r="F289"/>
      <c r="G289"/>
    </row>
    <row r="290" spans="1:7" x14ac:dyDescent="0.3">
      <c r="A290" s="15">
        <v>962</v>
      </c>
      <c r="B290" s="16" t="s">
        <v>284</v>
      </c>
      <c r="C290" s="16" t="s">
        <v>493</v>
      </c>
      <c r="D290" s="17">
        <v>1115</v>
      </c>
      <c r="E290"/>
      <c r="F290"/>
      <c r="G290"/>
    </row>
    <row r="291" spans="1:7" x14ac:dyDescent="0.3">
      <c r="A291" s="15">
        <v>965</v>
      </c>
      <c r="B291" s="16" t="s">
        <v>284</v>
      </c>
      <c r="C291" s="16" t="s">
        <v>493</v>
      </c>
      <c r="D291" s="17">
        <v>805</v>
      </c>
      <c r="E291"/>
      <c r="F291"/>
      <c r="G291"/>
    </row>
    <row r="292" spans="1:7" x14ac:dyDescent="0.3">
      <c r="A292" s="15">
        <v>968</v>
      </c>
      <c r="B292" s="16" t="s">
        <v>284</v>
      </c>
      <c r="C292" s="16" t="s">
        <v>493</v>
      </c>
      <c r="D292" s="17">
        <v>1115</v>
      </c>
      <c r="E292"/>
      <c r="F292"/>
      <c r="G292"/>
    </row>
    <row r="293" spans="1:7" x14ac:dyDescent="0.3">
      <c r="A293" s="15">
        <v>969</v>
      </c>
      <c r="B293" s="16" t="s">
        <v>284</v>
      </c>
      <c r="C293" s="16" t="s">
        <v>493</v>
      </c>
      <c r="D293" s="17">
        <v>870</v>
      </c>
      <c r="E293"/>
      <c r="F293"/>
      <c r="G293"/>
    </row>
    <row r="294" spans="1:7" x14ac:dyDescent="0.3">
      <c r="A294" s="15">
        <v>970</v>
      </c>
      <c r="B294" s="16" t="s">
        <v>284</v>
      </c>
      <c r="C294" s="16" t="s">
        <v>493</v>
      </c>
      <c r="D294" s="17">
        <v>1210</v>
      </c>
      <c r="E294"/>
      <c r="F294"/>
      <c r="G294"/>
    </row>
    <row r="295" spans="1:7" x14ac:dyDescent="0.3">
      <c r="A295" s="15">
        <v>971</v>
      </c>
      <c r="B295" s="16" t="s">
        <v>284</v>
      </c>
      <c r="C295" s="16" t="s">
        <v>493</v>
      </c>
      <c r="D295" s="17">
        <v>925</v>
      </c>
      <c r="E295"/>
      <c r="F295"/>
      <c r="G295"/>
    </row>
    <row r="296" spans="1:7" x14ac:dyDescent="0.3">
      <c r="A296" s="15">
        <v>973</v>
      </c>
      <c r="B296" s="16" t="s">
        <v>284</v>
      </c>
      <c r="C296" s="16" t="s">
        <v>493</v>
      </c>
      <c r="D296" s="17">
        <v>1160</v>
      </c>
      <c r="E296"/>
      <c r="F296"/>
      <c r="G296"/>
    </row>
    <row r="297" spans="1:7" x14ac:dyDescent="0.3">
      <c r="A297" s="15">
        <v>1004</v>
      </c>
      <c r="B297" s="16" t="s">
        <v>284</v>
      </c>
      <c r="C297" s="16" t="s">
        <v>493</v>
      </c>
      <c r="D297" s="17">
        <v>1025</v>
      </c>
      <c r="E297"/>
      <c r="F297"/>
      <c r="G297"/>
    </row>
    <row r="298" spans="1:7" x14ac:dyDescent="0.3">
      <c r="A298" s="15">
        <v>1005</v>
      </c>
      <c r="B298" s="16" t="s">
        <v>284</v>
      </c>
      <c r="C298" s="16" t="s">
        <v>493</v>
      </c>
      <c r="D298" s="17">
        <v>1105</v>
      </c>
      <c r="E298"/>
      <c r="F298"/>
      <c r="G298"/>
    </row>
    <row r="299" spans="1:7" x14ac:dyDescent="0.3">
      <c r="A299" s="15">
        <v>1006</v>
      </c>
      <c r="B299" s="16" t="s">
        <v>284</v>
      </c>
      <c r="C299" s="16" t="s">
        <v>493</v>
      </c>
      <c r="D299" s="17">
        <v>1375</v>
      </c>
      <c r="E299"/>
      <c r="F299"/>
      <c r="G299"/>
    </row>
    <row r="300" spans="1:7" x14ac:dyDescent="0.3">
      <c r="A300" s="15">
        <v>1007</v>
      </c>
      <c r="B300" s="16" t="s">
        <v>284</v>
      </c>
      <c r="C300" s="16" t="s">
        <v>493</v>
      </c>
      <c r="D300" s="17">
        <v>1115</v>
      </c>
      <c r="E300"/>
      <c r="F300"/>
      <c r="G300"/>
    </row>
    <row r="301" spans="1:7" x14ac:dyDescent="0.3">
      <c r="A301" s="15">
        <v>1008</v>
      </c>
      <c r="B301" s="16" t="s">
        <v>284</v>
      </c>
      <c r="C301" s="16" t="s">
        <v>493</v>
      </c>
      <c r="D301" s="17">
        <v>1250</v>
      </c>
      <c r="E301"/>
      <c r="F301"/>
      <c r="G301"/>
    </row>
    <row r="302" spans="1:7" x14ac:dyDescent="0.3">
      <c r="A302" s="15">
        <v>1009</v>
      </c>
      <c r="B302" s="16" t="s">
        <v>284</v>
      </c>
      <c r="C302" s="16" t="s">
        <v>493</v>
      </c>
      <c r="D302" s="17">
        <v>925</v>
      </c>
      <c r="E302"/>
      <c r="F302"/>
      <c r="G302"/>
    </row>
    <row r="303" spans="1:7" x14ac:dyDescent="0.3">
      <c r="A303" s="15">
        <v>1011</v>
      </c>
      <c r="B303" s="16" t="s">
        <v>284</v>
      </c>
      <c r="C303" s="16" t="s">
        <v>493</v>
      </c>
      <c r="D303" s="17">
        <v>1105</v>
      </c>
      <c r="E303"/>
      <c r="F303"/>
      <c r="G303"/>
    </row>
    <row r="304" spans="1:7" x14ac:dyDescent="0.3">
      <c r="A304" s="15">
        <v>1012</v>
      </c>
      <c r="B304" s="16" t="s">
        <v>284</v>
      </c>
      <c r="C304" s="16" t="s">
        <v>493</v>
      </c>
      <c r="D304" s="17">
        <v>1235</v>
      </c>
      <c r="E304"/>
      <c r="F304"/>
      <c r="G304"/>
    </row>
    <row r="305" spans="1:7" x14ac:dyDescent="0.3">
      <c r="A305" s="15">
        <v>1016</v>
      </c>
      <c r="B305" s="16" t="s">
        <v>284</v>
      </c>
      <c r="C305" s="16" t="s">
        <v>493</v>
      </c>
      <c r="D305" s="17">
        <v>1235</v>
      </c>
      <c r="E305"/>
      <c r="F305"/>
      <c r="G305"/>
    </row>
    <row r="306" spans="1:7" x14ac:dyDescent="0.3">
      <c r="A306" s="15">
        <v>1017</v>
      </c>
      <c r="B306" s="16" t="s">
        <v>284</v>
      </c>
      <c r="C306" s="16" t="s">
        <v>493</v>
      </c>
      <c r="D306" s="17">
        <v>940</v>
      </c>
      <c r="E306"/>
      <c r="F306"/>
      <c r="G306"/>
    </row>
    <row r="307" spans="1:7" x14ac:dyDescent="0.3">
      <c r="A307" s="15">
        <v>1018</v>
      </c>
      <c r="B307" s="16" t="s">
        <v>284</v>
      </c>
      <c r="C307" s="16" t="s">
        <v>493</v>
      </c>
      <c r="D307" s="17">
        <v>860</v>
      </c>
      <c r="E307"/>
      <c r="F307"/>
      <c r="G307"/>
    </row>
    <row r="308" spans="1:7" x14ac:dyDescent="0.3">
      <c r="A308" s="15">
        <v>1019</v>
      </c>
      <c r="B308" s="16" t="s">
        <v>284</v>
      </c>
      <c r="C308" s="16" t="s">
        <v>493</v>
      </c>
      <c r="D308" s="17">
        <v>895</v>
      </c>
      <c r="E308"/>
      <c r="F308"/>
      <c r="G308"/>
    </row>
    <row r="309" spans="1:7" x14ac:dyDescent="0.3">
      <c r="A309" s="15">
        <v>1020</v>
      </c>
      <c r="B309" s="16" t="s">
        <v>284</v>
      </c>
      <c r="C309" s="16" t="s">
        <v>493</v>
      </c>
      <c r="D309" s="17">
        <v>1105</v>
      </c>
      <c r="E309"/>
      <c r="F309"/>
      <c r="G309"/>
    </row>
    <row r="310" spans="1:7" x14ac:dyDescent="0.3">
      <c r="A310" s="15">
        <v>1021</v>
      </c>
      <c r="B310" s="16" t="s">
        <v>284</v>
      </c>
      <c r="C310" s="16" t="s">
        <v>493</v>
      </c>
      <c r="D310" s="17">
        <v>1480</v>
      </c>
      <c r="E310"/>
      <c r="F310"/>
      <c r="G310"/>
    </row>
    <row r="311" spans="1:7" x14ac:dyDescent="0.3">
      <c r="A311" s="15">
        <v>1030</v>
      </c>
      <c r="B311" s="16" t="s">
        <v>284</v>
      </c>
      <c r="C311" s="16" t="s">
        <v>493</v>
      </c>
      <c r="D311" s="17">
        <v>1005</v>
      </c>
      <c r="E311"/>
      <c r="F311"/>
      <c r="G311"/>
    </row>
    <row r="312" spans="1:7" x14ac:dyDescent="0.3">
      <c r="A312" s="15">
        <v>2241</v>
      </c>
      <c r="B312" s="16" t="s">
        <v>277</v>
      </c>
      <c r="C312" s="16" t="s">
        <v>497</v>
      </c>
      <c r="D312" s="17">
        <v>1430</v>
      </c>
      <c r="E312"/>
      <c r="F312"/>
      <c r="G312"/>
    </row>
    <row r="313" spans="1:7" x14ac:dyDescent="0.3">
      <c r="A313" s="15">
        <v>2251</v>
      </c>
      <c r="B313" s="16" t="s">
        <v>284</v>
      </c>
      <c r="C313" s="16" t="s">
        <v>497</v>
      </c>
      <c r="D313" s="17">
        <v>805</v>
      </c>
      <c r="E313"/>
      <c r="F313"/>
      <c r="G313"/>
    </row>
    <row r="314" spans="1:7" x14ac:dyDescent="0.3">
      <c r="A314" s="15">
        <v>2291</v>
      </c>
      <c r="B314" s="16" t="s">
        <v>277</v>
      </c>
      <c r="C314" s="16" t="s">
        <v>494</v>
      </c>
      <c r="D314" s="17">
        <v>370</v>
      </c>
      <c r="E314"/>
      <c r="F314"/>
      <c r="G314"/>
    </row>
    <row r="315" spans="1:7" x14ac:dyDescent="0.3">
      <c r="A315" s="15">
        <v>2292</v>
      </c>
      <c r="B315" s="16" t="s">
        <v>277</v>
      </c>
      <c r="C315" s="16" t="s">
        <v>494</v>
      </c>
      <c r="D315" s="17">
        <v>340</v>
      </c>
      <c r="E315"/>
      <c r="F315"/>
      <c r="G315"/>
    </row>
    <row r="316" spans="1:7" x14ac:dyDescent="0.3">
      <c r="A316" s="15">
        <v>2301</v>
      </c>
      <c r="B316" s="16" t="s">
        <v>277</v>
      </c>
      <c r="C316" s="16" t="s">
        <v>494</v>
      </c>
      <c r="D316" s="17">
        <v>440</v>
      </c>
      <c r="E316"/>
      <c r="F316"/>
      <c r="G316"/>
    </row>
    <row r="317" spans="1:7" x14ac:dyDescent="0.3">
      <c r="A317" s="15">
        <v>2302</v>
      </c>
      <c r="B317" s="16" t="s">
        <v>277</v>
      </c>
      <c r="C317" s="16" t="s">
        <v>494</v>
      </c>
      <c r="D317" s="17">
        <v>455</v>
      </c>
      <c r="E317"/>
      <c r="F317"/>
      <c r="G317"/>
    </row>
    <row r="318" spans="1:7" x14ac:dyDescent="0.3">
      <c r="A318" s="15">
        <v>2311</v>
      </c>
      <c r="B318" s="16" t="s">
        <v>277</v>
      </c>
      <c r="C318" s="16" t="s">
        <v>494</v>
      </c>
      <c r="D318" s="17">
        <v>395</v>
      </c>
      <c r="E318"/>
      <c r="F318"/>
      <c r="G318"/>
    </row>
    <row r="319" spans="1:7" x14ac:dyDescent="0.3">
      <c r="A319" s="15">
        <v>2312</v>
      </c>
      <c r="B319" s="16" t="s">
        <v>277</v>
      </c>
      <c r="C319" s="16" t="s">
        <v>494</v>
      </c>
      <c r="D319" s="17">
        <v>770</v>
      </c>
      <c r="E319"/>
      <c r="F319"/>
      <c r="G319"/>
    </row>
    <row r="320" spans="1:7" x14ac:dyDescent="0.3">
      <c r="A320" s="15">
        <v>2313</v>
      </c>
      <c r="B320" s="16" t="s">
        <v>277</v>
      </c>
      <c r="C320" s="16" t="s">
        <v>494</v>
      </c>
      <c r="D320" s="17">
        <v>485</v>
      </c>
      <c r="E320"/>
      <c r="F320"/>
      <c r="G320"/>
    </row>
    <row r="321" spans="1:7" x14ac:dyDescent="0.3">
      <c r="A321" s="15">
        <v>2314</v>
      </c>
      <c r="B321" s="16" t="s">
        <v>277</v>
      </c>
      <c r="C321" s="16" t="s">
        <v>494</v>
      </c>
      <c r="D321" s="17">
        <v>445</v>
      </c>
      <c r="E321"/>
      <c r="F321"/>
      <c r="G321"/>
    </row>
    <row r="322" spans="1:7" x14ac:dyDescent="0.3">
      <c r="A322" s="15">
        <v>2315</v>
      </c>
      <c r="B322" s="16" t="s">
        <v>277</v>
      </c>
      <c r="C322" s="16" t="s">
        <v>494</v>
      </c>
      <c r="D322" s="17">
        <v>500</v>
      </c>
      <c r="E322"/>
      <c r="F322"/>
      <c r="G322"/>
    </row>
    <row r="323" spans="1:7" x14ac:dyDescent="0.3">
      <c r="A323" s="15">
        <v>2316</v>
      </c>
      <c r="B323" s="16" t="s">
        <v>277</v>
      </c>
      <c r="C323" s="16" t="s">
        <v>494</v>
      </c>
      <c r="D323" s="17">
        <v>610</v>
      </c>
      <c r="E323"/>
      <c r="F323"/>
      <c r="G323"/>
    </row>
    <row r="324" spans="1:7" x14ac:dyDescent="0.3">
      <c r="A324" s="15">
        <v>2317</v>
      </c>
      <c r="B324" s="16" t="s">
        <v>277</v>
      </c>
      <c r="C324" s="16" t="s">
        <v>494</v>
      </c>
      <c r="D324" s="17">
        <v>590</v>
      </c>
      <c r="E324"/>
      <c r="F324"/>
      <c r="G324"/>
    </row>
    <row r="325" spans="1:7" x14ac:dyDescent="0.3">
      <c r="A325" s="15">
        <v>2318</v>
      </c>
      <c r="B325" s="16" t="s">
        <v>277</v>
      </c>
      <c r="C325" s="16" t="s">
        <v>494</v>
      </c>
      <c r="D325" s="17">
        <v>590</v>
      </c>
      <c r="E325"/>
      <c r="F325"/>
      <c r="G325"/>
    </row>
    <row r="326" spans="1:7" x14ac:dyDescent="0.3">
      <c r="A326" s="15">
        <v>2320</v>
      </c>
      <c r="B326" s="16" t="s">
        <v>277</v>
      </c>
      <c r="C326" s="16" t="s">
        <v>494</v>
      </c>
      <c r="D326" s="17">
        <v>520</v>
      </c>
      <c r="E326"/>
      <c r="F326"/>
      <c r="G326"/>
    </row>
    <row r="327" spans="1:7" x14ac:dyDescent="0.3">
      <c r="A327" s="15">
        <v>2331</v>
      </c>
      <c r="B327" s="16" t="s">
        <v>277</v>
      </c>
      <c r="C327" s="16" t="s">
        <v>494</v>
      </c>
      <c r="D327" s="17">
        <v>360</v>
      </c>
      <c r="E327"/>
      <c r="F327"/>
      <c r="G327"/>
    </row>
    <row r="328" spans="1:7" x14ac:dyDescent="0.3">
      <c r="A328" s="15">
        <v>2332</v>
      </c>
      <c r="B328" s="16" t="s">
        <v>277</v>
      </c>
      <c r="C328" s="16" t="s">
        <v>494</v>
      </c>
      <c r="D328" s="17">
        <v>425</v>
      </c>
      <c r="E328"/>
      <c r="F328"/>
      <c r="G328"/>
    </row>
    <row r="329" spans="1:7" x14ac:dyDescent="0.3">
      <c r="A329" s="15">
        <v>2334</v>
      </c>
      <c r="B329" s="16" t="s">
        <v>277</v>
      </c>
      <c r="C329" s="16" t="s">
        <v>494</v>
      </c>
      <c r="D329" s="17">
        <v>520</v>
      </c>
      <c r="E329"/>
      <c r="F329"/>
      <c r="G329"/>
    </row>
    <row r="330" spans="1:7" x14ac:dyDescent="0.3">
      <c r="A330" s="15">
        <v>2335</v>
      </c>
      <c r="B330" s="16" t="s">
        <v>277</v>
      </c>
      <c r="C330" s="16" t="s">
        <v>494</v>
      </c>
      <c r="D330" s="17">
        <v>320</v>
      </c>
      <c r="E330"/>
      <c r="F330"/>
      <c r="G330"/>
    </row>
    <row r="331" spans="1:7" x14ac:dyDescent="0.3">
      <c r="A331" s="15">
        <v>2336</v>
      </c>
      <c r="B331" s="16" t="s">
        <v>284</v>
      </c>
      <c r="C331" s="16" t="s">
        <v>494</v>
      </c>
      <c r="D331" s="17">
        <v>600</v>
      </c>
      <c r="E331"/>
      <c r="F331"/>
      <c r="G331"/>
    </row>
    <row r="332" spans="1:7" x14ac:dyDescent="0.3">
      <c r="A332" s="15">
        <v>2337</v>
      </c>
      <c r="B332" s="16" t="s">
        <v>277</v>
      </c>
      <c r="C332" s="16" t="s">
        <v>494</v>
      </c>
      <c r="D332" s="17">
        <v>555</v>
      </c>
      <c r="E332"/>
      <c r="F332"/>
      <c r="G332"/>
    </row>
    <row r="333" spans="1:7" x14ac:dyDescent="0.3">
      <c r="A333" s="15">
        <v>2351</v>
      </c>
      <c r="B333" s="16" t="s">
        <v>277</v>
      </c>
      <c r="C333" s="16" t="s">
        <v>494</v>
      </c>
      <c r="D333" s="17">
        <v>455</v>
      </c>
      <c r="E333"/>
      <c r="F333"/>
      <c r="G333"/>
    </row>
    <row r="334" spans="1:7" x14ac:dyDescent="0.3">
      <c r="A334" s="15">
        <v>2391</v>
      </c>
      <c r="B334" s="16" t="s">
        <v>277</v>
      </c>
      <c r="C334" s="16" t="s">
        <v>497</v>
      </c>
      <c r="D334" s="17">
        <v>1035</v>
      </c>
      <c r="E334"/>
      <c r="F334"/>
      <c r="G334"/>
    </row>
    <row r="335" spans="1:7" x14ac:dyDescent="0.3">
      <c r="A335" s="15">
        <v>2392</v>
      </c>
      <c r="B335" s="16" t="s">
        <v>277</v>
      </c>
      <c r="C335" s="16" t="s">
        <v>497</v>
      </c>
      <c r="D335" s="17">
        <v>1035</v>
      </c>
      <c r="E335"/>
      <c r="F335"/>
      <c r="G335"/>
    </row>
    <row r="336" spans="1:7" x14ac:dyDescent="0.3">
      <c r="A336" s="15">
        <v>2393</v>
      </c>
      <c r="B336" s="16" t="s">
        <v>277</v>
      </c>
      <c r="C336" s="16" t="s">
        <v>497</v>
      </c>
      <c r="D336" s="17">
        <v>785</v>
      </c>
      <c r="E336"/>
      <c r="F336"/>
      <c r="G336"/>
    </row>
    <row r="337" spans="1:7" x14ac:dyDescent="0.3">
      <c r="A337" s="15">
        <v>2394</v>
      </c>
      <c r="B337" s="16" t="s">
        <v>277</v>
      </c>
      <c r="C337" s="16" t="s">
        <v>497</v>
      </c>
      <c r="D337" s="17">
        <v>785</v>
      </c>
      <c r="E337"/>
      <c r="F337"/>
      <c r="G337"/>
    </row>
    <row r="338" spans="1:7" x14ac:dyDescent="0.3">
      <c r="A338" s="15">
        <v>2395</v>
      </c>
      <c r="B338" s="16" t="s">
        <v>277</v>
      </c>
      <c r="C338" s="16" t="s">
        <v>497</v>
      </c>
      <c r="D338" s="17">
        <v>785</v>
      </c>
      <c r="E338"/>
      <c r="F338"/>
      <c r="G338"/>
    </row>
    <row r="339" spans="1:7" x14ac:dyDescent="0.3">
      <c r="A339" s="15">
        <v>2396</v>
      </c>
      <c r="B339" s="16" t="s">
        <v>277</v>
      </c>
      <c r="C339" s="16" t="s">
        <v>497</v>
      </c>
      <c r="D339" s="17">
        <v>650</v>
      </c>
      <c r="E339"/>
      <c r="F339"/>
      <c r="G339"/>
    </row>
    <row r="340" spans="1:7" x14ac:dyDescent="0.3">
      <c r="A340" s="15">
        <v>2397</v>
      </c>
      <c r="B340" s="16" t="s">
        <v>277</v>
      </c>
      <c r="C340" s="16" t="s">
        <v>497</v>
      </c>
      <c r="D340" s="17">
        <v>490</v>
      </c>
      <c r="E340"/>
      <c r="F340"/>
      <c r="G340"/>
    </row>
    <row r="341" spans="1:7" x14ac:dyDescent="0.3">
      <c r="A341" s="15">
        <v>2398</v>
      </c>
      <c r="B341" s="16" t="s">
        <v>277</v>
      </c>
      <c r="C341" s="16" t="s">
        <v>497</v>
      </c>
      <c r="D341" s="17">
        <v>785</v>
      </c>
      <c r="E341"/>
      <c r="F341"/>
      <c r="G341"/>
    </row>
    <row r="342" spans="1:7" x14ac:dyDescent="0.3">
      <c r="A342" s="15">
        <v>2399</v>
      </c>
      <c r="B342" s="16" t="s">
        <v>277</v>
      </c>
      <c r="C342" s="16" t="s">
        <v>497</v>
      </c>
      <c r="D342" s="17">
        <v>785</v>
      </c>
      <c r="E342"/>
      <c r="F342"/>
      <c r="G342"/>
    </row>
    <row r="343" spans="1:7" x14ac:dyDescent="0.3">
      <c r="A343" s="15">
        <v>2401</v>
      </c>
      <c r="B343" s="16" t="s">
        <v>277</v>
      </c>
      <c r="C343" s="16" t="s">
        <v>498</v>
      </c>
      <c r="D343" s="17">
        <v>190</v>
      </c>
      <c r="E343"/>
      <c r="F343"/>
      <c r="G343"/>
    </row>
    <row r="344" spans="1:7" x14ac:dyDescent="0.3">
      <c r="A344" s="15">
        <v>2402</v>
      </c>
      <c r="B344" s="16" t="s">
        <v>277</v>
      </c>
      <c r="C344" s="16" t="s">
        <v>498</v>
      </c>
      <c r="D344" s="17">
        <v>145</v>
      </c>
      <c r="E344"/>
      <c r="F344"/>
      <c r="G344"/>
    </row>
    <row r="345" spans="1:7" x14ac:dyDescent="0.3">
      <c r="A345" s="15">
        <v>2403</v>
      </c>
      <c r="B345" s="16" t="s">
        <v>277</v>
      </c>
      <c r="C345" s="16" t="s">
        <v>498</v>
      </c>
      <c r="D345" s="17">
        <v>175</v>
      </c>
      <c r="E345"/>
      <c r="F345"/>
      <c r="G345"/>
    </row>
    <row r="346" spans="1:7" x14ac:dyDescent="0.3">
      <c r="A346" s="15">
        <v>2404</v>
      </c>
      <c r="B346" s="16" t="s">
        <v>277</v>
      </c>
      <c r="C346" s="16" t="s">
        <v>498</v>
      </c>
      <c r="D346" s="17">
        <v>175</v>
      </c>
      <c r="E346"/>
      <c r="F346"/>
      <c r="G346"/>
    </row>
    <row r="347" spans="1:7" x14ac:dyDescent="0.3">
      <c r="A347" s="15">
        <v>2405</v>
      </c>
      <c r="B347" s="16" t="s">
        <v>277</v>
      </c>
      <c r="C347" s="16" t="s">
        <v>498</v>
      </c>
      <c r="D347" s="17">
        <v>205</v>
      </c>
      <c r="E347"/>
      <c r="F347"/>
      <c r="G347"/>
    </row>
    <row r="348" spans="1:7" x14ac:dyDescent="0.3">
      <c r="A348" s="15">
        <v>2406</v>
      </c>
      <c r="B348" s="16" t="s">
        <v>277</v>
      </c>
      <c r="C348" s="16" t="s">
        <v>498</v>
      </c>
      <c r="D348" s="17">
        <v>240</v>
      </c>
      <c r="E348"/>
      <c r="F348"/>
      <c r="G348"/>
    </row>
    <row r="349" spans="1:7" x14ac:dyDescent="0.3">
      <c r="A349" s="15">
        <v>2407</v>
      </c>
      <c r="B349" s="16" t="s">
        <v>277</v>
      </c>
      <c r="C349" s="16" t="s">
        <v>498</v>
      </c>
      <c r="D349" s="17">
        <v>185</v>
      </c>
      <c r="E349"/>
      <c r="F349"/>
      <c r="G349"/>
    </row>
    <row r="350" spans="1:7" x14ac:dyDescent="0.3">
      <c r="A350" s="15">
        <v>2408</v>
      </c>
      <c r="B350" s="16" t="s">
        <v>277</v>
      </c>
      <c r="C350" s="16" t="s">
        <v>498</v>
      </c>
      <c r="D350" s="17">
        <v>210</v>
      </c>
      <c r="E350"/>
      <c r="F350"/>
      <c r="G350"/>
    </row>
    <row r="351" spans="1:7" x14ac:dyDescent="0.3">
      <c r="A351" s="15">
        <v>2409</v>
      </c>
      <c r="B351" s="16" t="s">
        <v>277</v>
      </c>
      <c r="C351" s="16" t="s">
        <v>498</v>
      </c>
      <c r="D351" s="17">
        <v>200</v>
      </c>
      <c r="E351"/>
      <c r="F351"/>
      <c r="G351"/>
    </row>
    <row r="352" spans="1:7" x14ac:dyDescent="0.3">
      <c r="A352" s="15">
        <v>2410</v>
      </c>
      <c r="B352" s="16" t="s">
        <v>277</v>
      </c>
      <c r="C352" s="16" t="s">
        <v>498</v>
      </c>
      <c r="D352" s="17">
        <v>150</v>
      </c>
      <c r="E352"/>
      <c r="F352"/>
      <c r="G352"/>
    </row>
    <row r="353" spans="1:7" x14ac:dyDescent="0.3">
      <c r="A353" s="15">
        <v>2411</v>
      </c>
      <c r="B353" s="16" t="s">
        <v>277</v>
      </c>
      <c r="C353" s="16" t="s">
        <v>498</v>
      </c>
      <c r="D353" s="17">
        <v>130</v>
      </c>
      <c r="E353"/>
      <c r="F353"/>
      <c r="G353"/>
    </row>
    <row r="354" spans="1:7" x14ac:dyDescent="0.3">
      <c r="A354" s="15">
        <v>2412</v>
      </c>
      <c r="B354" s="16" t="s">
        <v>277</v>
      </c>
      <c r="C354" s="16" t="s">
        <v>498</v>
      </c>
      <c r="D354" s="17">
        <v>160</v>
      </c>
      <c r="E354"/>
      <c r="F354"/>
      <c r="G354"/>
    </row>
    <row r="355" spans="1:7" x14ac:dyDescent="0.3">
      <c r="A355" s="15">
        <v>2413</v>
      </c>
      <c r="B355" s="16" t="s">
        <v>277</v>
      </c>
      <c r="C355" s="16" t="s">
        <v>498</v>
      </c>
      <c r="D355" s="17">
        <v>130</v>
      </c>
      <c r="E355"/>
      <c r="F355"/>
      <c r="G355"/>
    </row>
    <row r="356" spans="1:7" x14ac:dyDescent="0.3">
      <c r="A356" s="15">
        <v>2414</v>
      </c>
      <c r="B356" s="16" t="s">
        <v>277</v>
      </c>
      <c r="C356" s="16" t="s">
        <v>498</v>
      </c>
      <c r="D356" s="17">
        <v>135</v>
      </c>
      <c r="E356"/>
      <c r="F356"/>
      <c r="G356"/>
    </row>
    <row r="357" spans="1:7" x14ac:dyDescent="0.3">
      <c r="A357" s="15">
        <v>2415</v>
      </c>
      <c r="B357" s="16" t="s">
        <v>284</v>
      </c>
      <c r="C357" s="16" t="s">
        <v>498</v>
      </c>
      <c r="D357" s="17">
        <v>285</v>
      </c>
      <c r="E357"/>
      <c r="F357"/>
      <c r="G357"/>
    </row>
    <row r="358" spans="1:7" x14ac:dyDescent="0.3">
      <c r="A358" s="15">
        <v>2421</v>
      </c>
      <c r="B358" s="16" t="s">
        <v>284</v>
      </c>
      <c r="C358" s="16" t="s">
        <v>498</v>
      </c>
      <c r="D358" s="17">
        <v>160</v>
      </c>
      <c r="E358"/>
      <c r="F358"/>
      <c r="G358"/>
    </row>
    <row r="359" spans="1:7" x14ac:dyDescent="0.3">
      <c r="A359" s="15">
        <v>2422</v>
      </c>
      <c r="B359" s="16" t="s">
        <v>284</v>
      </c>
      <c r="C359" s="16" t="s">
        <v>498</v>
      </c>
      <c r="D359" s="17">
        <v>165</v>
      </c>
      <c r="E359"/>
      <c r="F359"/>
      <c r="G359"/>
    </row>
    <row r="360" spans="1:7" x14ac:dyDescent="0.3">
      <c r="A360" s="15">
        <v>2423</v>
      </c>
      <c r="B360" s="16" t="s">
        <v>284</v>
      </c>
      <c r="C360" s="16" t="s">
        <v>498</v>
      </c>
      <c r="D360" s="17">
        <v>165</v>
      </c>
      <c r="E360"/>
      <c r="F360"/>
      <c r="G360"/>
    </row>
    <row r="361" spans="1:7" x14ac:dyDescent="0.3">
      <c r="A361" s="15">
        <v>2424</v>
      </c>
      <c r="B361" s="16" t="s">
        <v>284</v>
      </c>
      <c r="C361" s="16" t="s">
        <v>498</v>
      </c>
      <c r="D361" s="17">
        <v>140</v>
      </c>
      <c r="E361"/>
      <c r="F361"/>
      <c r="G361"/>
    </row>
    <row r="362" spans="1:7" x14ac:dyDescent="0.3">
      <c r="A362" s="15">
        <v>2425</v>
      </c>
      <c r="B362" s="16" t="s">
        <v>284</v>
      </c>
      <c r="C362" s="16" t="s">
        <v>498</v>
      </c>
      <c r="D362" s="17">
        <v>140</v>
      </c>
      <c r="E362"/>
      <c r="F362"/>
      <c r="G362"/>
    </row>
    <row r="363" spans="1:7" x14ac:dyDescent="0.3">
      <c r="A363" s="15">
        <v>2426</v>
      </c>
      <c r="B363" s="16" t="s">
        <v>284</v>
      </c>
      <c r="C363" s="16" t="s">
        <v>498</v>
      </c>
      <c r="D363" s="17">
        <v>150</v>
      </c>
      <c r="E363"/>
      <c r="F363"/>
      <c r="G363"/>
    </row>
    <row r="364" spans="1:7" x14ac:dyDescent="0.3">
      <c r="A364" s="15">
        <v>2427</v>
      </c>
      <c r="B364" s="16" t="s">
        <v>284</v>
      </c>
      <c r="C364" s="16" t="s">
        <v>498</v>
      </c>
      <c r="D364" s="17">
        <v>160</v>
      </c>
      <c r="E364"/>
      <c r="F364"/>
      <c r="G364"/>
    </row>
    <row r="365" spans="1:7" x14ac:dyDescent="0.3">
      <c r="A365" s="15">
        <v>2428</v>
      </c>
      <c r="B365" s="16" t="s">
        <v>284</v>
      </c>
      <c r="C365" s="16" t="s">
        <v>498</v>
      </c>
      <c r="D365" s="17">
        <v>150</v>
      </c>
      <c r="E365"/>
      <c r="F365"/>
      <c r="G365"/>
    </row>
    <row r="366" spans="1:7" x14ac:dyDescent="0.3">
      <c r="A366" s="15">
        <v>2441</v>
      </c>
      <c r="B366" s="16" t="s">
        <v>277</v>
      </c>
      <c r="C366" s="16" t="s">
        <v>498</v>
      </c>
      <c r="D366" s="17">
        <v>165</v>
      </c>
      <c r="E366"/>
      <c r="F366"/>
      <c r="G366"/>
    </row>
    <row r="367" spans="1:7" x14ac:dyDescent="0.3">
      <c r="A367" s="15">
        <v>2442</v>
      </c>
      <c r="B367" s="16" t="s">
        <v>277</v>
      </c>
      <c r="C367" s="16" t="s">
        <v>498</v>
      </c>
      <c r="D367" s="17">
        <v>160</v>
      </c>
      <c r="E367"/>
      <c r="F367"/>
      <c r="G367"/>
    </row>
    <row r="368" spans="1:7" x14ac:dyDescent="0.3">
      <c r="A368" s="15">
        <v>2443</v>
      </c>
      <c r="B368" s="16" t="s">
        <v>277</v>
      </c>
      <c r="C368" s="16" t="s">
        <v>498</v>
      </c>
      <c r="D368" s="17">
        <v>175</v>
      </c>
      <c r="E368"/>
      <c r="F368"/>
      <c r="G368"/>
    </row>
    <row r="369" spans="1:7" x14ac:dyDescent="0.3">
      <c r="A369" s="15">
        <v>2444</v>
      </c>
      <c r="B369" s="16" t="s">
        <v>277</v>
      </c>
      <c r="C369" s="16" t="s">
        <v>498</v>
      </c>
      <c r="D369" s="17">
        <v>240</v>
      </c>
      <c r="E369"/>
      <c r="F369"/>
      <c r="G369"/>
    </row>
    <row r="370" spans="1:7" x14ac:dyDescent="0.3">
      <c r="A370" s="15">
        <v>2445</v>
      </c>
      <c r="B370" s="16" t="s">
        <v>277</v>
      </c>
      <c r="C370" s="16" t="s">
        <v>498</v>
      </c>
      <c r="D370" s="17">
        <v>235</v>
      </c>
      <c r="E370"/>
      <c r="F370"/>
      <c r="G370"/>
    </row>
    <row r="371" spans="1:7" x14ac:dyDescent="0.3">
      <c r="A371" s="15">
        <v>2452</v>
      </c>
      <c r="B371" s="16" t="s">
        <v>277</v>
      </c>
      <c r="C371" s="16" t="s">
        <v>167</v>
      </c>
      <c r="D371" s="17">
        <v>425</v>
      </c>
      <c r="E371"/>
      <c r="F371"/>
      <c r="G371"/>
    </row>
    <row r="372" spans="1:7" x14ac:dyDescent="0.3">
      <c r="A372" s="15">
        <v>2461</v>
      </c>
      <c r="B372" s="16" t="s">
        <v>277</v>
      </c>
      <c r="C372" s="16" t="s">
        <v>167</v>
      </c>
      <c r="D372" s="17">
        <v>295</v>
      </c>
      <c r="E372"/>
      <c r="F372"/>
      <c r="G372"/>
    </row>
    <row r="373" spans="1:7" x14ac:dyDescent="0.3">
      <c r="A373" s="15">
        <v>2462</v>
      </c>
      <c r="B373" s="16" t="s">
        <v>277</v>
      </c>
      <c r="C373" s="16" t="s">
        <v>167</v>
      </c>
      <c r="D373" s="17">
        <v>260</v>
      </c>
      <c r="E373"/>
      <c r="F373"/>
      <c r="G373"/>
    </row>
    <row r="374" spans="1:7" x14ac:dyDescent="0.3">
      <c r="A374" s="15">
        <v>2463</v>
      </c>
      <c r="B374" s="16" t="s">
        <v>277</v>
      </c>
      <c r="C374" s="16" t="s">
        <v>167</v>
      </c>
      <c r="D374" s="17">
        <v>240</v>
      </c>
      <c r="E374"/>
      <c r="F374"/>
      <c r="G374"/>
    </row>
    <row r="375" spans="1:7" x14ac:dyDescent="0.3">
      <c r="A375" s="15">
        <v>2492</v>
      </c>
      <c r="B375" s="16" t="s">
        <v>277</v>
      </c>
      <c r="C375" s="16" t="s">
        <v>494</v>
      </c>
      <c r="D375" s="17">
        <v>295</v>
      </c>
      <c r="E375"/>
      <c r="F375"/>
      <c r="G375"/>
    </row>
    <row r="376" spans="1:7" x14ac:dyDescent="0.3">
      <c r="A376" s="15">
        <v>2571</v>
      </c>
      <c r="B376" s="16" t="s">
        <v>277</v>
      </c>
      <c r="C376" s="16" t="s">
        <v>497</v>
      </c>
      <c r="D376" s="17">
        <v>715</v>
      </c>
      <c r="E376"/>
      <c r="F376"/>
      <c r="G376"/>
    </row>
    <row r="377" spans="1:7" x14ac:dyDescent="0.3">
      <c r="A377" s="15">
        <v>2572</v>
      </c>
      <c r="B377" s="16" t="s">
        <v>277</v>
      </c>
      <c r="C377" s="16" t="s">
        <v>497</v>
      </c>
      <c r="D377" s="17">
        <v>650</v>
      </c>
      <c r="E377"/>
      <c r="F377"/>
      <c r="G377"/>
    </row>
    <row r="378" spans="1:7" x14ac:dyDescent="0.3">
      <c r="A378" s="15">
        <v>2573</v>
      </c>
      <c r="B378" s="16" t="s">
        <v>277</v>
      </c>
      <c r="C378" s="16" t="s">
        <v>497</v>
      </c>
      <c r="D378" s="17">
        <v>650</v>
      </c>
      <c r="E378"/>
      <c r="F378"/>
      <c r="G378"/>
    </row>
    <row r="379" spans="1:7" x14ac:dyDescent="0.3">
      <c r="A379" s="15">
        <v>2574</v>
      </c>
      <c r="B379" s="16" t="s">
        <v>277</v>
      </c>
      <c r="C379" s="16" t="s">
        <v>497</v>
      </c>
      <c r="D379" s="17">
        <v>580</v>
      </c>
      <c r="E379"/>
      <c r="F379"/>
      <c r="G379"/>
    </row>
    <row r="380" spans="1:7" x14ac:dyDescent="0.3">
      <c r="A380" s="15">
        <v>2575</v>
      </c>
      <c r="B380" s="16" t="s">
        <v>277</v>
      </c>
      <c r="C380" s="16" t="s">
        <v>497</v>
      </c>
      <c r="D380" s="17">
        <v>860</v>
      </c>
      <c r="E380"/>
      <c r="F380"/>
      <c r="G380"/>
    </row>
    <row r="381" spans="1:7" x14ac:dyDescent="0.3">
      <c r="A381" s="15">
        <v>2576</v>
      </c>
      <c r="B381" s="16" t="s">
        <v>277</v>
      </c>
      <c r="C381" s="16" t="s">
        <v>497</v>
      </c>
      <c r="D381" s="17">
        <v>575</v>
      </c>
      <c r="E381"/>
      <c r="F381"/>
      <c r="G381"/>
    </row>
    <row r="382" spans="1:7" x14ac:dyDescent="0.3">
      <c r="A382" s="15">
        <v>2577</v>
      </c>
      <c r="B382" s="16" t="s">
        <v>277</v>
      </c>
      <c r="C382" s="16" t="s">
        <v>497</v>
      </c>
      <c r="D382" s="17">
        <v>990</v>
      </c>
      <c r="E382"/>
      <c r="F382"/>
      <c r="G382"/>
    </row>
    <row r="383" spans="1:7" x14ac:dyDescent="0.3">
      <c r="A383" s="15">
        <v>2578</v>
      </c>
      <c r="B383" s="16" t="s">
        <v>277</v>
      </c>
      <c r="C383" s="16" t="s">
        <v>497</v>
      </c>
      <c r="D383" s="17">
        <v>1215</v>
      </c>
      <c r="E383"/>
      <c r="F383"/>
      <c r="G383"/>
    </row>
    <row r="384" spans="1:7" x14ac:dyDescent="0.3">
      <c r="A384" s="15">
        <v>2579</v>
      </c>
      <c r="B384" s="16" t="s">
        <v>277</v>
      </c>
      <c r="C384" s="16" t="s">
        <v>497</v>
      </c>
      <c r="D384" s="17">
        <v>1215</v>
      </c>
      <c r="E384"/>
      <c r="F384"/>
      <c r="G384"/>
    </row>
    <row r="385" spans="1:7" x14ac:dyDescent="0.3">
      <c r="A385" s="15">
        <v>2621</v>
      </c>
      <c r="B385" s="16" t="s">
        <v>277</v>
      </c>
      <c r="C385" s="16" t="s">
        <v>497</v>
      </c>
      <c r="D385" s="17">
        <v>870</v>
      </c>
      <c r="E385"/>
      <c r="F385"/>
      <c r="G385"/>
    </row>
    <row r="386" spans="1:7" x14ac:dyDescent="0.3">
      <c r="A386" s="15">
        <v>2622</v>
      </c>
      <c r="B386" s="16" t="s">
        <v>277</v>
      </c>
      <c r="C386" s="16" t="s">
        <v>497</v>
      </c>
      <c r="D386" s="17">
        <v>1215</v>
      </c>
      <c r="E386"/>
      <c r="F386"/>
      <c r="G386"/>
    </row>
    <row r="387" spans="1:7" x14ac:dyDescent="0.3">
      <c r="A387" s="15">
        <v>2623</v>
      </c>
      <c r="B387" s="16" t="s">
        <v>277</v>
      </c>
      <c r="C387" s="16" t="s">
        <v>497</v>
      </c>
      <c r="D387" s="17">
        <v>1325</v>
      </c>
      <c r="E387"/>
      <c r="F387"/>
      <c r="G387"/>
    </row>
    <row r="388" spans="1:7" x14ac:dyDescent="0.3">
      <c r="A388" s="15">
        <v>2624</v>
      </c>
      <c r="B388" s="16" t="s">
        <v>277</v>
      </c>
      <c r="C388" s="16" t="s">
        <v>497</v>
      </c>
      <c r="D388" s="17">
        <v>1325</v>
      </c>
      <c r="E388"/>
      <c r="F388"/>
      <c r="G388"/>
    </row>
    <row r="389" spans="1:7" x14ac:dyDescent="0.3">
      <c r="A389" s="15">
        <v>2625</v>
      </c>
      <c r="B389" s="16" t="s">
        <v>277</v>
      </c>
      <c r="C389" s="16" t="s">
        <v>497</v>
      </c>
      <c r="D389" s="17">
        <v>1185</v>
      </c>
      <c r="E389"/>
      <c r="F389"/>
      <c r="G389"/>
    </row>
    <row r="390" spans="1:7" x14ac:dyDescent="0.3">
      <c r="A390" s="15">
        <v>2626</v>
      </c>
      <c r="B390" s="16" t="s">
        <v>277</v>
      </c>
      <c r="C390" s="16" t="s">
        <v>497</v>
      </c>
      <c r="D390" s="17">
        <v>660</v>
      </c>
      <c r="E390"/>
      <c r="F390"/>
      <c r="G390"/>
    </row>
    <row r="391" spans="1:7" x14ac:dyDescent="0.3">
      <c r="A391" s="15">
        <v>2731</v>
      </c>
      <c r="B391" s="16" t="s">
        <v>277</v>
      </c>
      <c r="C391" s="16" t="s">
        <v>494</v>
      </c>
      <c r="D391" s="17">
        <v>110</v>
      </c>
      <c r="E391"/>
      <c r="F391"/>
      <c r="G391"/>
    </row>
    <row r="392" spans="1:7" x14ac:dyDescent="0.3">
      <c r="A392" s="15">
        <v>2732</v>
      </c>
      <c r="B392" s="16" t="s">
        <v>277</v>
      </c>
      <c r="C392" s="16" t="s">
        <v>494</v>
      </c>
      <c r="D392" s="17">
        <v>160</v>
      </c>
      <c r="E392"/>
      <c r="F392"/>
      <c r="G392"/>
    </row>
    <row r="393" spans="1:7" x14ac:dyDescent="0.3">
      <c r="A393" s="15">
        <v>2733</v>
      </c>
      <c r="B393" s="16" t="s">
        <v>277</v>
      </c>
      <c r="C393" s="16" t="s">
        <v>494</v>
      </c>
      <c r="D393" s="17">
        <v>130</v>
      </c>
      <c r="E393"/>
      <c r="F393"/>
      <c r="G393"/>
    </row>
    <row r="394" spans="1:7" x14ac:dyDescent="0.3">
      <c r="A394" s="15">
        <v>2734</v>
      </c>
      <c r="B394" s="16" t="s">
        <v>277</v>
      </c>
      <c r="C394" s="16" t="s">
        <v>494</v>
      </c>
      <c r="D394" s="17">
        <v>215</v>
      </c>
      <c r="E394"/>
      <c r="F394"/>
      <c r="G394"/>
    </row>
    <row r="395" spans="1:7" x14ac:dyDescent="0.3">
      <c r="A395" s="15">
        <v>2735</v>
      </c>
      <c r="B395" s="16" t="s">
        <v>277</v>
      </c>
      <c r="C395" s="16" t="s">
        <v>494</v>
      </c>
      <c r="D395" s="17">
        <v>215</v>
      </c>
      <c r="E395"/>
      <c r="F395"/>
      <c r="G395"/>
    </row>
    <row r="396" spans="1:7" x14ac:dyDescent="0.3">
      <c r="A396" s="15">
        <v>2736</v>
      </c>
      <c r="B396" s="16" t="s">
        <v>277</v>
      </c>
      <c r="C396" s="16" t="s">
        <v>494</v>
      </c>
      <c r="D396" s="17">
        <v>215</v>
      </c>
      <c r="E396"/>
      <c r="F396"/>
      <c r="G396"/>
    </row>
    <row r="397" spans="1:7" x14ac:dyDescent="0.3">
      <c r="A397" s="15">
        <v>2737</v>
      </c>
      <c r="B397" s="16" t="s">
        <v>277</v>
      </c>
      <c r="C397" s="16" t="s">
        <v>494</v>
      </c>
      <c r="D397" s="17">
        <v>175</v>
      </c>
      <c r="E397"/>
      <c r="F397"/>
      <c r="G397"/>
    </row>
    <row r="398" spans="1:7" x14ac:dyDescent="0.3">
      <c r="A398" s="15">
        <v>2738</v>
      </c>
      <c r="B398" s="16" t="s">
        <v>277</v>
      </c>
      <c r="C398" s="16" t="s">
        <v>494</v>
      </c>
      <c r="D398" s="17">
        <v>135</v>
      </c>
      <c r="E398"/>
      <c r="F398"/>
      <c r="G398"/>
    </row>
    <row r="399" spans="1:7" x14ac:dyDescent="0.3">
      <c r="A399" s="15">
        <v>2739</v>
      </c>
      <c r="B399" s="16" t="s">
        <v>277</v>
      </c>
      <c r="C399" s="16" t="s">
        <v>494</v>
      </c>
      <c r="D399" s="17">
        <v>120</v>
      </c>
      <c r="E399"/>
      <c r="F399"/>
      <c r="G399"/>
    </row>
    <row r="400" spans="1:7" x14ac:dyDescent="0.3">
      <c r="A400" s="15">
        <v>2740</v>
      </c>
      <c r="B400" s="16" t="s">
        <v>277</v>
      </c>
      <c r="C400" s="16" t="s">
        <v>494</v>
      </c>
      <c r="D400" s="17">
        <v>180</v>
      </c>
      <c r="E400"/>
      <c r="F400"/>
      <c r="G400"/>
    </row>
    <row r="401" spans="1:7" x14ac:dyDescent="0.3">
      <c r="A401" s="15">
        <v>2741</v>
      </c>
      <c r="B401" s="16" t="s">
        <v>277</v>
      </c>
      <c r="C401" s="16" t="s">
        <v>494</v>
      </c>
      <c r="D401" s="17">
        <v>105</v>
      </c>
      <c r="E401"/>
      <c r="F401"/>
      <c r="G401"/>
    </row>
    <row r="402" spans="1:7" x14ac:dyDescent="0.3">
      <c r="A402" s="15">
        <v>2742</v>
      </c>
      <c r="B402" s="16" t="s">
        <v>277</v>
      </c>
      <c r="C402" s="16" t="s">
        <v>494</v>
      </c>
      <c r="D402" s="17">
        <v>285</v>
      </c>
      <c r="E402"/>
      <c r="F402"/>
      <c r="G402"/>
    </row>
    <row r="403" spans="1:7" x14ac:dyDescent="0.3">
      <c r="A403" s="15">
        <v>2743</v>
      </c>
      <c r="B403" s="16" t="s">
        <v>277</v>
      </c>
      <c r="C403" s="16" t="s">
        <v>494</v>
      </c>
      <c r="D403" s="17">
        <v>245</v>
      </c>
      <c r="E403"/>
      <c r="F403"/>
      <c r="G403"/>
    </row>
    <row r="404" spans="1:7" x14ac:dyDescent="0.3">
      <c r="A404" s="15">
        <v>2744</v>
      </c>
      <c r="B404" s="16" t="s">
        <v>277</v>
      </c>
      <c r="C404" s="16" t="s">
        <v>494</v>
      </c>
      <c r="D404" s="17">
        <v>125</v>
      </c>
      <c r="E404"/>
      <c r="F404"/>
      <c r="G404"/>
    </row>
    <row r="405" spans="1:7" x14ac:dyDescent="0.3">
      <c r="A405" s="15">
        <v>2745</v>
      </c>
      <c r="B405" s="16" t="s">
        <v>277</v>
      </c>
      <c r="C405" s="16" t="s">
        <v>494</v>
      </c>
      <c r="D405" s="17">
        <v>110</v>
      </c>
      <c r="E405"/>
      <c r="F405"/>
      <c r="G405"/>
    </row>
    <row r="406" spans="1:7" x14ac:dyDescent="0.3">
      <c r="A406" s="15">
        <v>2746</v>
      </c>
      <c r="B406" s="16" t="s">
        <v>277</v>
      </c>
      <c r="C406" s="16" t="s">
        <v>494</v>
      </c>
      <c r="D406" s="17">
        <v>125</v>
      </c>
      <c r="E406"/>
      <c r="F406"/>
      <c r="G406"/>
    </row>
    <row r="407" spans="1:7" x14ac:dyDescent="0.3">
      <c r="A407" s="15">
        <v>2747</v>
      </c>
      <c r="B407" s="16" t="s">
        <v>277</v>
      </c>
      <c r="C407" s="16" t="s">
        <v>494</v>
      </c>
      <c r="D407" s="17">
        <v>240</v>
      </c>
      <c r="E407"/>
      <c r="F407"/>
      <c r="G407"/>
    </row>
    <row r="408" spans="1:7" x14ac:dyDescent="0.3">
      <c r="A408" s="15">
        <v>2748</v>
      </c>
      <c r="B408" s="16" t="s">
        <v>277</v>
      </c>
      <c r="C408" s="16" t="s">
        <v>494</v>
      </c>
      <c r="D408" s="17">
        <v>190</v>
      </c>
      <c r="E408"/>
      <c r="F408"/>
      <c r="G408"/>
    </row>
    <row r="409" spans="1:7" x14ac:dyDescent="0.3">
      <c r="A409" s="15">
        <v>2749</v>
      </c>
      <c r="B409" s="16" t="s">
        <v>277</v>
      </c>
      <c r="C409" s="16" t="s">
        <v>494</v>
      </c>
      <c r="D409" s="17">
        <v>200</v>
      </c>
      <c r="E409"/>
      <c r="F409"/>
      <c r="G409"/>
    </row>
    <row r="410" spans="1:7" x14ac:dyDescent="0.3">
      <c r="A410" s="15">
        <v>2761</v>
      </c>
      <c r="B410" s="16" t="s">
        <v>284</v>
      </c>
      <c r="C410" s="16" t="s">
        <v>494</v>
      </c>
      <c r="D410" s="17">
        <v>100</v>
      </c>
      <c r="E410"/>
      <c r="F410"/>
      <c r="G410"/>
    </row>
    <row r="411" spans="1:7" x14ac:dyDescent="0.3">
      <c r="A411" s="15">
        <v>2762</v>
      </c>
      <c r="B411" s="16" t="s">
        <v>284</v>
      </c>
      <c r="C411" s="16" t="s">
        <v>494</v>
      </c>
      <c r="D411" s="17">
        <v>170</v>
      </c>
      <c r="E411"/>
      <c r="F411"/>
      <c r="G411"/>
    </row>
    <row r="412" spans="1:7" x14ac:dyDescent="0.3">
      <c r="A412" s="15">
        <v>2763</v>
      </c>
      <c r="B412" s="16" t="s">
        <v>284</v>
      </c>
      <c r="C412" s="16" t="s">
        <v>494</v>
      </c>
      <c r="D412" s="17">
        <v>125</v>
      </c>
      <c r="E412"/>
      <c r="F412"/>
      <c r="G412"/>
    </row>
    <row r="413" spans="1:7" x14ac:dyDescent="0.3">
      <c r="A413" s="15">
        <v>2764</v>
      </c>
      <c r="B413" s="16" t="s">
        <v>284</v>
      </c>
      <c r="C413" s="16" t="s">
        <v>494</v>
      </c>
      <c r="D413" s="17">
        <v>160</v>
      </c>
      <c r="E413"/>
      <c r="F413"/>
      <c r="G413"/>
    </row>
    <row r="414" spans="1:7" x14ac:dyDescent="0.3">
      <c r="A414" s="15">
        <v>2765</v>
      </c>
      <c r="B414" s="16" t="s">
        <v>284</v>
      </c>
      <c r="C414" s="16" t="s">
        <v>494</v>
      </c>
      <c r="D414" s="17">
        <v>195</v>
      </c>
      <c r="E414"/>
      <c r="F414"/>
      <c r="G414"/>
    </row>
    <row r="415" spans="1:7" x14ac:dyDescent="0.3">
      <c r="A415" s="15">
        <v>2767</v>
      </c>
      <c r="B415" s="16" t="s">
        <v>284</v>
      </c>
      <c r="C415" s="16" t="s">
        <v>494</v>
      </c>
      <c r="D415" s="17">
        <v>130</v>
      </c>
      <c r="E415"/>
      <c r="F415"/>
      <c r="G415"/>
    </row>
    <row r="416" spans="1:7" x14ac:dyDescent="0.3">
      <c r="A416" s="15">
        <v>2768</v>
      </c>
      <c r="B416" s="16" t="s">
        <v>284</v>
      </c>
      <c r="C416" s="16" t="s">
        <v>494</v>
      </c>
      <c r="D416" s="17">
        <v>100</v>
      </c>
      <c r="E416"/>
      <c r="F416"/>
      <c r="G416"/>
    </row>
    <row r="417" spans="1:7" x14ac:dyDescent="0.3">
      <c r="A417" s="15">
        <v>2769</v>
      </c>
      <c r="B417" s="16" t="s">
        <v>284</v>
      </c>
      <c r="C417" s="16" t="s">
        <v>494</v>
      </c>
      <c r="D417" s="17">
        <v>130</v>
      </c>
      <c r="E417"/>
      <c r="F417"/>
      <c r="G417"/>
    </row>
    <row r="418" spans="1:7" x14ac:dyDescent="0.3">
      <c r="A418" s="15">
        <v>2770</v>
      </c>
      <c r="B418" s="16" t="s">
        <v>284</v>
      </c>
      <c r="C418" s="16" t="s">
        <v>494</v>
      </c>
      <c r="D418" s="17">
        <v>175</v>
      </c>
      <c r="E418"/>
      <c r="F418"/>
      <c r="G418"/>
    </row>
    <row r="419" spans="1:7" x14ac:dyDescent="0.3">
      <c r="A419" s="15">
        <v>2771</v>
      </c>
      <c r="B419" s="16" t="s">
        <v>284</v>
      </c>
      <c r="C419" s="16" t="s">
        <v>494</v>
      </c>
      <c r="D419" s="17">
        <v>165</v>
      </c>
      <c r="E419"/>
      <c r="F419"/>
      <c r="G419"/>
    </row>
    <row r="420" spans="1:7" x14ac:dyDescent="0.3">
      <c r="A420" s="15">
        <v>2772</v>
      </c>
      <c r="B420" s="16" t="s">
        <v>284</v>
      </c>
      <c r="C420" s="16" t="s">
        <v>494</v>
      </c>
      <c r="D420" s="17">
        <v>165</v>
      </c>
      <c r="E420"/>
      <c r="F420"/>
      <c r="G420"/>
    </row>
    <row r="421" spans="1:7" x14ac:dyDescent="0.3">
      <c r="A421" s="15">
        <v>2773</v>
      </c>
      <c r="B421" s="16" t="s">
        <v>284</v>
      </c>
      <c r="C421" s="16" t="s">
        <v>494</v>
      </c>
      <c r="D421" s="17">
        <v>165</v>
      </c>
      <c r="E421"/>
      <c r="F421"/>
      <c r="G421"/>
    </row>
    <row r="422" spans="1:7" x14ac:dyDescent="0.3">
      <c r="A422" s="15">
        <v>2774</v>
      </c>
      <c r="B422" s="16" t="s">
        <v>284</v>
      </c>
      <c r="C422" s="16" t="s">
        <v>494</v>
      </c>
      <c r="D422" s="17">
        <v>120</v>
      </c>
      <c r="E422"/>
      <c r="F422"/>
      <c r="G422"/>
    </row>
    <row r="423" spans="1:7" x14ac:dyDescent="0.3">
      <c r="A423" s="15">
        <v>2775</v>
      </c>
      <c r="B423" s="16" t="s">
        <v>277</v>
      </c>
      <c r="C423" s="16" t="s">
        <v>494</v>
      </c>
      <c r="D423" s="17">
        <v>140</v>
      </c>
      <c r="E423"/>
      <c r="F423"/>
      <c r="G423"/>
    </row>
    <row r="424" spans="1:7" x14ac:dyDescent="0.3">
      <c r="A424" s="15">
        <v>2801</v>
      </c>
      <c r="B424" s="16" t="s">
        <v>277</v>
      </c>
      <c r="C424" s="16" t="s">
        <v>494</v>
      </c>
      <c r="D424" s="17">
        <v>145</v>
      </c>
      <c r="E424"/>
      <c r="F424"/>
      <c r="G424"/>
    </row>
    <row r="425" spans="1:7" x14ac:dyDescent="0.3">
      <c r="A425" s="15">
        <v>2802</v>
      </c>
      <c r="B425" s="16" t="s">
        <v>277</v>
      </c>
      <c r="C425" s="16" t="s">
        <v>494</v>
      </c>
      <c r="D425" s="17">
        <v>145</v>
      </c>
      <c r="E425"/>
      <c r="F425"/>
      <c r="G425"/>
    </row>
    <row r="426" spans="1:7" x14ac:dyDescent="0.3">
      <c r="A426" s="15">
        <v>2803</v>
      </c>
      <c r="B426" s="16" t="s">
        <v>277</v>
      </c>
      <c r="C426" s="16" t="s">
        <v>494</v>
      </c>
      <c r="D426" s="17">
        <v>165</v>
      </c>
      <c r="E426"/>
      <c r="F426"/>
      <c r="G426"/>
    </row>
    <row r="427" spans="1:7" x14ac:dyDescent="0.3">
      <c r="A427" s="15">
        <v>2804</v>
      </c>
      <c r="B427" s="16" t="s">
        <v>277</v>
      </c>
      <c r="C427" s="16" t="s">
        <v>494</v>
      </c>
      <c r="D427" s="17">
        <v>165</v>
      </c>
      <c r="E427"/>
      <c r="F427"/>
      <c r="G427"/>
    </row>
    <row r="428" spans="1:7" x14ac:dyDescent="0.3">
      <c r="A428" s="15">
        <v>2805</v>
      </c>
      <c r="B428" s="16" t="s">
        <v>277</v>
      </c>
      <c r="C428" s="16" t="s">
        <v>494</v>
      </c>
      <c r="D428" s="17">
        <v>165</v>
      </c>
      <c r="E428"/>
      <c r="F428"/>
      <c r="G428"/>
    </row>
    <row r="429" spans="1:7" x14ac:dyDescent="0.3">
      <c r="A429" s="15">
        <v>2806</v>
      </c>
      <c r="B429" s="16" t="s">
        <v>277</v>
      </c>
      <c r="C429" s="16" t="s">
        <v>494</v>
      </c>
      <c r="D429" s="17">
        <v>185</v>
      </c>
      <c r="E429"/>
      <c r="F429"/>
      <c r="G429"/>
    </row>
    <row r="430" spans="1:7" x14ac:dyDescent="0.3">
      <c r="A430" s="15">
        <v>2807</v>
      </c>
      <c r="B430" s="16" t="s">
        <v>277</v>
      </c>
      <c r="C430" s="16" t="s">
        <v>494</v>
      </c>
      <c r="D430" s="17">
        <v>165</v>
      </c>
      <c r="E430"/>
      <c r="F430"/>
      <c r="G430"/>
    </row>
    <row r="431" spans="1:7" x14ac:dyDescent="0.3">
      <c r="A431" s="15">
        <v>2808</v>
      </c>
      <c r="B431" s="16" t="s">
        <v>277</v>
      </c>
      <c r="C431" s="16" t="s">
        <v>494</v>
      </c>
      <c r="D431" s="17">
        <v>165</v>
      </c>
      <c r="E431"/>
      <c r="F431"/>
      <c r="G431"/>
    </row>
    <row r="432" spans="1:7" x14ac:dyDescent="0.3">
      <c r="A432" s="15">
        <v>2809</v>
      </c>
      <c r="B432" s="16" t="s">
        <v>277</v>
      </c>
      <c r="C432" s="16" t="s">
        <v>494</v>
      </c>
      <c r="D432" s="17">
        <v>150</v>
      </c>
      <c r="E432"/>
      <c r="F432"/>
      <c r="G432"/>
    </row>
    <row r="433" spans="1:7" x14ac:dyDescent="0.3">
      <c r="A433" s="15">
        <v>2810</v>
      </c>
      <c r="B433" s="16" t="s">
        <v>277</v>
      </c>
      <c r="C433" s="16" t="s">
        <v>494</v>
      </c>
      <c r="D433" s="17">
        <v>180</v>
      </c>
      <c r="E433"/>
      <c r="F433"/>
      <c r="G433"/>
    </row>
    <row r="434" spans="1:7" x14ac:dyDescent="0.3">
      <c r="A434" s="15">
        <v>2811</v>
      </c>
      <c r="B434" s="16" t="s">
        <v>277</v>
      </c>
      <c r="C434" s="16" t="s">
        <v>494</v>
      </c>
      <c r="D434" s="17">
        <v>185</v>
      </c>
      <c r="E434"/>
      <c r="F434"/>
      <c r="G434"/>
    </row>
    <row r="435" spans="1:7" x14ac:dyDescent="0.3">
      <c r="A435" s="15">
        <v>2812</v>
      </c>
      <c r="B435" s="16" t="s">
        <v>277</v>
      </c>
      <c r="C435" s="16" t="s">
        <v>494</v>
      </c>
      <c r="D435" s="17">
        <v>185</v>
      </c>
      <c r="E435"/>
      <c r="F435"/>
      <c r="G435"/>
    </row>
    <row r="436" spans="1:7" x14ac:dyDescent="0.3">
      <c r="A436" s="15">
        <v>2813</v>
      </c>
      <c r="B436" s="16" t="s">
        <v>277</v>
      </c>
      <c r="C436" s="16" t="s">
        <v>494</v>
      </c>
      <c r="D436" s="17">
        <v>185</v>
      </c>
      <c r="E436"/>
      <c r="F436"/>
      <c r="G436"/>
    </row>
    <row r="437" spans="1:7" x14ac:dyDescent="0.3">
      <c r="A437" s="15">
        <v>4501</v>
      </c>
      <c r="B437" s="16" t="s">
        <v>277</v>
      </c>
      <c r="C437" s="16" t="s">
        <v>494</v>
      </c>
      <c r="D437" s="17">
        <v>265</v>
      </c>
      <c r="E437"/>
      <c r="F437"/>
      <c r="G437"/>
    </row>
    <row r="438" spans="1:7" x14ac:dyDescent="0.3">
      <c r="A438" s="15">
        <v>4504</v>
      </c>
      <c r="B438" s="16" t="s">
        <v>277</v>
      </c>
      <c r="C438" s="16" t="s">
        <v>494</v>
      </c>
      <c r="D438" s="17">
        <v>110</v>
      </c>
      <c r="E438"/>
      <c r="F438"/>
      <c r="G438"/>
    </row>
    <row r="439" spans="1:7" x14ac:dyDescent="0.3">
      <c r="A439" s="15">
        <v>4505</v>
      </c>
      <c r="B439" s="16" t="s">
        <v>277</v>
      </c>
      <c r="C439" s="16" t="s">
        <v>494</v>
      </c>
      <c r="D439" s="17">
        <v>150</v>
      </c>
      <c r="E439"/>
      <c r="F439"/>
      <c r="G439"/>
    </row>
    <row r="440" spans="1:7" x14ac:dyDescent="0.3">
      <c r="A440" s="15">
        <v>4506</v>
      </c>
      <c r="B440" s="16" t="s">
        <v>277</v>
      </c>
      <c r="C440" s="16" t="s">
        <v>494</v>
      </c>
      <c r="D440" s="17">
        <v>130</v>
      </c>
      <c r="E440"/>
      <c r="F440"/>
      <c r="G440"/>
    </row>
    <row r="441" spans="1:7" x14ac:dyDescent="0.3">
      <c r="A441" s="15">
        <v>4507</v>
      </c>
      <c r="B441" s="16" t="s">
        <v>277</v>
      </c>
      <c r="C441" s="16" t="s">
        <v>494</v>
      </c>
      <c r="D441" s="17">
        <v>120</v>
      </c>
      <c r="E441"/>
      <c r="F441"/>
      <c r="G441"/>
    </row>
    <row r="442" spans="1:7" x14ac:dyDescent="0.3">
      <c r="A442" s="15">
        <v>4508</v>
      </c>
      <c r="B442" s="16" t="s">
        <v>277</v>
      </c>
      <c r="C442" s="16" t="s">
        <v>494</v>
      </c>
      <c r="D442" s="17">
        <v>100</v>
      </c>
      <c r="E442"/>
      <c r="F442"/>
      <c r="G442"/>
    </row>
    <row r="443" spans="1:7" x14ac:dyDescent="0.3">
      <c r="A443" s="15">
        <v>4510</v>
      </c>
      <c r="B443" s="16" t="s">
        <v>277</v>
      </c>
      <c r="C443" s="16" t="s">
        <v>494</v>
      </c>
      <c r="D443" s="17">
        <v>75</v>
      </c>
      <c r="E443"/>
      <c r="F443"/>
      <c r="G443"/>
    </row>
    <row r="444" spans="1:7" x14ac:dyDescent="0.3">
      <c r="A444" s="15">
        <v>4711</v>
      </c>
      <c r="B444" s="16" t="s">
        <v>277</v>
      </c>
      <c r="C444" s="16" t="s">
        <v>494</v>
      </c>
      <c r="D444" s="17">
        <v>50</v>
      </c>
      <c r="E444"/>
      <c r="F444"/>
      <c r="G444"/>
    </row>
    <row r="445" spans="1:7" x14ac:dyDescent="0.3">
      <c r="A445" s="15">
        <v>4712</v>
      </c>
      <c r="B445" s="16" t="s">
        <v>277</v>
      </c>
      <c r="C445" s="16" t="s">
        <v>494</v>
      </c>
      <c r="D445" s="17">
        <v>60</v>
      </c>
      <c r="E445"/>
      <c r="F445"/>
      <c r="G445"/>
    </row>
    <row r="446" spans="1:7" x14ac:dyDescent="0.3">
      <c r="A446" s="15">
        <v>6011</v>
      </c>
      <c r="B446" s="16" t="s">
        <v>277</v>
      </c>
      <c r="C446" s="16" t="s">
        <v>494</v>
      </c>
      <c r="D446" s="17">
        <v>560</v>
      </c>
      <c r="E446"/>
      <c r="F446"/>
      <c r="G446"/>
    </row>
    <row r="447" spans="1:7" x14ac:dyDescent="0.3">
      <c r="A447" s="15">
        <v>6021</v>
      </c>
      <c r="B447" s="16" t="s">
        <v>277</v>
      </c>
      <c r="C447" s="16" t="s">
        <v>494</v>
      </c>
      <c r="D447" s="17">
        <v>525</v>
      </c>
      <c r="E447"/>
      <c r="F447"/>
      <c r="G447"/>
    </row>
    <row r="448" spans="1:7" x14ac:dyDescent="0.3">
      <c r="A448" s="15">
        <v>6051</v>
      </c>
      <c r="B448" s="16" t="s">
        <v>277</v>
      </c>
      <c r="C448" s="16" t="s">
        <v>494</v>
      </c>
      <c r="D448" s="17">
        <v>535</v>
      </c>
      <c r="E448"/>
      <c r="F448"/>
      <c r="G448"/>
    </row>
    <row r="449" spans="1:7" x14ac:dyDescent="0.3">
      <c r="A449" s="15">
        <v>6101</v>
      </c>
      <c r="B449" s="16" t="s">
        <v>277</v>
      </c>
      <c r="C449" s="16" t="s">
        <v>494</v>
      </c>
      <c r="D449" s="17">
        <v>605</v>
      </c>
      <c r="E449"/>
      <c r="F449"/>
      <c r="G449"/>
    </row>
    <row r="450" spans="1:7" x14ac:dyDescent="0.3">
      <c r="A450" s="15">
        <v>6102</v>
      </c>
      <c r="B450" s="16" t="s">
        <v>277</v>
      </c>
      <c r="C450" s="16" t="s">
        <v>494</v>
      </c>
      <c r="D450" s="17">
        <v>580</v>
      </c>
      <c r="E450"/>
      <c r="F450"/>
      <c r="G450"/>
    </row>
    <row r="451" spans="1:7" x14ac:dyDescent="0.3">
      <c r="A451" s="15">
        <v>6103</v>
      </c>
      <c r="B451" s="16" t="s">
        <v>277</v>
      </c>
      <c r="C451" s="16" t="s">
        <v>494</v>
      </c>
      <c r="D451" s="17">
        <v>500</v>
      </c>
      <c r="E451"/>
      <c r="F451"/>
      <c r="G451"/>
    </row>
    <row r="452" spans="1:7" x14ac:dyDescent="0.3">
      <c r="A452" s="15">
        <v>6104</v>
      </c>
      <c r="B452" s="16" t="s">
        <v>277</v>
      </c>
      <c r="C452" s="16" t="s">
        <v>494</v>
      </c>
      <c r="D452" s="17">
        <v>500</v>
      </c>
      <c r="E452"/>
      <c r="F452"/>
      <c r="G452"/>
    </row>
    <row r="453" spans="1:7" x14ac:dyDescent="0.3">
      <c r="A453" s="15">
        <v>6105</v>
      </c>
      <c r="B453" s="16" t="s">
        <v>277</v>
      </c>
      <c r="C453" s="16" t="s">
        <v>494</v>
      </c>
      <c r="D453" s="17">
        <v>495</v>
      </c>
      <c r="E453"/>
      <c r="F453"/>
      <c r="G453"/>
    </row>
    <row r="454" spans="1:7" x14ac:dyDescent="0.3">
      <c r="A454" s="15">
        <v>6106</v>
      </c>
      <c r="B454" s="16" t="s">
        <v>277</v>
      </c>
      <c r="C454" s="16" t="s">
        <v>494</v>
      </c>
      <c r="D454" s="17">
        <v>485</v>
      </c>
      <c r="E454"/>
      <c r="F454"/>
      <c r="G454"/>
    </row>
    <row r="455" spans="1:7" x14ac:dyDescent="0.3">
      <c r="A455" s="15">
        <v>6107</v>
      </c>
      <c r="B455" s="16" t="s">
        <v>277</v>
      </c>
      <c r="C455" s="16" t="s">
        <v>494</v>
      </c>
      <c r="D455" s="17">
        <v>485</v>
      </c>
      <c r="E455"/>
      <c r="F455"/>
      <c r="G455"/>
    </row>
    <row r="456" spans="1:7" x14ac:dyDescent="0.3">
      <c r="A456" s="15">
        <v>6108</v>
      </c>
      <c r="B456" s="16" t="s">
        <v>277</v>
      </c>
      <c r="C456" s="16" t="s">
        <v>494</v>
      </c>
      <c r="D456" s="17">
        <v>485</v>
      </c>
      <c r="E456"/>
      <c r="F456"/>
      <c r="G456"/>
    </row>
    <row r="457" spans="1:7" x14ac:dyDescent="0.3">
      <c r="A457" s="15">
        <v>6109</v>
      </c>
      <c r="B457" s="16" t="s">
        <v>277</v>
      </c>
      <c r="C457" s="16" t="s">
        <v>494</v>
      </c>
      <c r="D457" s="17">
        <v>485</v>
      </c>
      <c r="E457"/>
      <c r="F457"/>
      <c r="G457"/>
    </row>
    <row r="458" spans="1:7" x14ac:dyDescent="0.3">
      <c r="A458" s="15">
        <v>6110</v>
      </c>
      <c r="B458" s="16" t="s">
        <v>277</v>
      </c>
      <c r="C458" s="16" t="s">
        <v>494</v>
      </c>
      <c r="D458" s="17">
        <v>480</v>
      </c>
      <c r="E458"/>
      <c r="F458"/>
      <c r="G458"/>
    </row>
    <row r="459" spans="1:7" x14ac:dyDescent="0.3">
      <c r="A459" s="15">
        <v>6111</v>
      </c>
      <c r="B459" s="16" t="s">
        <v>277</v>
      </c>
      <c r="C459" s="16" t="s">
        <v>494</v>
      </c>
      <c r="D459" s="17">
        <v>480</v>
      </c>
      <c r="E459"/>
      <c r="F459"/>
      <c r="G459"/>
    </row>
    <row r="460" spans="1:7" x14ac:dyDescent="0.3">
      <c r="A460" s="15">
        <v>6112</v>
      </c>
      <c r="B460" s="16" t="s">
        <v>277</v>
      </c>
      <c r="C460" s="16" t="s">
        <v>494</v>
      </c>
      <c r="D460" s="17">
        <v>470</v>
      </c>
      <c r="E460"/>
      <c r="F460"/>
      <c r="G460"/>
    </row>
    <row r="461" spans="1:7" x14ac:dyDescent="0.3">
      <c r="A461" s="15">
        <v>6113</v>
      </c>
      <c r="B461" s="16" t="s">
        <v>277</v>
      </c>
      <c r="C461" s="16" t="s">
        <v>494</v>
      </c>
      <c r="D461" s="17">
        <v>740</v>
      </c>
      <c r="E461"/>
      <c r="F461"/>
      <c r="G461"/>
    </row>
    <row r="462" spans="1:7" x14ac:dyDescent="0.3">
      <c r="A462" s="15">
        <v>6114</v>
      </c>
      <c r="B462" s="16" t="s">
        <v>277</v>
      </c>
      <c r="C462" s="16" t="s">
        <v>494</v>
      </c>
      <c r="D462" s="17">
        <v>455</v>
      </c>
      <c r="E462"/>
      <c r="F462"/>
      <c r="G462"/>
    </row>
    <row r="463" spans="1:7" x14ac:dyDescent="0.3">
      <c r="A463" s="15">
        <v>6115</v>
      </c>
      <c r="B463" s="16" t="s">
        <v>277</v>
      </c>
      <c r="C463" s="16" t="s">
        <v>494</v>
      </c>
      <c r="D463" s="17">
        <v>455</v>
      </c>
      <c r="E463"/>
      <c r="F463"/>
      <c r="G463"/>
    </row>
    <row r="464" spans="1:7" x14ac:dyDescent="0.3">
      <c r="A464" s="15">
        <v>6116</v>
      </c>
      <c r="B464" s="16" t="s">
        <v>277</v>
      </c>
      <c r="C464" s="16" t="s">
        <v>494</v>
      </c>
      <c r="D464" s="17">
        <v>470</v>
      </c>
      <c r="E464"/>
      <c r="F464"/>
      <c r="G464"/>
    </row>
    <row r="465" spans="1:7" x14ac:dyDescent="0.3">
      <c r="A465" s="15">
        <v>6117</v>
      </c>
      <c r="B465" s="16" t="s">
        <v>277</v>
      </c>
      <c r="C465" s="16" t="s">
        <v>494</v>
      </c>
      <c r="D465" s="17">
        <v>485</v>
      </c>
      <c r="E465"/>
      <c r="F465"/>
      <c r="G465"/>
    </row>
    <row r="466" spans="1:7" x14ac:dyDescent="0.3">
      <c r="A466" s="15">
        <v>6118</v>
      </c>
      <c r="B466" s="16" t="s">
        <v>277</v>
      </c>
      <c r="C466" s="16" t="s">
        <v>494</v>
      </c>
      <c r="D466" s="17">
        <v>445</v>
      </c>
      <c r="E466"/>
      <c r="F466"/>
      <c r="G466"/>
    </row>
    <row r="467" spans="1:7" x14ac:dyDescent="0.3">
      <c r="A467" s="15">
        <v>6119</v>
      </c>
      <c r="B467" s="16" t="s">
        <v>277</v>
      </c>
      <c r="C467" s="16" t="s">
        <v>494</v>
      </c>
      <c r="D467" s="17">
        <v>475</v>
      </c>
      <c r="E467"/>
      <c r="F467"/>
      <c r="G467"/>
    </row>
    <row r="468" spans="1:7" x14ac:dyDescent="0.3">
      <c r="A468" s="15">
        <v>6120</v>
      </c>
      <c r="B468" s="16" t="s">
        <v>277</v>
      </c>
      <c r="C468" s="16" t="s">
        <v>494</v>
      </c>
      <c r="D468" s="17">
        <v>470</v>
      </c>
      <c r="E468"/>
      <c r="F468"/>
      <c r="G468"/>
    </row>
    <row r="469" spans="1:7" x14ac:dyDescent="0.3">
      <c r="A469" s="15">
        <v>6121</v>
      </c>
      <c r="B469" s="16" t="s">
        <v>277</v>
      </c>
      <c r="C469" s="16" t="s">
        <v>494</v>
      </c>
      <c r="D469" s="17">
        <v>495</v>
      </c>
      <c r="E469"/>
      <c r="F469"/>
      <c r="G469"/>
    </row>
    <row r="470" spans="1:7" x14ac:dyDescent="0.3">
      <c r="A470" s="15">
        <v>6122</v>
      </c>
      <c r="B470" s="16" t="s">
        <v>277</v>
      </c>
      <c r="C470" s="16" t="s">
        <v>494</v>
      </c>
      <c r="D470" s="17">
        <v>475</v>
      </c>
      <c r="E470"/>
      <c r="F470"/>
      <c r="G470"/>
    </row>
    <row r="471" spans="1:7" x14ac:dyDescent="0.3">
      <c r="A471" s="15">
        <v>6123</v>
      </c>
      <c r="B471" s="16" t="s">
        <v>277</v>
      </c>
      <c r="C471" s="16" t="s">
        <v>494</v>
      </c>
      <c r="D471" s="17">
        <v>475</v>
      </c>
      <c r="E471"/>
      <c r="F471"/>
      <c r="G471"/>
    </row>
    <row r="472" spans="1:7" x14ac:dyDescent="0.3">
      <c r="A472" s="15">
        <v>8011</v>
      </c>
      <c r="B472" s="16" t="s">
        <v>277</v>
      </c>
      <c r="C472" s="16" t="s">
        <v>497</v>
      </c>
      <c r="D472" s="17">
        <v>2355</v>
      </c>
      <c r="E472"/>
      <c r="F472"/>
      <c r="G472"/>
    </row>
    <row r="473" spans="1:7" x14ac:dyDescent="0.3">
      <c r="A473" s="15">
        <v>8031</v>
      </c>
      <c r="B473" s="16" t="s">
        <v>277</v>
      </c>
      <c r="C473" s="16" t="s">
        <v>497</v>
      </c>
      <c r="D473" s="17">
        <v>6230</v>
      </c>
      <c r="E473"/>
      <c r="F473"/>
      <c r="G473"/>
    </row>
    <row r="474" spans="1:7" x14ac:dyDescent="0.3">
      <c r="A474" s="15">
        <v>8032</v>
      </c>
      <c r="B474" s="16" t="s">
        <v>277</v>
      </c>
      <c r="C474" s="16" t="s">
        <v>497</v>
      </c>
      <c r="D474" s="17">
        <v>2750</v>
      </c>
      <c r="E474"/>
      <c r="F474"/>
      <c r="G474"/>
    </row>
    <row r="475" spans="1:7" x14ac:dyDescent="0.3">
      <c r="A475" s="15">
        <v>8033</v>
      </c>
      <c r="B475" s="16" t="s">
        <v>277</v>
      </c>
      <c r="C475" s="16" t="s">
        <v>497</v>
      </c>
      <c r="D475" s="17">
        <v>6855</v>
      </c>
      <c r="E475"/>
      <c r="F475"/>
      <c r="G475"/>
    </row>
    <row r="476" spans="1:7" x14ac:dyDescent="0.3">
      <c r="A476" s="15">
        <v>8034</v>
      </c>
      <c r="B476" s="16" t="s">
        <v>277</v>
      </c>
      <c r="C476" s="16" t="s">
        <v>497</v>
      </c>
      <c r="D476" s="17">
        <v>1950</v>
      </c>
      <c r="E476"/>
      <c r="F476"/>
      <c r="G476"/>
    </row>
    <row r="477" spans="1:7" x14ac:dyDescent="0.3">
      <c r="A477" s="15">
        <v>8035</v>
      </c>
      <c r="B477" s="16" t="s">
        <v>277</v>
      </c>
      <c r="C477" s="16" t="s">
        <v>497</v>
      </c>
      <c r="D477" s="17">
        <v>4105</v>
      </c>
      <c r="E477"/>
      <c r="F477"/>
      <c r="G477"/>
    </row>
    <row r="478" spans="1:7" x14ac:dyDescent="0.3">
      <c r="A478" s="15">
        <v>8036</v>
      </c>
      <c r="B478" s="16" t="s">
        <v>277</v>
      </c>
      <c r="C478" s="16" t="s">
        <v>497</v>
      </c>
      <c r="D478" s="17">
        <v>3310</v>
      </c>
      <c r="E478"/>
      <c r="F478"/>
      <c r="G478"/>
    </row>
    <row r="479" spans="1:7" x14ac:dyDescent="0.3">
      <c r="A479" s="15">
        <v>8037</v>
      </c>
      <c r="B479" s="16" t="s">
        <v>277</v>
      </c>
      <c r="C479" s="16" t="s">
        <v>497</v>
      </c>
      <c r="D479" s="17">
        <v>1920</v>
      </c>
      <c r="E479"/>
      <c r="F479"/>
      <c r="G479"/>
    </row>
    <row r="480" spans="1:7" x14ac:dyDescent="0.3">
      <c r="A480" s="15">
        <v>8061</v>
      </c>
      <c r="B480" s="16" t="s">
        <v>277</v>
      </c>
      <c r="C480" s="16" t="s">
        <v>497</v>
      </c>
      <c r="D480" s="17">
        <v>2750</v>
      </c>
      <c r="E480"/>
      <c r="F480"/>
      <c r="G480"/>
    </row>
    <row r="481" spans="1:7" x14ac:dyDescent="0.3">
      <c r="A481" s="15">
        <v>8062</v>
      </c>
      <c r="B481" s="16" t="s">
        <v>277</v>
      </c>
      <c r="C481" s="16" t="s">
        <v>497</v>
      </c>
      <c r="D481" s="17">
        <v>1880</v>
      </c>
      <c r="E481"/>
      <c r="F481"/>
      <c r="G481"/>
    </row>
    <row r="482" spans="1:7" x14ac:dyDescent="0.3">
      <c r="A482" s="15">
        <v>8063</v>
      </c>
      <c r="B482" s="16" t="s">
        <v>277</v>
      </c>
      <c r="C482" s="16" t="s">
        <v>497</v>
      </c>
      <c r="D482" s="17">
        <v>2715</v>
      </c>
      <c r="E482"/>
      <c r="F482"/>
      <c r="G482"/>
    </row>
    <row r="483" spans="1:7" x14ac:dyDescent="0.3">
      <c r="A483" s="15">
        <v>8064</v>
      </c>
      <c r="B483" s="16" t="s">
        <v>277</v>
      </c>
      <c r="C483" s="16" t="s">
        <v>497</v>
      </c>
      <c r="D483" s="17">
        <v>2750</v>
      </c>
      <c r="E483"/>
      <c r="F483"/>
      <c r="G483"/>
    </row>
    <row r="484" spans="1:7" x14ac:dyDescent="0.3">
      <c r="A484" s="15">
        <v>8065</v>
      </c>
      <c r="B484" s="16" t="s">
        <v>277</v>
      </c>
      <c r="C484" s="16" t="s">
        <v>497</v>
      </c>
      <c r="D484" s="17">
        <v>1535</v>
      </c>
      <c r="E484"/>
      <c r="F484"/>
      <c r="G484"/>
    </row>
    <row r="485" spans="1:7" x14ac:dyDescent="0.3">
      <c r="A485" s="15">
        <v>8066</v>
      </c>
      <c r="B485" s="16" t="s">
        <v>277</v>
      </c>
      <c r="C485" s="16" t="s">
        <v>497</v>
      </c>
      <c r="D485" s="17">
        <v>1880</v>
      </c>
      <c r="E485"/>
      <c r="F485"/>
      <c r="G485"/>
    </row>
    <row r="486" spans="1:7" x14ac:dyDescent="0.3">
      <c r="A486" s="15">
        <v>8067</v>
      </c>
      <c r="B486" s="16" t="s">
        <v>277</v>
      </c>
      <c r="C486" s="16" t="s">
        <v>497</v>
      </c>
      <c r="D486" s="17">
        <v>2020</v>
      </c>
      <c r="E486"/>
      <c r="F486"/>
      <c r="G486"/>
    </row>
    <row r="487" spans="1:7" x14ac:dyDescent="0.3">
      <c r="A487" s="15">
        <v>8068</v>
      </c>
      <c r="B487" s="16" t="s">
        <v>277</v>
      </c>
      <c r="C487" s="16" t="s">
        <v>497</v>
      </c>
      <c r="D487" s="17">
        <v>3100</v>
      </c>
      <c r="E487"/>
      <c r="F487"/>
      <c r="G487"/>
    </row>
    <row r="488" spans="1:7" x14ac:dyDescent="0.3">
      <c r="A488" s="15">
        <v>8069</v>
      </c>
      <c r="B488" s="16" t="s">
        <v>277</v>
      </c>
      <c r="C488" s="16" t="s">
        <v>497</v>
      </c>
      <c r="D488" s="17">
        <v>2820</v>
      </c>
      <c r="E488"/>
      <c r="F488"/>
      <c r="G488"/>
    </row>
    <row r="489" spans="1:7" x14ac:dyDescent="0.3">
      <c r="A489" s="15">
        <v>8081</v>
      </c>
      <c r="B489" s="16" t="s">
        <v>277</v>
      </c>
      <c r="C489" s="16" t="s">
        <v>497</v>
      </c>
      <c r="D489" s="17">
        <v>835</v>
      </c>
      <c r="E489"/>
      <c r="F489"/>
      <c r="G489"/>
    </row>
    <row r="490" spans="1:7" x14ac:dyDescent="0.3">
      <c r="A490" s="15">
        <v>8121</v>
      </c>
      <c r="B490" s="16" t="s">
        <v>277</v>
      </c>
      <c r="C490" s="16" t="s">
        <v>497</v>
      </c>
      <c r="D490" s="17">
        <v>1345</v>
      </c>
      <c r="E490"/>
      <c r="F490"/>
      <c r="G490"/>
    </row>
    <row r="491" spans="1:7" x14ac:dyDescent="0.3">
      <c r="A491" s="15">
        <v>8122</v>
      </c>
      <c r="B491" s="16" t="s">
        <v>277</v>
      </c>
      <c r="C491" s="16" t="s">
        <v>497</v>
      </c>
      <c r="D491" s="17">
        <v>1920</v>
      </c>
      <c r="E491"/>
      <c r="F491"/>
      <c r="G491"/>
    </row>
    <row r="492" spans="1:7" x14ac:dyDescent="0.3">
      <c r="A492" s="15">
        <v>8123</v>
      </c>
      <c r="B492" s="16" t="s">
        <v>277</v>
      </c>
      <c r="C492" s="16" t="s">
        <v>497</v>
      </c>
      <c r="D492" s="17">
        <v>905</v>
      </c>
      <c r="E492"/>
      <c r="F492"/>
      <c r="G492"/>
    </row>
    <row r="493" spans="1:7" x14ac:dyDescent="0.3">
      <c r="A493" s="15">
        <v>8321</v>
      </c>
      <c r="B493" s="16" t="s">
        <v>277</v>
      </c>
      <c r="C493" s="16" t="s">
        <v>497</v>
      </c>
      <c r="D493" s="17">
        <v>1780</v>
      </c>
      <c r="E493"/>
      <c r="F493"/>
      <c r="G493"/>
    </row>
    <row r="494" spans="1:7" x14ac:dyDescent="0.3">
      <c r="A494" s="15">
        <v>9062</v>
      </c>
      <c r="B494" s="16" t="s">
        <v>277</v>
      </c>
      <c r="C494" s="16" t="s">
        <v>497</v>
      </c>
      <c r="D494" s="17">
        <v>2300</v>
      </c>
      <c r="E494"/>
      <c r="F494"/>
      <c r="G494"/>
    </row>
    <row r="495" spans="1:7" x14ac:dyDescent="0.3">
      <c r="A495" s="15">
        <v>9063</v>
      </c>
      <c r="B495" s="16" t="s">
        <v>277</v>
      </c>
      <c r="C495" s="16" t="s">
        <v>497</v>
      </c>
      <c r="D495" s="17">
        <v>1950</v>
      </c>
      <c r="E495"/>
      <c r="F495"/>
      <c r="G495"/>
    </row>
    <row r="496" spans="1:7" x14ac:dyDescent="0.3">
      <c r="A496" s="15">
        <v>9065</v>
      </c>
      <c r="B496" s="16" t="s">
        <v>277</v>
      </c>
      <c r="C496" s="16" t="s">
        <v>497</v>
      </c>
      <c r="D496" s="17">
        <v>2075</v>
      </c>
      <c r="E496"/>
      <c r="F496"/>
      <c r="G496"/>
    </row>
    <row r="497" spans="1:7" x14ac:dyDescent="0.3">
      <c r="A497" s="15">
        <v>9068</v>
      </c>
      <c r="B497" s="16" t="s">
        <v>277</v>
      </c>
      <c r="C497" s="16" t="s">
        <v>497</v>
      </c>
      <c r="D497" s="17">
        <v>2435</v>
      </c>
      <c r="E497"/>
      <c r="F497"/>
      <c r="G497"/>
    </row>
    <row r="498" spans="1:7" x14ac:dyDescent="0.3">
      <c r="A498" s="15">
        <v>9069</v>
      </c>
      <c r="B498" s="16" t="s">
        <v>277</v>
      </c>
      <c r="C498" s="16" t="s">
        <v>497</v>
      </c>
      <c r="D498" s="17">
        <v>2300</v>
      </c>
      <c r="E498"/>
      <c r="F498"/>
      <c r="G498"/>
    </row>
    <row r="499" spans="1:7" x14ac:dyDescent="0.3">
      <c r="A499" s="15">
        <v>9071</v>
      </c>
      <c r="B499" s="16" t="s">
        <v>277</v>
      </c>
      <c r="C499" s="16" t="s">
        <v>497</v>
      </c>
      <c r="D499" s="17">
        <v>1880</v>
      </c>
      <c r="E499"/>
      <c r="F499"/>
      <c r="G499"/>
    </row>
    <row r="500" spans="1:7" x14ac:dyDescent="0.3">
      <c r="A500" s="15">
        <v>9072</v>
      </c>
      <c r="B500" s="16" t="s">
        <v>277</v>
      </c>
      <c r="C500" s="16" t="s">
        <v>497</v>
      </c>
      <c r="D500" s="17">
        <v>5325</v>
      </c>
      <c r="E500"/>
      <c r="F500"/>
      <c r="G500"/>
    </row>
    <row r="501" spans="1:7" x14ac:dyDescent="0.3">
      <c r="A501" s="15">
        <v>9073</v>
      </c>
      <c r="B501" s="16" t="s">
        <v>277</v>
      </c>
      <c r="C501" s="16" t="s">
        <v>497</v>
      </c>
      <c r="D501" s="17">
        <v>4910</v>
      </c>
      <c r="E501"/>
      <c r="F501"/>
      <c r="G501"/>
    </row>
    <row r="502" spans="1:7" x14ac:dyDescent="0.3">
      <c r="A502" s="15">
        <v>9074</v>
      </c>
      <c r="B502" s="16" t="s">
        <v>277</v>
      </c>
      <c r="C502" s="16" t="s">
        <v>497</v>
      </c>
      <c r="D502" s="17">
        <v>3480</v>
      </c>
      <c r="E502"/>
      <c r="F502"/>
      <c r="G502"/>
    </row>
    <row r="503" spans="1:7" x14ac:dyDescent="0.3">
      <c r="A503" s="15">
        <v>9075</v>
      </c>
      <c r="B503" s="16" t="s">
        <v>277</v>
      </c>
      <c r="C503" s="16" t="s">
        <v>497</v>
      </c>
      <c r="D503" s="17">
        <v>5985</v>
      </c>
      <c r="E503"/>
      <c r="F503"/>
      <c r="G503"/>
    </row>
    <row r="504" spans="1:7" x14ac:dyDescent="0.3">
      <c r="A504" s="15">
        <v>9076</v>
      </c>
      <c r="B504" s="16" t="s">
        <v>277</v>
      </c>
      <c r="C504" s="16" t="s">
        <v>497</v>
      </c>
      <c r="D504" s="17">
        <v>2055</v>
      </c>
      <c r="E504"/>
      <c r="F504"/>
      <c r="G504"/>
    </row>
    <row r="505" spans="1:7" x14ac:dyDescent="0.3">
      <c r="A505" s="15" t="s">
        <v>835</v>
      </c>
      <c r="B505" s="16" t="s">
        <v>277</v>
      </c>
      <c r="C505" s="16" t="s">
        <v>494</v>
      </c>
      <c r="D505" s="17">
        <v>110</v>
      </c>
      <c r="E505"/>
      <c r="F505"/>
      <c r="G505"/>
    </row>
    <row r="506" spans="1:7" x14ac:dyDescent="0.3">
      <c r="A506" s="15" t="s">
        <v>1021</v>
      </c>
      <c r="B506" s="16" t="s">
        <v>277</v>
      </c>
      <c r="C506" s="16" t="s">
        <v>494</v>
      </c>
      <c r="D506" s="17">
        <v>180</v>
      </c>
      <c r="E506"/>
      <c r="F506"/>
      <c r="G506"/>
    </row>
    <row r="507" spans="1:7" x14ac:dyDescent="0.3">
      <c r="A507" s="15" t="s">
        <v>805</v>
      </c>
      <c r="B507" s="16" t="s">
        <v>277</v>
      </c>
      <c r="C507" s="16" t="s">
        <v>494</v>
      </c>
      <c r="D507" s="17">
        <v>180</v>
      </c>
      <c r="E507"/>
      <c r="F507"/>
      <c r="G507"/>
    </row>
    <row r="508" spans="1:7" x14ac:dyDescent="0.3">
      <c r="A508" s="15">
        <v>181</v>
      </c>
      <c r="B508" s="16" t="s">
        <v>171</v>
      </c>
      <c r="C508" s="16" t="s">
        <v>167</v>
      </c>
      <c r="D508" s="17">
        <v>350</v>
      </c>
      <c r="E508"/>
      <c r="F508"/>
      <c r="G508"/>
    </row>
    <row r="509" spans="1:7" x14ac:dyDescent="0.3">
      <c r="A509" s="15">
        <v>452</v>
      </c>
      <c r="B509" s="16" t="s">
        <v>171</v>
      </c>
      <c r="C509" s="16" t="s">
        <v>495</v>
      </c>
      <c r="D509" s="17">
        <v>235</v>
      </c>
      <c r="E509"/>
      <c r="F509"/>
      <c r="G509"/>
    </row>
    <row r="510" spans="1:7" x14ac:dyDescent="0.3">
      <c r="A510" s="15">
        <v>455</v>
      </c>
      <c r="B510" s="16" t="s">
        <v>171</v>
      </c>
      <c r="C510" s="16" t="s">
        <v>495</v>
      </c>
      <c r="D510" s="17">
        <v>245</v>
      </c>
      <c r="E510"/>
      <c r="F510"/>
      <c r="G510"/>
    </row>
    <row r="511" spans="1:7" x14ac:dyDescent="0.3">
      <c r="A511" s="15">
        <v>466</v>
      </c>
      <c r="B511" s="16" t="s">
        <v>171</v>
      </c>
      <c r="C511" s="16" t="s">
        <v>495</v>
      </c>
      <c r="D511" s="17">
        <v>320</v>
      </c>
      <c r="E511"/>
      <c r="F511"/>
      <c r="G511"/>
    </row>
    <row r="512" spans="1:7" x14ac:dyDescent="0.3">
      <c r="A512" s="15">
        <v>501</v>
      </c>
      <c r="B512" s="16" t="s">
        <v>171</v>
      </c>
      <c r="C512" s="16" t="s">
        <v>494</v>
      </c>
      <c r="D512" s="17">
        <v>325</v>
      </c>
      <c r="E512"/>
      <c r="F512"/>
      <c r="G512"/>
    </row>
    <row r="513" spans="1:7" x14ac:dyDescent="0.3">
      <c r="A513" s="15">
        <v>502</v>
      </c>
      <c r="B513" s="16" t="s">
        <v>171</v>
      </c>
      <c r="C513" s="16" t="s">
        <v>494</v>
      </c>
      <c r="D513" s="17">
        <v>325</v>
      </c>
      <c r="E513"/>
      <c r="F513"/>
      <c r="G513"/>
    </row>
    <row r="514" spans="1:7" x14ac:dyDescent="0.3">
      <c r="A514" s="15">
        <v>503</v>
      </c>
      <c r="B514" s="16" t="s">
        <v>171</v>
      </c>
      <c r="C514" s="16" t="s">
        <v>494</v>
      </c>
      <c r="D514" s="17">
        <v>315</v>
      </c>
      <c r="E514"/>
      <c r="F514"/>
      <c r="G514"/>
    </row>
    <row r="515" spans="1:7" x14ac:dyDescent="0.3">
      <c r="A515" s="15">
        <v>504</v>
      </c>
      <c r="B515" s="16" t="s">
        <v>171</v>
      </c>
      <c r="C515" s="16" t="s">
        <v>494</v>
      </c>
      <c r="D515" s="17">
        <v>295</v>
      </c>
      <c r="E515"/>
      <c r="F515"/>
      <c r="G515"/>
    </row>
    <row r="516" spans="1:7" x14ac:dyDescent="0.3">
      <c r="A516" s="15">
        <v>505</v>
      </c>
      <c r="B516" s="16" t="s">
        <v>171</v>
      </c>
      <c r="C516" s="16" t="s">
        <v>494</v>
      </c>
      <c r="D516" s="17">
        <v>245</v>
      </c>
      <c r="E516"/>
      <c r="F516"/>
      <c r="G516"/>
    </row>
    <row r="517" spans="1:7" x14ac:dyDescent="0.3">
      <c r="A517" s="15">
        <v>506</v>
      </c>
      <c r="B517" s="16" t="s">
        <v>171</v>
      </c>
      <c r="C517" s="16" t="s">
        <v>494</v>
      </c>
      <c r="D517" s="17">
        <v>505</v>
      </c>
      <c r="E517"/>
      <c r="F517"/>
      <c r="G517"/>
    </row>
    <row r="518" spans="1:7" x14ac:dyDescent="0.3">
      <c r="A518" s="15">
        <v>507</v>
      </c>
      <c r="B518" s="16" t="s">
        <v>171</v>
      </c>
      <c r="C518" s="16" t="s">
        <v>494</v>
      </c>
      <c r="D518" s="17">
        <v>405</v>
      </c>
      <c r="E518"/>
      <c r="F518"/>
      <c r="G518"/>
    </row>
    <row r="519" spans="1:7" x14ac:dyDescent="0.3">
      <c r="A519" s="15">
        <v>508</v>
      </c>
      <c r="B519" s="16" t="s">
        <v>171</v>
      </c>
      <c r="C519" s="16" t="s">
        <v>494</v>
      </c>
      <c r="D519" s="17">
        <v>235</v>
      </c>
      <c r="E519"/>
      <c r="F519"/>
      <c r="G519"/>
    </row>
    <row r="520" spans="1:7" x14ac:dyDescent="0.3">
      <c r="A520" s="15">
        <v>509</v>
      </c>
      <c r="B520" s="16" t="s">
        <v>171</v>
      </c>
      <c r="C520" s="16" t="s">
        <v>494</v>
      </c>
      <c r="D520" s="17">
        <v>280</v>
      </c>
      <c r="E520"/>
      <c r="F520"/>
      <c r="G520"/>
    </row>
    <row r="521" spans="1:7" x14ac:dyDescent="0.3">
      <c r="A521" s="15">
        <v>510</v>
      </c>
      <c r="B521" s="16" t="s">
        <v>171</v>
      </c>
      <c r="C521" s="16" t="s">
        <v>494</v>
      </c>
      <c r="D521" s="17">
        <v>245</v>
      </c>
      <c r="E521"/>
      <c r="F521"/>
      <c r="G521"/>
    </row>
    <row r="522" spans="1:7" x14ac:dyDescent="0.3">
      <c r="A522" s="15">
        <v>512</v>
      </c>
      <c r="B522" s="16" t="s">
        <v>171</v>
      </c>
      <c r="C522" s="16" t="s">
        <v>494</v>
      </c>
      <c r="D522" s="17">
        <v>520</v>
      </c>
      <c r="E522"/>
      <c r="F522"/>
      <c r="G522"/>
    </row>
    <row r="523" spans="1:7" x14ac:dyDescent="0.3">
      <c r="A523" s="15">
        <v>515</v>
      </c>
      <c r="B523" s="16" t="s">
        <v>171</v>
      </c>
      <c r="C523" s="16" t="s">
        <v>494</v>
      </c>
      <c r="D523" s="17">
        <v>215</v>
      </c>
      <c r="E523"/>
      <c r="F523"/>
      <c r="G523"/>
    </row>
    <row r="524" spans="1:7" x14ac:dyDescent="0.3">
      <c r="A524" s="15">
        <v>516</v>
      </c>
      <c r="B524" s="16" t="s">
        <v>171</v>
      </c>
      <c r="C524" s="16" t="s">
        <v>494</v>
      </c>
      <c r="D524" s="17">
        <v>345</v>
      </c>
      <c r="E524"/>
      <c r="F524"/>
      <c r="G524"/>
    </row>
    <row r="525" spans="1:7" x14ac:dyDescent="0.3">
      <c r="A525" s="15">
        <v>520</v>
      </c>
      <c r="B525" s="16" t="s">
        <v>171</v>
      </c>
      <c r="C525" s="16" t="s">
        <v>494</v>
      </c>
      <c r="D525" s="17">
        <v>380</v>
      </c>
      <c r="E525"/>
      <c r="F525"/>
      <c r="G525"/>
    </row>
    <row r="526" spans="1:7" x14ac:dyDescent="0.3">
      <c r="A526" s="15">
        <v>522</v>
      </c>
      <c r="B526" s="16" t="s">
        <v>171</v>
      </c>
      <c r="C526" s="16" t="s">
        <v>494</v>
      </c>
      <c r="D526" s="17">
        <v>285</v>
      </c>
      <c r="E526"/>
      <c r="F526"/>
      <c r="G526"/>
    </row>
    <row r="527" spans="1:7" x14ac:dyDescent="0.3">
      <c r="A527" s="15">
        <v>523</v>
      </c>
      <c r="B527" s="16" t="s">
        <v>171</v>
      </c>
      <c r="C527" s="16" t="s">
        <v>494</v>
      </c>
      <c r="D527" s="17">
        <v>435</v>
      </c>
      <c r="E527"/>
      <c r="F527"/>
      <c r="G527"/>
    </row>
    <row r="528" spans="1:7" x14ac:dyDescent="0.3">
      <c r="A528" s="15">
        <v>524</v>
      </c>
      <c r="B528" s="16" t="s">
        <v>171</v>
      </c>
      <c r="C528" s="16" t="s">
        <v>494</v>
      </c>
      <c r="D528" s="17">
        <v>545</v>
      </c>
      <c r="E528"/>
      <c r="F528"/>
      <c r="G528"/>
    </row>
    <row r="529" spans="1:7" x14ac:dyDescent="0.3">
      <c r="A529" s="15">
        <v>527</v>
      </c>
      <c r="B529" s="16" t="s">
        <v>171</v>
      </c>
      <c r="C529" s="16" t="s">
        <v>494</v>
      </c>
      <c r="D529" s="17">
        <v>490</v>
      </c>
      <c r="E529"/>
      <c r="F529"/>
      <c r="G529"/>
    </row>
    <row r="530" spans="1:7" x14ac:dyDescent="0.3">
      <c r="A530" s="15">
        <v>529</v>
      </c>
      <c r="B530" s="16" t="s">
        <v>171</v>
      </c>
      <c r="C530" s="16" t="s">
        <v>494</v>
      </c>
      <c r="D530" s="17">
        <v>500</v>
      </c>
      <c r="E530"/>
      <c r="F530"/>
      <c r="G530"/>
    </row>
    <row r="531" spans="1:7" x14ac:dyDescent="0.3">
      <c r="A531" s="15">
        <v>530</v>
      </c>
      <c r="B531" s="16" t="s">
        <v>171</v>
      </c>
      <c r="C531" s="16" t="s">
        <v>494</v>
      </c>
      <c r="D531" s="17">
        <v>225</v>
      </c>
      <c r="E531"/>
      <c r="F531"/>
      <c r="G531"/>
    </row>
    <row r="532" spans="1:7" x14ac:dyDescent="0.3">
      <c r="A532" s="15">
        <v>533</v>
      </c>
      <c r="B532" s="16" t="s">
        <v>171</v>
      </c>
      <c r="C532" s="16" t="s">
        <v>494</v>
      </c>
      <c r="D532" s="17">
        <v>135</v>
      </c>
      <c r="E532"/>
      <c r="F532"/>
      <c r="G532"/>
    </row>
    <row r="533" spans="1:7" x14ac:dyDescent="0.3">
      <c r="A533" s="15">
        <v>535</v>
      </c>
      <c r="B533" s="16" t="s">
        <v>171</v>
      </c>
      <c r="C533" s="16" t="s">
        <v>494</v>
      </c>
      <c r="D533" s="17">
        <v>295</v>
      </c>
      <c r="E533"/>
      <c r="F533"/>
      <c r="G533"/>
    </row>
    <row r="534" spans="1:7" x14ac:dyDescent="0.3">
      <c r="A534" s="15">
        <v>536</v>
      </c>
      <c r="B534" s="16" t="s">
        <v>171</v>
      </c>
      <c r="C534" s="16" t="s">
        <v>494</v>
      </c>
      <c r="D534" s="17">
        <v>315</v>
      </c>
      <c r="E534"/>
      <c r="F534"/>
      <c r="G534"/>
    </row>
    <row r="535" spans="1:7" x14ac:dyDescent="0.3">
      <c r="A535" s="15">
        <v>537</v>
      </c>
      <c r="B535" s="16" t="s">
        <v>171</v>
      </c>
      <c r="C535" s="16" t="s">
        <v>494</v>
      </c>
      <c r="D535" s="17">
        <v>225</v>
      </c>
      <c r="E535"/>
      <c r="F535"/>
      <c r="G535"/>
    </row>
    <row r="536" spans="1:7" x14ac:dyDescent="0.3">
      <c r="A536" s="15">
        <v>538</v>
      </c>
      <c r="B536" s="16" t="s">
        <v>171</v>
      </c>
      <c r="C536" s="16" t="s">
        <v>494</v>
      </c>
      <c r="D536" s="17">
        <v>205</v>
      </c>
      <c r="E536"/>
      <c r="F536"/>
      <c r="G536"/>
    </row>
    <row r="537" spans="1:7" x14ac:dyDescent="0.3">
      <c r="A537" s="15">
        <v>539</v>
      </c>
      <c r="B537" s="16" t="s">
        <v>171</v>
      </c>
      <c r="C537" s="16" t="s">
        <v>494</v>
      </c>
      <c r="D537" s="17">
        <v>235</v>
      </c>
      <c r="E537"/>
      <c r="F537"/>
      <c r="G537"/>
    </row>
    <row r="538" spans="1:7" x14ac:dyDescent="0.3">
      <c r="A538" s="15">
        <v>551</v>
      </c>
      <c r="B538" s="16" t="s">
        <v>171</v>
      </c>
      <c r="C538" s="16" t="s">
        <v>494</v>
      </c>
      <c r="D538" s="17">
        <v>245</v>
      </c>
      <c r="E538"/>
      <c r="F538"/>
      <c r="G538"/>
    </row>
    <row r="539" spans="1:7" x14ac:dyDescent="0.3">
      <c r="A539" s="15">
        <v>552</v>
      </c>
      <c r="B539" s="16" t="s">
        <v>171</v>
      </c>
      <c r="C539" s="16" t="s">
        <v>494</v>
      </c>
      <c r="D539" s="17">
        <v>235</v>
      </c>
      <c r="E539"/>
      <c r="F539"/>
      <c r="G539"/>
    </row>
    <row r="540" spans="1:7" x14ac:dyDescent="0.3">
      <c r="A540" s="15">
        <v>554</v>
      </c>
      <c r="B540" s="16" t="s">
        <v>171</v>
      </c>
      <c r="C540" s="16" t="s">
        <v>494</v>
      </c>
      <c r="D540" s="17">
        <v>320</v>
      </c>
      <c r="E540"/>
      <c r="F540"/>
      <c r="G540"/>
    </row>
    <row r="541" spans="1:7" x14ac:dyDescent="0.3">
      <c r="A541" s="15">
        <v>556</v>
      </c>
      <c r="B541" s="16" t="s">
        <v>171</v>
      </c>
      <c r="C541" s="16" t="s">
        <v>494</v>
      </c>
      <c r="D541" s="17">
        <v>555</v>
      </c>
      <c r="E541"/>
      <c r="F541"/>
      <c r="G541"/>
    </row>
    <row r="542" spans="1:7" x14ac:dyDescent="0.3">
      <c r="A542" s="15">
        <v>557</v>
      </c>
      <c r="B542" s="16" t="s">
        <v>171</v>
      </c>
      <c r="C542" s="16" t="s">
        <v>494</v>
      </c>
      <c r="D542" s="17">
        <v>470</v>
      </c>
      <c r="E542"/>
      <c r="F542"/>
      <c r="G542"/>
    </row>
    <row r="543" spans="1:7" x14ac:dyDescent="0.3">
      <c r="A543" s="15">
        <v>558</v>
      </c>
      <c r="B543" s="16" t="s">
        <v>171</v>
      </c>
      <c r="C543" s="16" t="s">
        <v>494</v>
      </c>
      <c r="D543" s="17">
        <v>480</v>
      </c>
      <c r="E543"/>
      <c r="F543"/>
      <c r="G543"/>
    </row>
    <row r="544" spans="1:7" x14ac:dyDescent="0.3">
      <c r="A544" s="15">
        <v>560</v>
      </c>
      <c r="B544" s="16" t="s">
        <v>171</v>
      </c>
      <c r="C544" s="16" t="s">
        <v>494</v>
      </c>
      <c r="D544" s="17">
        <v>270</v>
      </c>
      <c r="E544"/>
      <c r="F544"/>
      <c r="G544"/>
    </row>
    <row r="545" spans="1:7" x14ac:dyDescent="0.3">
      <c r="A545" s="15">
        <v>561</v>
      </c>
      <c r="B545" s="16" t="s">
        <v>171</v>
      </c>
      <c r="C545" s="16" t="s">
        <v>494</v>
      </c>
      <c r="D545" s="17">
        <v>600</v>
      </c>
      <c r="E545"/>
      <c r="F545"/>
      <c r="G545"/>
    </row>
    <row r="546" spans="1:7" x14ac:dyDescent="0.3">
      <c r="A546" s="15">
        <v>562</v>
      </c>
      <c r="B546" s="16" t="s">
        <v>171</v>
      </c>
      <c r="C546" s="16" t="s">
        <v>494</v>
      </c>
      <c r="D546" s="17">
        <v>520</v>
      </c>
      <c r="E546"/>
      <c r="F546"/>
      <c r="G546"/>
    </row>
    <row r="547" spans="1:7" x14ac:dyDescent="0.3">
      <c r="A547" s="15">
        <v>563</v>
      </c>
      <c r="B547" s="16" t="s">
        <v>171</v>
      </c>
      <c r="C547" s="16" t="s">
        <v>494</v>
      </c>
      <c r="D547" s="17">
        <v>400</v>
      </c>
      <c r="E547"/>
      <c r="F547"/>
      <c r="G547"/>
    </row>
    <row r="548" spans="1:7" x14ac:dyDescent="0.3">
      <c r="A548" s="15">
        <v>568</v>
      </c>
      <c r="B548" s="16" t="s">
        <v>171</v>
      </c>
      <c r="C548" s="16" t="s">
        <v>494</v>
      </c>
      <c r="D548" s="17">
        <v>425</v>
      </c>
      <c r="E548"/>
      <c r="F548"/>
      <c r="G548"/>
    </row>
    <row r="549" spans="1:7" x14ac:dyDescent="0.3">
      <c r="A549" s="15">
        <v>572</v>
      </c>
      <c r="B549" s="16" t="s">
        <v>171</v>
      </c>
      <c r="C549" s="16" t="s">
        <v>494</v>
      </c>
      <c r="D549" s="17">
        <v>520</v>
      </c>
      <c r="E549"/>
      <c r="F549"/>
      <c r="G549"/>
    </row>
    <row r="550" spans="1:7" x14ac:dyDescent="0.3">
      <c r="A550" s="15">
        <v>573</v>
      </c>
      <c r="B550" s="16" t="s">
        <v>171</v>
      </c>
      <c r="C550" s="16" t="s">
        <v>494</v>
      </c>
      <c r="D550" s="17">
        <v>580</v>
      </c>
      <c r="E550"/>
      <c r="F550"/>
      <c r="G550"/>
    </row>
    <row r="551" spans="1:7" x14ac:dyDescent="0.3">
      <c r="A551" s="15">
        <v>574</v>
      </c>
      <c r="B551" s="16" t="s">
        <v>171</v>
      </c>
      <c r="C551" s="16" t="s">
        <v>494</v>
      </c>
      <c r="D551" s="17">
        <v>470</v>
      </c>
      <c r="E551"/>
      <c r="F551"/>
      <c r="G551"/>
    </row>
    <row r="552" spans="1:7" x14ac:dyDescent="0.3">
      <c r="A552" s="15">
        <v>577</v>
      </c>
      <c r="B552" s="16" t="s">
        <v>171</v>
      </c>
      <c r="C552" s="16" t="s">
        <v>494</v>
      </c>
      <c r="D552" s="17">
        <v>620</v>
      </c>
      <c r="E552"/>
      <c r="F552"/>
      <c r="G552"/>
    </row>
    <row r="553" spans="1:7" x14ac:dyDescent="0.3">
      <c r="A553" s="15">
        <v>578</v>
      </c>
      <c r="B553" s="16" t="s">
        <v>171</v>
      </c>
      <c r="C553" s="16" t="s">
        <v>494</v>
      </c>
      <c r="D553" s="17">
        <v>425</v>
      </c>
      <c r="E553"/>
      <c r="F553"/>
      <c r="G553"/>
    </row>
    <row r="554" spans="1:7" x14ac:dyDescent="0.3">
      <c r="A554" s="15">
        <v>582</v>
      </c>
      <c r="B554" s="16" t="s">
        <v>171</v>
      </c>
      <c r="C554" s="16" t="s">
        <v>494</v>
      </c>
      <c r="D554" s="17">
        <v>270</v>
      </c>
      <c r="E554"/>
      <c r="F554"/>
      <c r="G554"/>
    </row>
    <row r="555" spans="1:7" x14ac:dyDescent="0.3">
      <c r="A555" s="15">
        <v>596</v>
      </c>
      <c r="B555" s="16" t="s">
        <v>171</v>
      </c>
      <c r="C555" s="16" t="s">
        <v>494</v>
      </c>
      <c r="D555" s="17">
        <v>225</v>
      </c>
      <c r="E555"/>
      <c r="F555"/>
      <c r="G555"/>
    </row>
    <row r="556" spans="1:7" x14ac:dyDescent="0.3">
      <c r="A556" s="15">
        <v>597</v>
      </c>
      <c r="B556" s="16" t="s">
        <v>171</v>
      </c>
      <c r="C556" s="16" t="s">
        <v>494</v>
      </c>
      <c r="D556" s="17">
        <v>200</v>
      </c>
      <c r="E556"/>
      <c r="F556"/>
      <c r="G556"/>
    </row>
    <row r="557" spans="1:7" x14ac:dyDescent="0.3">
      <c r="A557" s="15">
        <v>599</v>
      </c>
      <c r="B557" s="16" t="s">
        <v>171</v>
      </c>
      <c r="C557" s="16" t="s">
        <v>494</v>
      </c>
      <c r="D557" s="17">
        <v>525</v>
      </c>
      <c r="E557"/>
      <c r="F557"/>
      <c r="G557"/>
    </row>
    <row r="558" spans="1:7" x14ac:dyDescent="0.3">
      <c r="A558" s="15">
        <v>841</v>
      </c>
      <c r="B558" s="16" t="s">
        <v>171</v>
      </c>
      <c r="C558" s="16" t="s">
        <v>497</v>
      </c>
      <c r="D558" s="17">
        <v>945</v>
      </c>
      <c r="E558"/>
      <c r="F558"/>
      <c r="G558"/>
    </row>
    <row r="559" spans="1:7" x14ac:dyDescent="0.3">
      <c r="A559" s="15">
        <v>842</v>
      </c>
      <c r="B559" s="16" t="s">
        <v>171</v>
      </c>
      <c r="C559" s="16" t="s">
        <v>497</v>
      </c>
      <c r="D559" s="17">
        <v>1085</v>
      </c>
      <c r="E559"/>
      <c r="F559"/>
      <c r="G559"/>
    </row>
    <row r="560" spans="1:7" x14ac:dyDescent="0.3">
      <c r="A560" s="15">
        <v>843</v>
      </c>
      <c r="B560" s="16" t="s">
        <v>171</v>
      </c>
      <c r="C560" s="16" t="s">
        <v>497</v>
      </c>
      <c r="D560" s="17">
        <v>1220</v>
      </c>
      <c r="E560"/>
      <c r="F560"/>
      <c r="G560"/>
    </row>
    <row r="561" spans="1:7" x14ac:dyDescent="0.3">
      <c r="A561" s="15">
        <v>844</v>
      </c>
      <c r="B561" s="16" t="s">
        <v>171</v>
      </c>
      <c r="C561" s="16" t="s">
        <v>497</v>
      </c>
      <c r="D561" s="17">
        <v>1085</v>
      </c>
      <c r="E561"/>
      <c r="F561"/>
      <c r="G561"/>
    </row>
    <row r="562" spans="1:7" x14ac:dyDescent="0.3">
      <c r="A562" s="15">
        <v>845</v>
      </c>
      <c r="B562" s="16" t="s">
        <v>171</v>
      </c>
      <c r="C562" s="16" t="s">
        <v>497</v>
      </c>
      <c r="D562" s="17">
        <v>975</v>
      </c>
      <c r="E562"/>
      <c r="F562"/>
      <c r="G562"/>
    </row>
    <row r="563" spans="1:7" x14ac:dyDescent="0.3">
      <c r="A563" s="15">
        <v>846</v>
      </c>
      <c r="B563" s="16" t="s">
        <v>171</v>
      </c>
      <c r="C563" s="16" t="s">
        <v>497</v>
      </c>
      <c r="D563" s="17">
        <v>805</v>
      </c>
      <c r="E563"/>
      <c r="F563"/>
      <c r="G563"/>
    </row>
    <row r="564" spans="1:7" x14ac:dyDescent="0.3">
      <c r="A564" s="15">
        <v>848</v>
      </c>
      <c r="B564" s="16" t="s">
        <v>171</v>
      </c>
      <c r="C564" s="16" t="s">
        <v>497</v>
      </c>
      <c r="D564" s="17">
        <v>1205</v>
      </c>
      <c r="E564"/>
      <c r="F564"/>
      <c r="G564"/>
    </row>
    <row r="565" spans="1:7" x14ac:dyDescent="0.3">
      <c r="A565" s="15">
        <v>849</v>
      </c>
      <c r="B565" s="16" t="s">
        <v>171</v>
      </c>
      <c r="C565" s="16" t="s">
        <v>497</v>
      </c>
      <c r="D565" s="17">
        <v>835</v>
      </c>
      <c r="E565"/>
      <c r="F565"/>
      <c r="G565"/>
    </row>
    <row r="566" spans="1:7" x14ac:dyDescent="0.3">
      <c r="A566" s="15">
        <v>850</v>
      </c>
      <c r="B566" s="16" t="s">
        <v>171</v>
      </c>
      <c r="C566" s="16" t="s">
        <v>497</v>
      </c>
      <c r="D566" s="17">
        <v>875</v>
      </c>
      <c r="E566"/>
      <c r="F566"/>
      <c r="G566"/>
    </row>
    <row r="567" spans="1:7" x14ac:dyDescent="0.3">
      <c r="A567" s="15">
        <v>851</v>
      </c>
      <c r="B567" s="16" t="s">
        <v>171</v>
      </c>
      <c r="C567" s="16" t="s">
        <v>497</v>
      </c>
      <c r="D567" s="17">
        <v>875</v>
      </c>
      <c r="E567"/>
      <c r="F567"/>
      <c r="G567"/>
    </row>
    <row r="568" spans="1:7" x14ac:dyDescent="0.3">
      <c r="A568" s="15">
        <v>852</v>
      </c>
      <c r="B568" s="16" t="s">
        <v>171</v>
      </c>
      <c r="C568" s="16" t="s">
        <v>497</v>
      </c>
      <c r="D568" s="17">
        <v>735</v>
      </c>
      <c r="E568"/>
      <c r="F568"/>
      <c r="G568"/>
    </row>
    <row r="569" spans="1:7" x14ac:dyDescent="0.3">
      <c r="A569" s="15">
        <v>853</v>
      </c>
      <c r="B569" s="16" t="s">
        <v>171</v>
      </c>
      <c r="C569" s="16" t="s">
        <v>497</v>
      </c>
      <c r="D569" s="17">
        <v>1570</v>
      </c>
      <c r="E569"/>
      <c r="F569"/>
      <c r="G569"/>
    </row>
    <row r="570" spans="1:7" x14ac:dyDescent="0.3">
      <c r="A570" s="15">
        <v>854</v>
      </c>
      <c r="B570" s="16" t="s">
        <v>171</v>
      </c>
      <c r="C570" s="16" t="s">
        <v>497</v>
      </c>
      <c r="D570" s="17">
        <v>970</v>
      </c>
      <c r="E570"/>
      <c r="F570"/>
      <c r="G570"/>
    </row>
    <row r="571" spans="1:7" x14ac:dyDescent="0.3">
      <c r="A571" s="15">
        <v>855</v>
      </c>
      <c r="B571" s="16" t="s">
        <v>171</v>
      </c>
      <c r="C571" s="16" t="s">
        <v>497</v>
      </c>
      <c r="D571" s="17">
        <v>1015</v>
      </c>
      <c r="E571"/>
      <c r="F571"/>
      <c r="G571"/>
    </row>
    <row r="572" spans="1:7" x14ac:dyDescent="0.3">
      <c r="A572" s="15">
        <v>856</v>
      </c>
      <c r="B572" s="16" t="s">
        <v>171</v>
      </c>
      <c r="C572" s="16" t="s">
        <v>497</v>
      </c>
      <c r="D572" s="17">
        <v>1430</v>
      </c>
      <c r="E572"/>
      <c r="F572"/>
      <c r="G572"/>
    </row>
    <row r="573" spans="1:7" x14ac:dyDescent="0.3">
      <c r="A573" s="15">
        <v>857</v>
      </c>
      <c r="B573" s="16" t="s">
        <v>171</v>
      </c>
      <c r="C573" s="16" t="s">
        <v>497</v>
      </c>
      <c r="D573" s="17">
        <v>1155</v>
      </c>
      <c r="E573"/>
      <c r="F573"/>
      <c r="G573"/>
    </row>
    <row r="574" spans="1:7" x14ac:dyDescent="0.3">
      <c r="A574" s="15">
        <v>858</v>
      </c>
      <c r="B574" s="16" t="s">
        <v>171</v>
      </c>
      <c r="C574" s="16" t="s">
        <v>497</v>
      </c>
      <c r="D574" s="17">
        <v>1220</v>
      </c>
      <c r="E574"/>
      <c r="F574"/>
      <c r="G574"/>
    </row>
    <row r="575" spans="1:7" x14ac:dyDescent="0.3">
      <c r="A575" s="15">
        <v>859</v>
      </c>
      <c r="B575" s="16" t="s">
        <v>171</v>
      </c>
      <c r="C575" s="16" t="s">
        <v>497</v>
      </c>
      <c r="D575" s="17">
        <v>1115</v>
      </c>
      <c r="E575"/>
      <c r="F575"/>
      <c r="G575"/>
    </row>
    <row r="576" spans="1:7" x14ac:dyDescent="0.3">
      <c r="A576" s="15">
        <v>860</v>
      </c>
      <c r="B576" s="16" t="s">
        <v>171</v>
      </c>
      <c r="C576" s="16" t="s">
        <v>497</v>
      </c>
      <c r="D576" s="17">
        <v>945</v>
      </c>
      <c r="E576"/>
      <c r="F576"/>
      <c r="G576"/>
    </row>
    <row r="577" spans="1:7" x14ac:dyDescent="0.3">
      <c r="A577" s="15">
        <v>861</v>
      </c>
      <c r="B577" s="16" t="s">
        <v>171</v>
      </c>
      <c r="C577" s="16" t="s">
        <v>497</v>
      </c>
      <c r="D577" s="17">
        <v>560</v>
      </c>
      <c r="E577"/>
      <c r="F577"/>
      <c r="G577"/>
    </row>
    <row r="578" spans="1:7" x14ac:dyDescent="0.3">
      <c r="A578" s="15">
        <v>862</v>
      </c>
      <c r="B578" s="16" t="s">
        <v>171</v>
      </c>
      <c r="C578" s="16" t="s">
        <v>497</v>
      </c>
      <c r="D578" s="17">
        <v>770</v>
      </c>
      <c r="E578"/>
      <c r="F578"/>
      <c r="G578"/>
    </row>
    <row r="579" spans="1:7" x14ac:dyDescent="0.3">
      <c r="A579" s="15">
        <v>866</v>
      </c>
      <c r="B579" s="16" t="s">
        <v>171</v>
      </c>
      <c r="C579" s="16" t="s">
        <v>497</v>
      </c>
      <c r="D579" s="17">
        <v>650</v>
      </c>
      <c r="E579"/>
      <c r="F579"/>
      <c r="G579"/>
    </row>
    <row r="580" spans="1:7" x14ac:dyDescent="0.3">
      <c r="A580" s="15">
        <v>868</v>
      </c>
      <c r="B580" s="16" t="s">
        <v>171</v>
      </c>
      <c r="C580" s="16" t="s">
        <v>497</v>
      </c>
      <c r="D580" s="17">
        <v>805</v>
      </c>
      <c r="E580"/>
      <c r="F580"/>
      <c r="G580"/>
    </row>
    <row r="581" spans="1:7" x14ac:dyDescent="0.3">
      <c r="A581" s="15">
        <v>869</v>
      </c>
      <c r="B581" s="16" t="s">
        <v>171</v>
      </c>
      <c r="C581" s="16" t="s">
        <v>497</v>
      </c>
      <c r="D581" s="17">
        <v>1850</v>
      </c>
      <c r="E581"/>
      <c r="F581"/>
      <c r="G581"/>
    </row>
    <row r="582" spans="1:7" x14ac:dyDescent="0.3">
      <c r="A582" s="15">
        <v>870</v>
      </c>
      <c r="B582" s="16" t="s">
        <v>171</v>
      </c>
      <c r="C582" s="16" t="s">
        <v>497</v>
      </c>
      <c r="D582" s="17">
        <v>945</v>
      </c>
      <c r="E582"/>
      <c r="F582"/>
      <c r="G582"/>
    </row>
    <row r="583" spans="1:7" x14ac:dyDescent="0.3">
      <c r="A583" s="15">
        <v>871</v>
      </c>
      <c r="B583" s="16" t="s">
        <v>171</v>
      </c>
      <c r="C583" s="16" t="s">
        <v>497</v>
      </c>
      <c r="D583" s="17">
        <v>770</v>
      </c>
      <c r="E583"/>
      <c r="F583"/>
      <c r="G583"/>
    </row>
    <row r="584" spans="1:7" x14ac:dyDescent="0.3">
      <c r="A584" s="15">
        <v>874</v>
      </c>
      <c r="B584" s="16" t="s">
        <v>171</v>
      </c>
      <c r="C584" s="16" t="s">
        <v>497</v>
      </c>
      <c r="D584" s="17">
        <v>875</v>
      </c>
      <c r="E584"/>
      <c r="F584"/>
      <c r="G584"/>
    </row>
    <row r="585" spans="1:7" x14ac:dyDescent="0.3">
      <c r="A585" s="15">
        <v>875</v>
      </c>
      <c r="B585" s="16" t="s">
        <v>171</v>
      </c>
      <c r="C585" s="16" t="s">
        <v>497</v>
      </c>
      <c r="D585" s="17">
        <v>945</v>
      </c>
      <c r="E585"/>
      <c r="F585"/>
      <c r="G585"/>
    </row>
    <row r="586" spans="1:7" x14ac:dyDescent="0.3">
      <c r="A586" s="15">
        <v>876</v>
      </c>
      <c r="B586" s="16" t="s">
        <v>171</v>
      </c>
      <c r="C586" s="16" t="s">
        <v>497</v>
      </c>
      <c r="D586" s="17">
        <v>755</v>
      </c>
      <c r="E586"/>
      <c r="F586"/>
      <c r="G586"/>
    </row>
    <row r="587" spans="1:7" x14ac:dyDescent="0.3">
      <c r="A587" s="15">
        <v>877</v>
      </c>
      <c r="B587" s="16" t="s">
        <v>171</v>
      </c>
      <c r="C587" s="16" t="s">
        <v>497</v>
      </c>
      <c r="D587" s="17">
        <v>730</v>
      </c>
      <c r="E587"/>
      <c r="F587"/>
      <c r="G587"/>
    </row>
    <row r="588" spans="1:7" x14ac:dyDescent="0.3">
      <c r="A588" s="15">
        <v>878</v>
      </c>
      <c r="B588" s="16" t="s">
        <v>171</v>
      </c>
      <c r="C588" s="16" t="s">
        <v>497</v>
      </c>
      <c r="D588" s="17">
        <v>610</v>
      </c>
      <c r="E588"/>
      <c r="F588"/>
      <c r="G588"/>
    </row>
    <row r="589" spans="1:7" x14ac:dyDescent="0.3">
      <c r="A589" s="15">
        <v>879</v>
      </c>
      <c r="B589" s="16" t="s">
        <v>171</v>
      </c>
      <c r="C589" s="16" t="s">
        <v>497</v>
      </c>
      <c r="D589" s="17">
        <v>530</v>
      </c>
      <c r="E589"/>
      <c r="F589"/>
      <c r="G589"/>
    </row>
    <row r="590" spans="1:7" x14ac:dyDescent="0.3">
      <c r="A590" s="15">
        <v>883</v>
      </c>
      <c r="B590" s="16" t="s">
        <v>171</v>
      </c>
      <c r="C590" s="16" t="s">
        <v>497</v>
      </c>
      <c r="D590" s="17">
        <v>820</v>
      </c>
      <c r="E590"/>
      <c r="F590"/>
      <c r="G590"/>
    </row>
    <row r="591" spans="1:7" x14ac:dyDescent="0.3">
      <c r="A591" s="15">
        <v>885</v>
      </c>
      <c r="B591" s="16" t="s">
        <v>171</v>
      </c>
      <c r="C591" s="16" t="s">
        <v>497</v>
      </c>
      <c r="D591" s="17">
        <v>710</v>
      </c>
      <c r="E591"/>
      <c r="F591"/>
      <c r="G591"/>
    </row>
    <row r="592" spans="1:7" x14ac:dyDescent="0.3">
      <c r="A592" s="15">
        <v>886</v>
      </c>
      <c r="B592" s="16" t="s">
        <v>171</v>
      </c>
      <c r="C592" s="16" t="s">
        <v>497</v>
      </c>
      <c r="D592" s="17">
        <v>725</v>
      </c>
      <c r="E592"/>
      <c r="F592"/>
      <c r="G592"/>
    </row>
    <row r="593" spans="1:7" x14ac:dyDescent="0.3">
      <c r="A593" s="15">
        <v>887</v>
      </c>
      <c r="B593" s="16" t="s">
        <v>171</v>
      </c>
      <c r="C593" s="16" t="s">
        <v>497</v>
      </c>
      <c r="D593" s="17">
        <v>1640</v>
      </c>
      <c r="E593"/>
      <c r="F593"/>
      <c r="G593"/>
    </row>
    <row r="594" spans="1:7" x14ac:dyDescent="0.3">
      <c r="A594" s="15">
        <v>890</v>
      </c>
      <c r="B594" s="16" t="s">
        <v>171</v>
      </c>
      <c r="C594" s="16" t="s">
        <v>497</v>
      </c>
      <c r="D594" s="17">
        <v>1920</v>
      </c>
      <c r="E594"/>
      <c r="F594"/>
      <c r="G594"/>
    </row>
    <row r="595" spans="1:7" x14ac:dyDescent="0.3">
      <c r="A595" s="15">
        <v>891</v>
      </c>
      <c r="B595" s="16" t="s">
        <v>171</v>
      </c>
      <c r="C595" s="16" t="s">
        <v>497</v>
      </c>
      <c r="D595" s="17">
        <v>1780</v>
      </c>
      <c r="E595"/>
      <c r="F595"/>
      <c r="G595"/>
    </row>
    <row r="596" spans="1:7" x14ac:dyDescent="0.3">
      <c r="A596" s="15">
        <v>894</v>
      </c>
      <c r="B596" s="16" t="s">
        <v>171</v>
      </c>
      <c r="C596" s="16" t="s">
        <v>497</v>
      </c>
      <c r="D596" s="17">
        <v>805</v>
      </c>
      <c r="E596"/>
      <c r="F596"/>
      <c r="G596"/>
    </row>
    <row r="597" spans="1:7" x14ac:dyDescent="0.3">
      <c r="A597" s="15">
        <v>895</v>
      </c>
      <c r="B597" s="16" t="s">
        <v>171</v>
      </c>
      <c r="C597" s="16" t="s">
        <v>497</v>
      </c>
      <c r="D597" s="17">
        <v>2055</v>
      </c>
      <c r="E597"/>
      <c r="F597"/>
      <c r="G597"/>
    </row>
    <row r="598" spans="1:7" x14ac:dyDescent="0.3">
      <c r="A598" s="15">
        <v>896</v>
      </c>
      <c r="B598" s="16" t="s">
        <v>171</v>
      </c>
      <c r="C598" s="16" t="s">
        <v>497</v>
      </c>
      <c r="D598" s="17">
        <v>2475</v>
      </c>
      <c r="E598"/>
      <c r="F598"/>
      <c r="G598"/>
    </row>
    <row r="599" spans="1:7" x14ac:dyDescent="0.3">
      <c r="A599" s="15">
        <v>897</v>
      </c>
      <c r="B599" s="16" t="s">
        <v>171</v>
      </c>
      <c r="C599" s="16" t="s">
        <v>497</v>
      </c>
      <c r="D599" s="17">
        <v>1430</v>
      </c>
      <c r="E599"/>
      <c r="F599"/>
      <c r="G599"/>
    </row>
    <row r="600" spans="1:7" x14ac:dyDescent="0.3">
      <c r="A600" s="15">
        <v>898</v>
      </c>
      <c r="B600" s="16" t="s">
        <v>171</v>
      </c>
      <c r="C600" s="16" t="s">
        <v>497</v>
      </c>
      <c r="D600" s="17">
        <v>2265</v>
      </c>
      <c r="E600"/>
      <c r="F600"/>
      <c r="G600"/>
    </row>
    <row r="601" spans="1:7" x14ac:dyDescent="0.3">
      <c r="A601" s="15">
        <v>4521</v>
      </c>
      <c r="B601" s="16" t="s">
        <v>171</v>
      </c>
      <c r="C601" s="16" t="s">
        <v>495</v>
      </c>
      <c r="D601" s="17">
        <v>290</v>
      </c>
      <c r="E601"/>
      <c r="F601"/>
      <c r="G601"/>
    </row>
    <row r="602" spans="1:7" x14ac:dyDescent="0.3">
      <c r="A602" s="15">
        <v>4561</v>
      </c>
      <c r="B602" s="16" t="s">
        <v>171</v>
      </c>
      <c r="C602" s="16" t="s">
        <v>495</v>
      </c>
      <c r="D602" s="17">
        <v>565</v>
      </c>
      <c r="E602"/>
      <c r="F602"/>
      <c r="G602"/>
    </row>
    <row r="603" spans="1:7" x14ac:dyDescent="0.3">
      <c r="A603" s="15">
        <v>4562</v>
      </c>
      <c r="B603" s="16" t="s">
        <v>171</v>
      </c>
      <c r="C603" s="16" t="s">
        <v>495</v>
      </c>
      <c r="D603" s="17">
        <v>505</v>
      </c>
      <c r="E603"/>
      <c r="F603"/>
      <c r="G603"/>
    </row>
    <row r="604" spans="1:7" x14ac:dyDescent="0.3">
      <c r="A604" s="15">
        <v>4563</v>
      </c>
      <c r="B604" s="16" t="s">
        <v>171</v>
      </c>
      <c r="C604" s="16" t="s">
        <v>495</v>
      </c>
      <c r="D604" s="17">
        <v>685</v>
      </c>
      <c r="E604"/>
      <c r="F604"/>
      <c r="G604"/>
    </row>
    <row r="605" spans="1:7" x14ac:dyDescent="0.3">
      <c r="A605" s="15">
        <v>4564</v>
      </c>
      <c r="B605" s="16" t="s">
        <v>171</v>
      </c>
      <c r="C605" s="16" t="s">
        <v>495</v>
      </c>
      <c r="D605" s="17">
        <v>520</v>
      </c>
      <c r="E605"/>
      <c r="F605"/>
      <c r="G605"/>
    </row>
    <row r="606" spans="1:7" x14ac:dyDescent="0.3">
      <c r="A606" s="15">
        <v>4565</v>
      </c>
      <c r="B606" s="16" t="s">
        <v>171</v>
      </c>
      <c r="C606" s="16" t="s">
        <v>495</v>
      </c>
      <c r="D606" s="17">
        <v>645</v>
      </c>
      <c r="E606"/>
      <c r="F606"/>
      <c r="G606"/>
    </row>
    <row r="607" spans="1:7" x14ac:dyDescent="0.3">
      <c r="A607" s="15">
        <v>4566</v>
      </c>
      <c r="B607" s="16" t="s">
        <v>171</v>
      </c>
      <c r="C607" s="16" t="s">
        <v>495</v>
      </c>
      <c r="D607" s="17">
        <v>680</v>
      </c>
      <c r="E607"/>
      <c r="F607"/>
      <c r="G607"/>
    </row>
    <row r="608" spans="1:7" x14ac:dyDescent="0.3">
      <c r="A608" s="15">
        <v>4567</v>
      </c>
      <c r="B608" s="16" t="s">
        <v>171</v>
      </c>
      <c r="C608" s="16" t="s">
        <v>495</v>
      </c>
      <c r="D608" s="17">
        <v>580</v>
      </c>
      <c r="E608"/>
      <c r="F608"/>
      <c r="G608"/>
    </row>
    <row r="609" spans="1:7" x14ac:dyDescent="0.3">
      <c r="A609" s="15">
        <v>4568</v>
      </c>
      <c r="B609" s="16" t="s">
        <v>171</v>
      </c>
      <c r="C609" s="16" t="s">
        <v>495</v>
      </c>
      <c r="D609" s="17">
        <v>715</v>
      </c>
      <c r="E609"/>
      <c r="F609"/>
      <c r="G609"/>
    </row>
    <row r="610" spans="1:7" x14ac:dyDescent="0.3">
      <c r="A610" s="15">
        <v>4569</v>
      </c>
      <c r="B610" s="16" t="s">
        <v>171</v>
      </c>
      <c r="C610" s="16" t="s">
        <v>495</v>
      </c>
      <c r="D610" s="17">
        <v>880</v>
      </c>
      <c r="E610"/>
      <c r="F610"/>
      <c r="G610"/>
    </row>
    <row r="611" spans="1:7" x14ac:dyDescent="0.3">
      <c r="A611" s="15">
        <v>4570</v>
      </c>
      <c r="B611" s="16" t="s">
        <v>171</v>
      </c>
      <c r="C611" s="16" t="s">
        <v>495</v>
      </c>
      <c r="D611" s="17">
        <v>740</v>
      </c>
      <c r="E611"/>
      <c r="F611"/>
      <c r="G611"/>
    </row>
    <row r="612" spans="1:7" x14ac:dyDescent="0.3">
      <c r="A612" s="15">
        <v>4571</v>
      </c>
      <c r="B612" s="16" t="s">
        <v>171</v>
      </c>
      <c r="C612" s="16" t="s">
        <v>495</v>
      </c>
      <c r="D612" s="17">
        <v>805</v>
      </c>
      <c r="E612"/>
      <c r="F612"/>
      <c r="G612"/>
    </row>
    <row r="613" spans="1:7" x14ac:dyDescent="0.3">
      <c r="A613" s="15">
        <v>4573</v>
      </c>
      <c r="B613" s="16" t="s">
        <v>171</v>
      </c>
      <c r="C613" s="16" t="s">
        <v>495</v>
      </c>
      <c r="D613" s="17">
        <v>740</v>
      </c>
      <c r="E613"/>
      <c r="F613"/>
      <c r="G613"/>
    </row>
    <row r="614" spans="1:7" x14ac:dyDescent="0.3">
      <c r="A614" s="15">
        <v>4574</v>
      </c>
      <c r="B614" s="16" t="s">
        <v>171</v>
      </c>
      <c r="C614" s="16" t="s">
        <v>495</v>
      </c>
      <c r="D614" s="17">
        <v>550</v>
      </c>
      <c r="E614"/>
      <c r="F614"/>
      <c r="G614"/>
    </row>
    <row r="615" spans="1:7" x14ac:dyDescent="0.3">
      <c r="A615" s="15">
        <v>4575</v>
      </c>
      <c r="B615" s="16" t="s">
        <v>171</v>
      </c>
      <c r="C615" s="16" t="s">
        <v>495</v>
      </c>
      <c r="D615" s="17">
        <v>815</v>
      </c>
      <c r="E615"/>
      <c r="F615"/>
      <c r="G615"/>
    </row>
    <row r="616" spans="1:7" x14ac:dyDescent="0.3">
      <c r="A616" s="15">
        <v>4576</v>
      </c>
      <c r="B616" s="16" t="s">
        <v>171</v>
      </c>
      <c r="C616" s="16" t="s">
        <v>495</v>
      </c>
      <c r="D616" s="17">
        <v>880</v>
      </c>
      <c r="E616"/>
      <c r="F616"/>
      <c r="G616"/>
    </row>
    <row r="617" spans="1:7" x14ac:dyDescent="0.3">
      <c r="A617" s="15">
        <v>5001</v>
      </c>
      <c r="B617" s="16" t="s">
        <v>171</v>
      </c>
      <c r="C617" s="16" t="s">
        <v>494</v>
      </c>
      <c r="D617" s="17">
        <v>625</v>
      </c>
      <c r="E617"/>
      <c r="F617"/>
      <c r="G617"/>
    </row>
    <row r="618" spans="1:7" x14ac:dyDescent="0.3">
      <c r="A618" s="15">
        <v>5002</v>
      </c>
      <c r="B618" s="16" t="s">
        <v>171</v>
      </c>
      <c r="C618" s="16" t="s">
        <v>494</v>
      </c>
      <c r="D618" s="17">
        <v>275</v>
      </c>
      <c r="E618"/>
      <c r="F618"/>
      <c r="G618"/>
    </row>
    <row r="619" spans="1:7" x14ac:dyDescent="0.3">
      <c r="A619" s="15">
        <v>5003</v>
      </c>
      <c r="B619" s="16" t="s">
        <v>171</v>
      </c>
      <c r="C619" s="16" t="s">
        <v>494</v>
      </c>
      <c r="D619" s="17">
        <v>340</v>
      </c>
      <c r="E619"/>
      <c r="F619"/>
      <c r="G619"/>
    </row>
    <row r="620" spans="1:7" x14ac:dyDescent="0.3">
      <c r="A620" s="15">
        <v>5004</v>
      </c>
      <c r="B620" s="16" t="s">
        <v>171</v>
      </c>
      <c r="C620" s="16" t="s">
        <v>494</v>
      </c>
      <c r="D620" s="17">
        <v>360</v>
      </c>
      <c r="E620"/>
      <c r="F620"/>
      <c r="G620"/>
    </row>
    <row r="621" spans="1:7" x14ac:dyDescent="0.3">
      <c r="A621" s="15">
        <v>5006</v>
      </c>
      <c r="B621" s="16" t="s">
        <v>171</v>
      </c>
      <c r="C621" s="16" t="s">
        <v>494</v>
      </c>
      <c r="D621" s="17">
        <v>395</v>
      </c>
      <c r="E621"/>
      <c r="F621"/>
      <c r="G621"/>
    </row>
    <row r="622" spans="1:7" x14ac:dyDescent="0.3">
      <c r="A622" s="15">
        <v>5007</v>
      </c>
      <c r="B622" s="16" t="s">
        <v>171</v>
      </c>
      <c r="C622" s="16" t="s">
        <v>494</v>
      </c>
      <c r="D622" s="17">
        <v>355</v>
      </c>
      <c r="E622"/>
      <c r="F622"/>
      <c r="G622"/>
    </row>
    <row r="623" spans="1:7" x14ac:dyDescent="0.3">
      <c r="A623" s="15">
        <v>5010</v>
      </c>
      <c r="B623" s="16" t="s">
        <v>171</v>
      </c>
      <c r="C623" s="16" t="s">
        <v>494</v>
      </c>
      <c r="D623" s="17">
        <v>345</v>
      </c>
      <c r="E623"/>
      <c r="F623"/>
      <c r="G623"/>
    </row>
    <row r="624" spans="1:7" x14ac:dyDescent="0.3">
      <c r="A624" s="15">
        <v>5011</v>
      </c>
      <c r="B624" s="16" t="s">
        <v>171</v>
      </c>
      <c r="C624" s="16" t="s">
        <v>494</v>
      </c>
      <c r="D624" s="17">
        <v>295</v>
      </c>
      <c r="E624"/>
      <c r="F624"/>
      <c r="G624"/>
    </row>
    <row r="625" spans="1:7" x14ac:dyDescent="0.3">
      <c r="A625" s="15">
        <v>5012</v>
      </c>
      <c r="B625" s="16" t="s">
        <v>171</v>
      </c>
      <c r="C625" s="16" t="s">
        <v>494</v>
      </c>
      <c r="D625" s="17">
        <v>390</v>
      </c>
      <c r="E625"/>
      <c r="F625"/>
      <c r="G625"/>
    </row>
    <row r="626" spans="1:7" x14ac:dyDescent="0.3">
      <c r="A626" s="15">
        <v>5013</v>
      </c>
      <c r="B626" s="16" t="s">
        <v>171</v>
      </c>
      <c r="C626" s="16" t="s">
        <v>494</v>
      </c>
      <c r="D626" s="17">
        <v>305</v>
      </c>
      <c r="E626"/>
      <c r="F626"/>
      <c r="G626"/>
    </row>
    <row r="627" spans="1:7" x14ac:dyDescent="0.3">
      <c r="A627" s="15">
        <v>5014</v>
      </c>
      <c r="B627" s="16" t="s">
        <v>171</v>
      </c>
      <c r="C627" s="16" t="s">
        <v>494</v>
      </c>
      <c r="D627" s="17">
        <v>335</v>
      </c>
      <c r="E627"/>
      <c r="F627"/>
      <c r="G627"/>
    </row>
    <row r="628" spans="1:7" x14ac:dyDescent="0.3">
      <c r="A628" s="15">
        <v>5015</v>
      </c>
      <c r="B628" s="16" t="s">
        <v>171</v>
      </c>
      <c r="C628" s="16" t="s">
        <v>494</v>
      </c>
      <c r="D628" s="17">
        <v>390</v>
      </c>
      <c r="E628"/>
      <c r="F628"/>
      <c r="G628"/>
    </row>
    <row r="629" spans="1:7" x14ac:dyDescent="0.3">
      <c r="A629" s="15">
        <v>5016</v>
      </c>
      <c r="B629" s="16" t="s">
        <v>171</v>
      </c>
      <c r="C629" s="16" t="s">
        <v>494</v>
      </c>
      <c r="D629" s="17">
        <v>370</v>
      </c>
      <c r="E629"/>
      <c r="F629"/>
      <c r="G629"/>
    </row>
    <row r="630" spans="1:7" x14ac:dyDescent="0.3">
      <c r="A630" s="15">
        <v>5017</v>
      </c>
      <c r="B630" s="16" t="s">
        <v>171</v>
      </c>
      <c r="C630" s="16" t="s">
        <v>494</v>
      </c>
      <c r="D630" s="17">
        <v>335</v>
      </c>
      <c r="E630"/>
      <c r="F630"/>
      <c r="G630"/>
    </row>
    <row r="631" spans="1:7" x14ac:dyDescent="0.3">
      <c r="A631" s="15">
        <v>5018</v>
      </c>
      <c r="B631" s="16" t="s">
        <v>171</v>
      </c>
      <c r="C631" s="16" t="s">
        <v>494</v>
      </c>
      <c r="D631" s="17">
        <v>390</v>
      </c>
      <c r="E631"/>
      <c r="F631"/>
      <c r="G631"/>
    </row>
    <row r="632" spans="1:7" x14ac:dyDescent="0.3">
      <c r="A632" s="15">
        <v>5019</v>
      </c>
      <c r="B632" s="16" t="s">
        <v>171</v>
      </c>
      <c r="C632" s="16" t="s">
        <v>494</v>
      </c>
      <c r="D632" s="17">
        <v>335</v>
      </c>
      <c r="E632"/>
      <c r="F632"/>
      <c r="G632"/>
    </row>
    <row r="633" spans="1:7" x14ac:dyDescent="0.3">
      <c r="A633" s="15">
        <v>5020</v>
      </c>
      <c r="B633" s="16" t="s">
        <v>171</v>
      </c>
      <c r="C633" s="16" t="s">
        <v>494</v>
      </c>
      <c r="D633" s="17">
        <v>335</v>
      </c>
      <c r="E633"/>
      <c r="F633"/>
      <c r="G633"/>
    </row>
    <row r="634" spans="1:7" x14ac:dyDescent="0.3">
      <c r="A634" s="15">
        <v>5021</v>
      </c>
      <c r="B634" s="16" t="s">
        <v>171</v>
      </c>
      <c r="C634" s="16" t="s">
        <v>494</v>
      </c>
      <c r="D634" s="17">
        <v>370</v>
      </c>
      <c r="E634"/>
      <c r="F634"/>
      <c r="G634"/>
    </row>
    <row r="635" spans="1:7" x14ac:dyDescent="0.3">
      <c r="A635" s="15">
        <v>5022</v>
      </c>
      <c r="B635" s="16" t="s">
        <v>171</v>
      </c>
      <c r="C635" s="16" t="s">
        <v>494</v>
      </c>
      <c r="D635" s="17">
        <v>425</v>
      </c>
      <c r="E635"/>
      <c r="F635"/>
      <c r="G635"/>
    </row>
    <row r="636" spans="1:7" x14ac:dyDescent="0.3">
      <c r="A636" s="15">
        <v>5023</v>
      </c>
      <c r="B636" s="16" t="s">
        <v>171</v>
      </c>
      <c r="C636" s="16" t="s">
        <v>494</v>
      </c>
      <c r="D636" s="17">
        <v>335</v>
      </c>
      <c r="E636"/>
      <c r="F636"/>
      <c r="G636"/>
    </row>
    <row r="637" spans="1:7" x14ac:dyDescent="0.3">
      <c r="A637" s="15">
        <v>5024</v>
      </c>
      <c r="B637" s="16" t="s">
        <v>171</v>
      </c>
      <c r="C637" s="16" t="s">
        <v>494</v>
      </c>
      <c r="D637" s="17">
        <v>335</v>
      </c>
      <c r="E637"/>
      <c r="F637"/>
      <c r="G637"/>
    </row>
    <row r="638" spans="1:7" x14ac:dyDescent="0.3">
      <c r="A638" s="15">
        <v>5025</v>
      </c>
      <c r="B638" s="16" t="s">
        <v>171</v>
      </c>
      <c r="C638" s="16" t="s">
        <v>494</v>
      </c>
      <c r="D638" s="17">
        <v>335</v>
      </c>
      <c r="E638"/>
      <c r="F638"/>
      <c r="G638"/>
    </row>
    <row r="639" spans="1:7" x14ac:dyDescent="0.3">
      <c r="A639" s="15">
        <v>5026</v>
      </c>
      <c r="B639" s="16" t="s">
        <v>171</v>
      </c>
      <c r="C639" s="16" t="s">
        <v>494</v>
      </c>
      <c r="D639" s="17">
        <v>335</v>
      </c>
      <c r="E639"/>
      <c r="F639"/>
      <c r="G639"/>
    </row>
    <row r="640" spans="1:7" x14ac:dyDescent="0.3">
      <c r="A640" s="15">
        <v>5027</v>
      </c>
      <c r="B640" s="16" t="s">
        <v>171</v>
      </c>
      <c r="C640" s="16" t="s">
        <v>494</v>
      </c>
      <c r="D640" s="17">
        <v>335</v>
      </c>
      <c r="E640"/>
      <c r="F640"/>
      <c r="G640"/>
    </row>
    <row r="641" spans="1:7" x14ac:dyDescent="0.3">
      <c r="A641" s="15">
        <v>5051</v>
      </c>
      <c r="B641" s="16" t="s">
        <v>171</v>
      </c>
      <c r="C641" s="16" t="s">
        <v>494</v>
      </c>
      <c r="D641" s="17">
        <v>255</v>
      </c>
      <c r="E641"/>
      <c r="F641"/>
      <c r="G641"/>
    </row>
    <row r="642" spans="1:7" x14ac:dyDescent="0.3">
      <c r="A642" s="15">
        <v>5081</v>
      </c>
      <c r="B642" s="16" t="s">
        <v>171</v>
      </c>
      <c r="C642" s="16" t="s">
        <v>494</v>
      </c>
      <c r="D642" s="17">
        <v>285</v>
      </c>
      <c r="E642"/>
      <c r="F642"/>
      <c r="G642"/>
    </row>
    <row r="643" spans="1:7" x14ac:dyDescent="0.3">
      <c r="A643" s="15">
        <v>5082</v>
      </c>
      <c r="B643" s="16" t="s">
        <v>171</v>
      </c>
      <c r="C643" s="16" t="s">
        <v>494</v>
      </c>
      <c r="D643" s="17">
        <v>520</v>
      </c>
      <c r="E643"/>
      <c r="F643"/>
      <c r="G643"/>
    </row>
    <row r="644" spans="1:7" x14ac:dyDescent="0.3">
      <c r="A644" s="15">
        <v>5083</v>
      </c>
      <c r="B644" s="16" t="s">
        <v>171</v>
      </c>
      <c r="C644" s="16" t="s">
        <v>494</v>
      </c>
      <c r="D644" s="17">
        <v>375</v>
      </c>
      <c r="E644"/>
      <c r="F644"/>
      <c r="G644"/>
    </row>
    <row r="645" spans="1:7" x14ac:dyDescent="0.3">
      <c r="A645" s="15">
        <v>5085</v>
      </c>
      <c r="B645" s="16" t="s">
        <v>171</v>
      </c>
      <c r="C645" s="16" t="s">
        <v>494</v>
      </c>
      <c r="D645" s="17">
        <v>345</v>
      </c>
      <c r="E645"/>
      <c r="F645"/>
      <c r="G645"/>
    </row>
    <row r="646" spans="1:7" x14ac:dyDescent="0.3">
      <c r="A646" s="15">
        <v>5086</v>
      </c>
      <c r="B646" s="16" t="s">
        <v>171</v>
      </c>
      <c r="C646" s="16" t="s">
        <v>494</v>
      </c>
      <c r="D646" s="17">
        <v>415</v>
      </c>
      <c r="E646"/>
      <c r="F646"/>
      <c r="G646"/>
    </row>
    <row r="647" spans="1:7" x14ac:dyDescent="0.3">
      <c r="A647" s="15">
        <v>5087</v>
      </c>
      <c r="B647" s="16" t="s">
        <v>171</v>
      </c>
      <c r="C647" s="16" t="s">
        <v>494</v>
      </c>
      <c r="D647" s="17">
        <v>445</v>
      </c>
      <c r="E647"/>
      <c r="F647"/>
      <c r="G647"/>
    </row>
    <row r="648" spans="1:7" x14ac:dyDescent="0.3">
      <c r="A648" s="15">
        <v>5088</v>
      </c>
      <c r="B648" s="16" t="s">
        <v>171</v>
      </c>
      <c r="C648" s="16" t="s">
        <v>494</v>
      </c>
      <c r="D648" s="17">
        <v>405</v>
      </c>
      <c r="E648"/>
      <c r="F648"/>
      <c r="G648"/>
    </row>
    <row r="649" spans="1:7" x14ac:dyDescent="0.3">
      <c r="A649" s="15">
        <v>5089</v>
      </c>
      <c r="B649" s="16" t="s">
        <v>171</v>
      </c>
      <c r="C649" s="16" t="s">
        <v>494</v>
      </c>
      <c r="D649" s="17">
        <v>260</v>
      </c>
      <c r="E649"/>
      <c r="F649"/>
      <c r="G649"/>
    </row>
    <row r="650" spans="1:7" x14ac:dyDescent="0.3">
      <c r="A650" s="15">
        <v>5090</v>
      </c>
      <c r="B650" s="16" t="s">
        <v>171</v>
      </c>
      <c r="C650" s="16" t="s">
        <v>494</v>
      </c>
      <c r="D650" s="17">
        <v>350</v>
      </c>
      <c r="E650"/>
      <c r="F650"/>
      <c r="G650"/>
    </row>
    <row r="651" spans="1:7" x14ac:dyDescent="0.3">
      <c r="A651" s="15">
        <v>5091</v>
      </c>
      <c r="B651" s="16" t="s">
        <v>171</v>
      </c>
      <c r="C651" s="16" t="s">
        <v>494</v>
      </c>
      <c r="D651" s="17">
        <v>390</v>
      </c>
      <c r="E651"/>
      <c r="F651"/>
      <c r="G651"/>
    </row>
    <row r="652" spans="1:7" x14ac:dyDescent="0.3">
      <c r="A652" s="15">
        <v>5092</v>
      </c>
      <c r="B652" s="16" t="s">
        <v>171</v>
      </c>
      <c r="C652" s="16" t="s">
        <v>494</v>
      </c>
      <c r="D652" s="17">
        <v>395</v>
      </c>
      <c r="E652"/>
      <c r="F652"/>
      <c r="G652"/>
    </row>
    <row r="653" spans="1:7" x14ac:dyDescent="0.3">
      <c r="A653" s="15">
        <v>5093</v>
      </c>
      <c r="B653" s="16" t="s">
        <v>171</v>
      </c>
      <c r="C653" s="16" t="s">
        <v>494</v>
      </c>
      <c r="D653" s="17">
        <v>315</v>
      </c>
      <c r="E653"/>
      <c r="F653"/>
      <c r="G653"/>
    </row>
    <row r="654" spans="1:7" x14ac:dyDescent="0.3">
      <c r="A654" s="15">
        <v>5094</v>
      </c>
      <c r="B654" s="16" t="s">
        <v>171</v>
      </c>
      <c r="C654" s="16" t="s">
        <v>494</v>
      </c>
      <c r="D654" s="17">
        <v>480</v>
      </c>
      <c r="E654"/>
      <c r="F654"/>
      <c r="G654"/>
    </row>
    <row r="655" spans="1:7" x14ac:dyDescent="0.3">
      <c r="A655" s="15">
        <v>5101</v>
      </c>
      <c r="B655" s="16" t="s">
        <v>171</v>
      </c>
      <c r="C655" s="16" t="s">
        <v>494</v>
      </c>
      <c r="D655" s="17">
        <v>340</v>
      </c>
      <c r="E655"/>
      <c r="F655"/>
      <c r="G655"/>
    </row>
    <row r="656" spans="1:7" x14ac:dyDescent="0.3">
      <c r="A656" s="15">
        <v>5102</v>
      </c>
      <c r="B656" s="16" t="s">
        <v>171</v>
      </c>
      <c r="C656" s="16" t="s">
        <v>494</v>
      </c>
      <c r="D656" s="17">
        <v>340</v>
      </c>
      <c r="E656"/>
      <c r="F656"/>
      <c r="G656"/>
    </row>
    <row r="657" spans="1:7" x14ac:dyDescent="0.3">
      <c r="A657" s="15">
        <v>5103</v>
      </c>
      <c r="B657" s="16" t="s">
        <v>171</v>
      </c>
      <c r="C657" s="16" t="s">
        <v>494</v>
      </c>
      <c r="D657" s="17">
        <v>335</v>
      </c>
      <c r="E657"/>
      <c r="F657"/>
      <c r="G657"/>
    </row>
    <row r="658" spans="1:7" x14ac:dyDescent="0.3">
      <c r="A658" s="15">
        <v>5221</v>
      </c>
      <c r="B658" s="16" t="s">
        <v>171</v>
      </c>
      <c r="C658" s="16" t="s">
        <v>494</v>
      </c>
      <c r="D658" s="17">
        <v>535</v>
      </c>
      <c r="E658"/>
      <c r="F658"/>
      <c r="G658"/>
    </row>
    <row r="659" spans="1:7" x14ac:dyDescent="0.3">
      <c r="A659" s="15">
        <v>5222</v>
      </c>
      <c r="B659" s="16" t="s">
        <v>171</v>
      </c>
      <c r="C659" s="16" t="s">
        <v>494</v>
      </c>
      <c r="D659" s="17">
        <v>355</v>
      </c>
      <c r="E659"/>
      <c r="F659"/>
      <c r="G659"/>
    </row>
    <row r="660" spans="1:7" x14ac:dyDescent="0.3">
      <c r="A660" s="15">
        <v>5223</v>
      </c>
      <c r="B660" s="16" t="s">
        <v>171</v>
      </c>
      <c r="C660" s="16" t="s">
        <v>494</v>
      </c>
      <c r="D660" s="17">
        <v>430</v>
      </c>
      <c r="E660"/>
      <c r="F660"/>
      <c r="G660"/>
    </row>
    <row r="661" spans="1:7" x14ac:dyDescent="0.3">
      <c r="A661" s="15">
        <v>5224</v>
      </c>
      <c r="B661" s="16" t="s">
        <v>171</v>
      </c>
      <c r="C661" s="16" t="s">
        <v>494</v>
      </c>
      <c r="D661" s="17">
        <v>315</v>
      </c>
      <c r="E661"/>
      <c r="F661"/>
      <c r="G661"/>
    </row>
    <row r="662" spans="1:7" x14ac:dyDescent="0.3">
      <c r="A662" s="15">
        <v>5225</v>
      </c>
      <c r="B662" s="16" t="s">
        <v>171</v>
      </c>
      <c r="C662" s="16" t="s">
        <v>494</v>
      </c>
      <c r="D662" s="17">
        <v>355</v>
      </c>
      <c r="E662"/>
      <c r="F662"/>
      <c r="G662"/>
    </row>
    <row r="663" spans="1:7" x14ac:dyDescent="0.3">
      <c r="A663" s="15">
        <v>5226</v>
      </c>
      <c r="B663" s="16" t="s">
        <v>171</v>
      </c>
      <c r="C663" s="16" t="s">
        <v>494</v>
      </c>
      <c r="D663" s="17">
        <v>550</v>
      </c>
      <c r="E663"/>
      <c r="F663"/>
      <c r="G663"/>
    </row>
    <row r="664" spans="1:7" x14ac:dyDescent="0.3">
      <c r="A664" s="15">
        <v>5227</v>
      </c>
      <c r="B664" s="16" t="s">
        <v>171</v>
      </c>
      <c r="C664" s="16" t="s">
        <v>494</v>
      </c>
      <c r="D664" s="17">
        <v>510</v>
      </c>
      <c r="E664"/>
      <c r="F664"/>
      <c r="G664"/>
    </row>
    <row r="665" spans="1:7" x14ac:dyDescent="0.3">
      <c r="A665" s="15">
        <v>5228</v>
      </c>
      <c r="B665" s="16" t="s">
        <v>171</v>
      </c>
      <c r="C665" s="16" t="s">
        <v>494</v>
      </c>
      <c r="D665" s="17">
        <v>575</v>
      </c>
      <c r="E665"/>
      <c r="F665"/>
      <c r="G665"/>
    </row>
    <row r="666" spans="1:7" x14ac:dyDescent="0.3">
      <c r="A666" s="15">
        <v>5229</v>
      </c>
      <c r="B666" s="16" t="s">
        <v>171</v>
      </c>
      <c r="C666" s="16" t="s">
        <v>494</v>
      </c>
      <c r="D666" s="17">
        <v>575</v>
      </c>
      <c r="E666"/>
      <c r="F666"/>
      <c r="G666"/>
    </row>
    <row r="667" spans="1:7" x14ac:dyDescent="0.3">
      <c r="A667" s="15">
        <v>5230</v>
      </c>
      <c r="B667" s="16" t="s">
        <v>171</v>
      </c>
      <c r="C667" s="16" t="s">
        <v>494</v>
      </c>
      <c r="D667" s="17">
        <v>550</v>
      </c>
      <c r="E667"/>
      <c r="F667"/>
      <c r="G667"/>
    </row>
    <row r="668" spans="1:7" x14ac:dyDescent="0.3">
      <c r="A668" s="15">
        <v>5231</v>
      </c>
      <c r="B668" s="16" t="s">
        <v>171</v>
      </c>
      <c r="C668" s="16" t="s">
        <v>494</v>
      </c>
      <c r="D668" s="17">
        <v>565</v>
      </c>
      <c r="E668"/>
      <c r="F668"/>
      <c r="G668"/>
    </row>
    <row r="669" spans="1:7" x14ac:dyDescent="0.3">
      <c r="A669" s="15">
        <v>5232</v>
      </c>
      <c r="B669" s="16" t="s">
        <v>171</v>
      </c>
      <c r="C669" s="16" t="s">
        <v>494</v>
      </c>
      <c r="D669" s="17">
        <v>725</v>
      </c>
      <c r="E669"/>
      <c r="F669"/>
      <c r="G669"/>
    </row>
    <row r="670" spans="1:7" x14ac:dyDescent="0.3">
      <c r="A670" s="15">
        <v>5233</v>
      </c>
      <c r="B670" s="16" t="s">
        <v>171</v>
      </c>
      <c r="C670" s="16" t="s">
        <v>494</v>
      </c>
      <c r="D670" s="17">
        <v>785</v>
      </c>
      <c r="E670"/>
      <c r="F670"/>
      <c r="G670"/>
    </row>
    <row r="671" spans="1:7" x14ac:dyDescent="0.3">
      <c r="A671" s="15">
        <v>5234</v>
      </c>
      <c r="B671" s="16" t="s">
        <v>171</v>
      </c>
      <c r="C671" s="16" t="s">
        <v>494</v>
      </c>
      <c r="D671" s="17">
        <v>770</v>
      </c>
      <c r="E671"/>
      <c r="F671"/>
      <c r="G671"/>
    </row>
    <row r="672" spans="1:7" x14ac:dyDescent="0.3">
      <c r="A672" s="15">
        <v>5235</v>
      </c>
      <c r="B672" s="16" t="s">
        <v>171</v>
      </c>
      <c r="C672" s="16" t="s">
        <v>494</v>
      </c>
      <c r="D672" s="17">
        <v>175</v>
      </c>
      <c r="E672"/>
      <c r="F672"/>
      <c r="G672"/>
    </row>
    <row r="673" spans="1:7" x14ac:dyDescent="0.3">
      <c r="A673" s="15">
        <v>5236</v>
      </c>
      <c r="B673" s="16" t="s">
        <v>171</v>
      </c>
      <c r="C673" s="16" t="s">
        <v>494</v>
      </c>
      <c r="D673" s="17">
        <v>265</v>
      </c>
      <c r="E673"/>
      <c r="F673"/>
      <c r="G673"/>
    </row>
    <row r="674" spans="1:7" x14ac:dyDescent="0.3">
      <c r="A674" s="15">
        <v>5237</v>
      </c>
      <c r="B674" s="16" t="s">
        <v>171</v>
      </c>
      <c r="C674" s="16" t="s">
        <v>494</v>
      </c>
      <c r="D674" s="17">
        <v>285</v>
      </c>
      <c r="E674"/>
      <c r="F674"/>
      <c r="G674"/>
    </row>
    <row r="675" spans="1:7" x14ac:dyDescent="0.3">
      <c r="A675" s="15">
        <v>5238</v>
      </c>
      <c r="B675" s="16" t="s">
        <v>171</v>
      </c>
      <c r="C675" s="16" t="s">
        <v>494</v>
      </c>
      <c r="D675" s="17">
        <v>235</v>
      </c>
      <c r="E675"/>
      <c r="F675"/>
      <c r="G675"/>
    </row>
    <row r="676" spans="1:7" x14ac:dyDescent="0.3">
      <c r="A676" s="15">
        <v>5239</v>
      </c>
      <c r="B676" s="16" t="s">
        <v>171</v>
      </c>
      <c r="C676" s="16" t="s">
        <v>494</v>
      </c>
      <c r="D676" s="17">
        <v>270</v>
      </c>
      <c r="E676"/>
      <c r="F676"/>
      <c r="G676"/>
    </row>
    <row r="677" spans="1:7" x14ac:dyDescent="0.3">
      <c r="A677" s="15">
        <v>5241</v>
      </c>
      <c r="B677" s="16" t="s">
        <v>171</v>
      </c>
      <c r="C677" s="16" t="s">
        <v>494</v>
      </c>
      <c r="D677" s="17">
        <v>485</v>
      </c>
      <c r="E677"/>
      <c r="F677"/>
      <c r="G677"/>
    </row>
    <row r="678" spans="1:7" x14ac:dyDescent="0.3">
      <c r="A678" s="15">
        <v>5242</v>
      </c>
      <c r="B678" s="16" t="s">
        <v>171</v>
      </c>
      <c r="C678" s="16" t="s">
        <v>494</v>
      </c>
      <c r="D678" s="17">
        <v>485</v>
      </c>
      <c r="E678"/>
      <c r="F678"/>
      <c r="G678"/>
    </row>
    <row r="679" spans="1:7" x14ac:dyDescent="0.3">
      <c r="A679" s="15">
        <v>5243</v>
      </c>
      <c r="B679" s="16" t="s">
        <v>171</v>
      </c>
      <c r="C679" s="16" t="s">
        <v>494</v>
      </c>
      <c r="D679" s="17">
        <v>485</v>
      </c>
      <c r="E679"/>
      <c r="F679"/>
      <c r="G679"/>
    </row>
    <row r="680" spans="1:7" x14ac:dyDescent="0.3">
      <c r="A680" s="15">
        <v>5244</v>
      </c>
      <c r="B680" s="16" t="s">
        <v>171</v>
      </c>
      <c r="C680" s="16" t="s">
        <v>494</v>
      </c>
      <c r="D680" s="17">
        <v>620</v>
      </c>
      <c r="E680"/>
      <c r="F680"/>
      <c r="G680"/>
    </row>
    <row r="681" spans="1:7" x14ac:dyDescent="0.3">
      <c r="A681" s="15">
        <v>5302</v>
      </c>
      <c r="B681" s="16" t="s">
        <v>171</v>
      </c>
      <c r="C681" s="16" t="s">
        <v>494</v>
      </c>
      <c r="D681" s="17">
        <v>260</v>
      </c>
      <c r="E681"/>
      <c r="F681"/>
      <c r="G681"/>
    </row>
    <row r="682" spans="1:7" x14ac:dyDescent="0.3">
      <c r="A682" s="15">
        <v>5303</v>
      </c>
      <c r="B682" s="16" t="s">
        <v>171</v>
      </c>
      <c r="C682" s="16" t="s">
        <v>494</v>
      </c>
      <c r="D682" s="17">
        <v>285</v>
      </c>
      <c r="E682"/>
      <c r="F682"/>
      <c r="G682"/>
    </row>
    <row r="683" spans="1:7" x14ac:dyDescent="0.3">
      <c r="A683" s="15">
        <v>5541</v>
      </c>
      <c r="B683" s="16" t="s">
        <v>171</v>
      </c>
      <c r="C683" s="16" t="s">
        <v>494</v>
      </c>
      <c r="D683" s="17">
        <v>280</v>
      </c>
      <c r="E683"/>
      <c r="F683"/>
      <c r="G683"/>
    </row>
    <row r="684" spans="1:7" x14ac:dyDescent="0.3">
      <c r="A684" s="15">
        <v>5581</v>
      </c>
      <c r="B684" s="16" t="s">
        <v>171</v>
      </c>
      <c r="C684" s="16" t="s">
        <v>494</v>
      </c>
      <c r="D684" s="17">
        <v>660</v>
      </c>
      <c r="E684"/>
      <c r="F684"/>
      <c r="G684"/>
    </row>
    <row r="685" spans="1:7" x14ac:dyDescent="0.3">
      <c r="A685" s="15">
        <v>5582</v>
      </c>
      <c r="B685" s="16" t="s">
        <v>171</v>
      </c>
      <c r="C685" s="16" t="s">
        <v>494</v>
      </c>
      <c r="D685" s="17">
        <v>710</v>
      </c>
      <c r="E685"/>
      <c r="F685"/>
      <c r="G685"/>
    </row>
    <row r="686" spans="1:7" x14ac:dyDescent="0.3">
      <c r="A686" s="15">
        <v>5583</v>
      </c>
      <c r="B686" s="16" t="s">
        <v>171</v>
      </c>
      <c r="C686" s="16" t="s">
        <v>494</v>
      </c>
      <c r="D686" s="17">
        <v>640</v>
      </c>
      <c r="E686"/>
      <c r="F686"/>
      <c r="G686"/>
    </row>
    <row r="687" spans="1:7" x14ac:dyDescent="0.3">
      <c r="A687" s="15">
        <v>5584</v>
      </c>
      <c r="B687" s="16" t="s">
        <v>171</v>
      </c>
      <c r="C687" s="16" t="s">
        <v>494</v>
      </c>
      <c r="D687" s="17">
        <v>505</v>
      </c>
      <c r="E687"/>
      <c r="F687"/>
      <c r="G687"/>
    </row>
    <row r="688" spans="1:7" x14ac:dyDescent="0.3">
      <c r="A688" s="15">
        <v>5585</v>
      </c>
      <c r="B688" s="16" t="s">
        <v>171</v>
      </c>
      <c r="C688" s="16" t="s">
        <v>494</v>
      </c>
      <c r="D688" s="17">
        <v>505</v>
      </c>
      <c r="E688"/>
      <c r="F688"/>
      <c r="G688"/>
    </row>
    <row r="689" spans="1:7" x14ac:dyDescent="0.3">
      <c r="A689" s="15">
        <v>5586</v>
      </c>
      <c r="B689" s="16" t="s">
        <v>171</v>
      </c>
      <c r="C689" s="16" t="s">
        <v>494</v>
      </c>
      <c r="D689" s="17">
        <v>535</v>
      </c>
      <c r="E689"/>
      <c r="F689"/>
      <c r="G689"/>
    </row>
    <row r="690" spans="1:7" x14ac:dyDescent="0.3">
      <c r="A690" s="15">
        <v>5587</v>
      </c>
      <c r="B690" s="16" t="s">
        <v>171</v>
      </c>
      <c r="C690" s="16" t="s">
        <v>494</v>
      </c>
      <c r="D690" s="17">
        <v>565</v>
      </c>
      <c r="E690"/>
      <c r="F690"/>
      <c r="G690"/>
    </row>
    <row r="691" spans="1:7" x14ac:dyDescent="0.3">
      <c r="A691" s="15">
        <v>5588</v>
      </c>
      <c r="B691" s="16" t="s">
        <v>171</v>
      </c>
      <c r="C691" s="16" t="s">
        <v>494</v>
      </c>
      <c r="D691" s="17">
        <v>525</v>
      </c>
      <c r="E691"/>
      <c r="F691"/>
      <c r="G691"/>
    </row>
    <row r="692" spans="1:7" x14ac:dyDescent="0.3">
      <c r="A692" s="15">
        <v>5589</v>
      </c>
      <c r="B692" s="16" t="s">
        <v>171</v>
      </c>
      <c r="C692" s="16" t="s">
        <v>494</v>
      </c>
      <c r="D692" s="17">
        <v>225</v>
      </c>
      <c r="E692"/>
      <c r="F692"/>
      <c r="G692"/>
    </row>
    <row r="693" spans="1:7" x14ac:dyDescent="0.3">
      <c r="A693" s="15">
        <v>5771</v>
      </c>
      <c r="B693" s="16" t="s">
        <v>171</v>
      </c>
      <c r="C693" s="16" t="s">
        <v>494</v>
      </c>
      <c r="D693" s="17">
        <v>720</v>
      </c>
      <c r="E693"/>
      <c r="F693"/>
      <c r="G693"/>
    </row>
    <row r="694" spans="1:7" x14ac:dyDescent="0.3">
      <c r="A694" s="15">
        <v>5772</v>
      </c>
      <c r="B694" s="16" t="s">
        <v>171</v>
      </c>
      <c r="C694" s="16" t="s">
        <v>494</v>
      </c>
      <c r="D694" s="17">
        <v>720</v>
      </c>
      <c r="E694"/>
      <c r="F694"/>
      <c r="G694"/>
    </row>
    <row r="695" spans="1:7" x14ac:dyDescent="0.3">
      <c r="A695" s="15">
        <v>5773</v>
      </c>
      <c r="B695" s="16" t="s">
        <v>171</v>
      </c>
      <c r="C695" s="16" t="s">
        <v>494</v>
      </c>
      <c r="D695" s="17">
        <v>750</v>
      </c>
      <c r="E695"/>
      <c r="F695"/>
      <c r="G695"/>
    </row>
    <row r="696" spans="1:7" x14ac:dyDescent="0.3">
      <c r="A696" s="15">
        <v>5774</v>
      </c>
      <c r="B696" s="16" t="s">
        <v>171</v>
      </c>
      <c r="C696" s="16" t="s">
        <v>494</v>
      </c>
      <c r="D696" s="17">
        <v>635</v>
      </c>
      <c r="E696"/>
      <c r="F696"/>
      <c r="G696"/>
    </row>
    <row r="697" spans="1:7" x14ac:dyDescent="0.3">
      <c r="A697" s="15">
        <v>5783</v>
      </c>
      <c r="B697" s="16" t="s">
        <v>171</v>
      </c>
      <c r="C697" s="16" t="s">
        <v>497</v>
      </c>
      <c r="D697" s="17">
        <v>685</v>
      </c>
      <c r="E697"/>
      <c r="F697"/>
      <c r="G697"/>
    </row>
    <row r="698" spans="1:7" x14ac:dyDescent="0.3">
      <c r="A698" s="15">
        <v>5784</v>
      </c>
      <c r="B698" s="16" t="s">
        <v>171</v>
      </c>
      <c r="C698" s="16" t="s">
        <v>497</v>
      </c>
      <c r="D698" s="17">
        <v>735</v>
      </c>
      <c r="E698"/>
      <c r="F698"/>
      <c r="G698"/>
    </row>
    <row r="699" spans="1:7" x14ac:dyDescent="0.3">
      <c r="A699" s="15">
        <v>5785</v>
      </c>
      <c r="B699" s="16" t="s">
        <v>171</v>
      </c>
      <c r="C699" s="16" t="s">
        <v>497</v>
      </c>
      <c r="D699" s="17">
        <v>825</v>
      </c>
      <c r="E699"/>
      <c r="F699"/>
      <c r="G699"/>
    </row>
    <row r="700" spans="1:7" x14ac:dyDescent="0.3">
      <c r="A700" s="15">
        <v>5786</v>
      </c>
      <c r="B700" s="16" t="s">
        <v>171</v>
      </c>
      <c r="C700" s="16" t="s">
        <v>497</v>
      </c>
      <c r="D700" s="17">
        <v>1065</v>
      </c>
      <c r="E700"/>
      <c r="F700"/>
      <c r="G700"/>
    </row>
    <row r="701" spans="1:7" x14ac:dyDescent="0.3">
      <c r="A701" s="15">
        <v>5788</v>
      </c>
      <c r="B701" s="16" t="s">
        <v>171</v>
      </c>
      <c r="C701" s="16" t="s">
        <v>497</v>
      </c>
      <c r="D701" s="17">
        <v>735</v>
      </c>
      <c r="E701"/>
      <c r="F701"/>
      <c r="G701"/>
    </row>
    <row r="702" spans="1:7" x14ac:dyDescent="0.3">
      <c r="A702" s="15">
        <v>5789</v>
      </c>
      <c r="B702" s="16" t="s">
        <v>171</v>
      </c>
      <c r="C702" s="16" t="s">
        <v>497</v>
      </c>
      <c r="D702" s="17">
        <v>1275</v>
      </c>
      <c r="E702"/>
      <c r="F702"/>
      <c r="G702"/>
    </row>
    <row r="703" spans="1:7" x14ac:dyDescent="0.3">
      <c r="A703" s="15">
        <v>5821</v>
      </c>
      <c r="B703" s="16" t="s">
        <v>171</v>
      </c>
      <c r="C703" s="16" t="s">
        <v>494</v>
      </c>
      <c r="D703" s="17">
        <v>320</v>
      </c>
      <c r="E703"/>
      <c r="F703"/>
      <c r="G703"/>
    </row>
    <row r="704" spans="1:7" x14ac:dyDescent="0.3">
      <c r="A704" s="15">
        <v>5822</v>
      </c>
      <c r="B704" s="16" t="s">
        <v>171</v>
      </c>
      <c r="C704" s="16" t="s">
        <v>494</v>
      </c>
      <c r="D704" s="17">
        <v>390</v>
      </c>
      <c r="E704"/>
      <c r="F704"/>
      <c r="G704"/>
    </row>
    <row r="705" spans="1:7" x14ac:dyDescent="0.3">
      <c r="A705" s="15">
        <v>5823</v>
      </c>
      <c r="B705" s="16" t="s">
        <v>171</v>
      </c>
      <c r="C705" s="16" t="s">
        <v>494</v>
      </c>
      <c r="D705" s="17">
        <v>365</v>
      </c>
      <c r="E705"/>
      <c r="F705"/>
      <c r="G705"/>
    </row>
    <row r="706" spans="1:7" x14ac:dyDescent="0.3">
      <c r="A706" s="15">
        <v>8451</v>
      </c>
      <c r="B706" s="16" t="s">
        <v>171</v>
      </c>
      <c r="C706" s="16" t="s">
        <v>497</v>
      </c>
      <c r="D706" s="17">
        <v>975</v>
      </c>
      <c r="E706"/>
      <c r="F706"/>
      <c r="G706"/>
    </row>
    <row r="707" spans="1:7" x14ac:dyDescent="0.3">
      <c r="A707" s="15">
        <v>8511</v>
      </c>
      <c r="B707" s="16" t="s">
        <v>171</v>
      </c>
      <c r="C707" s="16" t="s">
        <v>497</v>
      </c>
      <c r="D707" s="17">
        <v>925</v>
      </c>
      <c r="E707"/>
      <c r="F707"/>
      <c r="G707"/>
    </row>
    <row r="708" spans="1:7" x14ac:dyDescent="0.3">
      <c r="A708" s="15">
        <v>8512</v>
      </c>
      <c r="B708" s="16" t="s">
        <v>171</v>
      </c>
      <c r="C708" s="16" t="s">
        <v>497</v>
      </c>
      <c r="D708" s="17">
        <v>550</v>
      </c>
      <c r="E708"/>
      <c r="F708"/>
      <c r="G708"/>
    </row>
    <row r="709" spans="1:7" x14ac:dyDescent="0.3">
      <c r="A709" s="15">
        <v>8514</v>
      </c>
      <c r="B709" s="16" t="s">
        <v>171</v>
      </c>
      <c r="C709" s="16" t="s">
        <v>497</v>
      </c>
      <c r="D709" s="17">
        <v>2005</v>
      </c>
      <c r="E709"/>
      <c r="F709"/>
      <c r="G709"/>
    </row>
    <row r="710" spans="1:7" x14ac:dyDescent="0.3">
      <c r="A710" s="15">
        <v>8515</v>
      </c>
      <c r="B710" s="16" t="s">
        <v>171</v>
      </c>
      <c r="C710" s="16" t="s">
        <v>494</v>
      </c>
      <c r="D710" s="17">
        <v>525</v>
      </c>
      <c r="E710"/>
      <c r="F710"/>
      <c r="G710"/>
    </row>
    <row r="711" spans="1:7" x14ac:dyDescent="0.3">
      <c r="A711" s="15">
        <v>8516</v>
      </c>
      <c r="B711" s="16" t="s">
        <v>171</v>
      </c>
      <c r="C711" s="16" t="s">
        <v>497</v>
      </c>
      <c r="D711" s="17">
        <v>1640</v>
      </c>
      <c r="E711"/>
      <c r="F711"/>
      <c r="G711"/>
    </row>
    <row r="712" spans="1:7" x14ac:dyDescent="0.3">
      <c r="A712" s="15">
        <v>8517</v>
      </c>
      <c r="B712" s="16" t="s">
        <v>171</v>
      </c>
      <c r="C712" s="16" t="s">
        <v>497</v>
      </c>
      <c r="D712" s="17">
        <v>365</v>
      </c>
      <c r="E712"/>
      <c r="F712"/>
      <c r="G712"/>
    </row>
    <row r="713" spans="1:7" x14ac:dyDescent="0.3">
      <c r="A713" s="15">
        <v>8518</v>
      </c>
      <c r="B713" s="16" t="s">
        <v>171</v>
      </c>
      <c r="C713" s="16" t="s">
        <v>497</v>
      </c>
      <c r="D713" s="17">
        <v>1680</v>
      </c>
      <c r="E713"/>
      <c r="F713"/>
      <c r="G713"/>
    </row>
    <row r="714" spans="1:7" x14ac:dyDescent="0.3">
      <c r="A714" s="15">
        <v>8571</v>
      </c>
      <c r="B714" s="16" t="s">
        <v>171</v>
      </c>
      <c r="C714" s="16" t="s">
        <v>497</v>
      </c>
      <c r="D714" s="17">
        <v>1430</v>
      </c>
      <c r="E714"/>
      <c r="F714"/>
      <c r="G714"/>
    </row>
    <row r="715" spans="1:7" x14ac:dyDescent="0.3">
      <c r="A715" s="15">
        <v>8681</v>
      </c>
      <c r="B715" s="16" t="s">
        <v>171</v>
      </c>
      <c r="C715" s="16" t="s">
        <v>497</v>
      </c>
      <c r="D715" s="17">
        <v>620</v>
      </c>
      <c r="E715"/>
      <c r="F715"/>
      <c r="G715"/>
    </row>
    <row r="716" spans="1:7" x14ac:dyDescent="0.3">
      <c r="A716" s="15">
        <v>8682</v>
      </c>
      <c r="B716" s="16" t="s">
        <v>171</v>
      </c>
      <c r="C716" s="16" t="s">
        <v>494</v>
      </c>
      <c r="D716" s="17">
        <v>875</v>
      </c>
      <c r="E716"/>
      <c r="F716"/>
      <c r="G716"/>
    </row>
    <row r="717" spans="1:7" x14ac:dyDescent="0.3">
      <c r="A717" s="15">
        <v>8683</v>
      </c>
      <c r="B717" s="16" t="s">
        <v>171</v>
      </c>
      <c r="C717" s="16" t="s">
        <v>494</v>
      </c>
      <c r="D717" s="17">
        <v>735</v>
      </c>
      <c r="E717"/>
      <c r="F717"/>
      <c r="G717"/>
    </row>
    <row r="718" spans="1:7" x14ac:dyDescent="0.3">
      <c r="A718" s="15">
        <v>8684</v>
      </c>
      <c r="B718" s="16" t="s">
        <v>171</v>
      </c>
      <c r="C718" s="16" t="s">
        <v>494</v>
      </c>
      <c r="D718" s="17">
        <v>735</v>
      </c>
      <c r="E718"/>
      <c r="F718"/>
      <c r="G718"/>
    </row>
    <row r="719" spans="1:7" x14ac:dyDescent="0.3">
      <c r="A719" s="15" t="s">
        <v>410</v>
      </c>
      <c r="B719" s="16" t="s">
        <v>171</v>
      </c>
      <c r="C719" s="16" t="s">
        <v>496</v>
      </c>
      <c r="D719" s="17">
        <v>260</v>
      </c>
      <c r="E719"/>
      <c r="F719"/>
      <c r="G719"/>
    </row>
    <row r="720" spans="1:7" x14ac:dyDescent="0.3">
      <c r="A720" s="15" t="s">
        <v>411</v>
      </c>
      <c r="B720" s="16" t="s">
        <v>171</v>
      </c>
      <c r="C720" s="16" t="s">
        <v>496</v>
      </c>
      <c r="D720" s="17">
        <v>285</v>
      </c>
      <c r="E720"/>
      <c r="F720"/>
      <c r="G720"/>
    </row>
    <row r="721" spans="1:7" x14ac:dyDescent="0.3">
      <c r="A721" s="15" t="s">
        <v>258</v>
      </c>
      <c r="B721" s="16" t="s">
        <v>171</v>
      </c>
      <c r="C721" s="16" t="s">
        <v>496</v>
      </c>
      <c r="D721" s="17">
        <v>235</v>
      </c>
      <c r="E721"/>
      <c r="F721"/>
      <c r="G721"/>
    </row>
    <row r="722" spans="1:7" x14ac:dyDescent="0.3">
      <c r="A722" s="15" t="s">
        <v>85</v>
      </c>
      <c r="B722" s="16" t="s">
        <v>171</v>
      </c>
      <c r="C722" s="16" t="s">
        <v>496</v>
      </c>
      <c r="D722" s="17">
        <v>395</v>
      </c>
      <c r="E722"/>
      <c r="F722"/>
      <c r="G722"/>
    </row>
    <row r="723" spans="1:7" x14ac:dyDescent="0.3">
      <c r="A723" s="15" t="s">
        <v>86</v>
      </c>
      <c r="B723" s="16" t="s">
        <v>171</v>
      </c>
      <c r="C723" s="16" t="s">
        <v>496</v>
      </c>
      <c r="D723" s="17">
        <v>395</v>
      </c>
      <c r="E723"/>
      <c r="F723"/>
      <c r="G723"/>
    </row>
    <row r="724" spans="1:7" x14ac:dyDescent="0.3">
      <c r="A724" s="15" t="s">
        <v>412</v>
      </c>
      <c r="B724" s="16" t="s">
        <v>171</v>
      </c>
      <c r="C724" s="16" t="s">
        <v>496</v>
      </c>
      <c r="D724" s="17">
        <v>395</v>
      </c>
      <c r="E724"/>
      <c r="F724"/>
      <c r="G724"/>
    </row>
    <row r="725" spans="1:7" x14ac:dyDescent="0.3">
      <c r="A725" s="15" t="s">
        <v>141</v>
      </c>
      <c r="B725" s="16" t="s">
        <v>171</v>
      </c>
      <c r="C725" s="16" t="s">
        <v>496</v>
      </c>
      <c r="D725" s="17">
        <v>415</v>
      </c>
      <c r="E725"/>
      <c r="F725"/>
      <c r="G725"/>
    </row>
    <row r="726" spans="1:7" x14ac:dyDescent="0.3">
      <c r="A726" s="15" t="s">
        <v>354</v>
      </c>
      <c r="B726" s="16" t="s">
        <v>171</v>
      </c>
      <c r="C726" s="16" t="s">
        <v>496</v>
      </c>
      <c r="D726" s="17">
        <v>340</v>
      </c>
      <c r="E726"/>
      <c r="F726"/>
      <c r="G726"/>
    </row>
    <row r="727" spans="1:7" x14ac:dyDescent="0.3">
      <c r="A727" s="15" t="s">
        <v>608</v>
      </c>
      <c r="B727" s="16" t="s">
        <v>171</v>
      </c>
      <c r="C727" s="16" t="s">
        <v>496</v>
      </c>
      <c r="D727" s="17">
        <v>315</v>
      </c>
      <c r="E727"/>
      <c r="F727"/>
      <c r="G727"/>
    </row>
    <row r="728" spans="1:7" x14ac:dyDescent="0.3">
      <c r="A728" s="15" t="s">
        <v>607</v>
      </c>
      <c r="B728" s="16" t="s">
        <v>171</v>
      </c>
      <c r="C728" s="16" t="s">
        <v>496</v>
      </c>
      <c r="D728" s="17">
        <v>315</v>
      </c>
      <c r="E728"/>
      <c r="F728"/>
      <c r="G728"/>
    </row>
    <row r="729" spans="1:7" x14ac:dyDescent="0.3">
      <c r="A729" s="15" t="s">
        <v>356</v>
      </c>
      <c r="B729" s="16" t="s">
        <v>171</v>
      </c>
      <c r="C729" s="16" t="s">
        <v>496</v>
      </c>
      <c r="D729" s="17">
        <v>260</v>
      </c>
      <c r="E729"/>
      <c r="F729"/>
      <c r="G729"/>
    </row>
    <row r="730" spans="1:7" x14ac:dyDescent="0.3">
      <c r="A730" s="15" t="s">
        <v>371</v>
      </c>
      <c r="B730" s="16" t="s">
        <v>171</v>
      </c>
      <c r="C730" s="16" t="s">
        <v>496</v>
      </c>
      <c r="D730" s="17">
        <v>285</v>
      </c>
      <c r="E730"/>
      <c r="F730"/>
      <c r="G730"/>
    </row>
    <row r="731" spans="1:7" x14ac:dyDescent="0.3">
      <c r="A731" s="15" t="s">
        <v>413</v>
      </c>
      <c r="B731" s="16" t="s">
        <v>171</v>
      </c>
      <c r="C731" s="16" t="s">
        <v>496</v>
      </c>
      <c r="D731" s="17">
        <v>260</v>
      </c>
      <c r="E731"/>
      <c r="F731"/>
      <c r="G731"/>
    </row>
    <row r="732" spans="1:7" x14ac:dyDescent="0.3">
      <c r="A732" s="15" t="s">
        <v>611</v>
      </c>
      <c r="B732" s="16" t="s">
        <v>171</v>
      </c>
      <c r="C732" s="16" t="s">
        <v>496</v>
      </c>
      <c r="D732" s="17">
        <v>350</v>
      </c>
      <c r="E732"/>
      <c r="F732"/>
      <c r="G732"/>
    </row>
    <row r="733" spans="1:7" x14ac:dyDescent="0.3">
      <c r="A733" s="15" t="s">
        <v>414</v>
      </c>
      <c r="B733" s="16" t="s">
        <v>171</v>
      </c>
      <c r="C733" s="16" t="s">
        <v>496</v>
      </c>
      <c r="D733" s="17">
        <v>285</v>
      </c>
      <c r="E733"/>
      <c r="F733"/>
      <c r="G733"/>
    </row>
    <row r="734" spans="1:7" x14ac:dyDescent="0.3">
      <c r="A734" s="15" t="s">
        <v>142</v>
      </c>
      <c r="B734" s="16" t="s">
        <v>171</v>
      </c>
      <c r="C734" s="16" t="s">
        <v>496</v>
      </c>
      <c r="D734" s="17">
        <v>340</v>
      </c>
      <c r="E734"/>
      <c r="F734"/>
      <c r="G734"/>
    </row>
    <row r="735" spans="1:7" x14ac:dyDescent="0.3">
      <c r="A735" s="15" t="s">
        <v>143</v>
      </c>
      <c r="B735" s="16" t="s">
        <v>171</v>
      </c>
      <c r="C735" s="16" t="s">
        <v>496</v>
      </c>
      <c r="D735" s="17">
        <v>340</v>
      </c>
      <c r="E735"/>
      <c r="F735"/>
      <c r="G735"/>
    </row>
    <row r="736" spans="1:7" x14ac:dyDescent="0.3">
      <c r="A736" s="15" t="s">
        <v>144</v>
      </c>
      <c r="B736" s="16" t="s">
        <v>171</v>
      </c>
      <c r="C736" s="16" t="s">
        <v>496</v>
      </c>
      <c r="D736" s="17">
        <v>315</v>
      </c>
      <c r="E736"/>
      <c r="F736"/>
      <c r="G736"/>
    </row>
    <row r="737" spans="1:7" x14ac:dyDescent="0.3">
      <c r="A737" s="15" t="s">
        <v>423</v>
      </c>
      <c r="B737" s="16" t="s">
        <v>171</v>
      </c>
      <c r="C737" s="16" t="s">
        <v>496</v>
      </c>
      <c r="D737" s="17">
        <v>285</v>
      </c>
      <c r="E737"/>
      <c r="F737"/>
      <c r="G737"/>
    </row>
    <row r="738" spans="1:7" x14ac:dyDescent="0.3">
      <c r="A738" s="15" t="s">
        <v>363</v>
      </c>
      <c r="B738" s="16" t="s">
        <v>171</v>
      </c>
      <c r="C738" s="16" t="s">
        <v>496</v>
      </c>
      <c r="D738" s="17">
        <v>325</v>
      </c>
      <c r="E738"/>
      <c r="F738"/>
      <c r="G738"/>
    </row>
    <row r="739" spans="1:7" x14ac:dyDescent="0.3">
      <c r="A739" s="15" t="s">
        <v>415</v>
      </c>
      <c r="B739" s="16" t="s">
        <v>171</v>
      </c>
      <c r="C739" s="16" t="s">
        <v>496</v>
      </c>
      <c r="D739" s="17">
        <v>285</v>
      </c>
      <c r="E739"/>
      <c r="F739"/>
      <c r="G739"/>
    </row>
    <row r="740" spans="1:7" x14ac:dyDescent="0.3">
      <c r="A740" s="15" t="s">
        <v>610</v>
      </c>
      <c r="B740" s="16" t="s">
        <v>171</v>
      </c>
      <c r="C740" s="16" t="s">
        <v>496</v>
      </c>
      <c r="D740" s="17">
        <v>270</v>
      </c>
      <c r="E740"/>
      <c r="F740"/>
      <c r="G740"/>
    </row>
    <row r="741" spans="1:7" x14ac:dyDescent="0.3">
      <c r="A741" s="15" t="s">
        <v>145</v>
      </c>
      <c r="B741" s="16" t="s">
        <v>171</v>
      </c>
      <c r="C741" s="16" t="s">
        <v>496</v>
      </c>
      <c r="D741" s="17">
        <v>340</v>
      </c>
      <c r="E741"/>
      <c r="F741"/>
      <c r="G741"/>
    </row>
    <row r="742" spans="1:7" x14ac:dyDescent="0.3">
      <c r="A742" s="15" t="s">
        <v>353</v>
      </c>
      <c r="B742" s="16" t="s">
        <v>171</v>
      </c>
      <c r="C742" s="16" t="s">
        <v>496</v>
      </c>
      <c r="D742" s="17">
        <v>325</v>
      </c>
      <c r="E742"/>
      <c r="F742"/>
      <c r="G742"/>
    </row>
    <row r="743" spans="1:7" x14ac:dyDescent="0.3">
      <c r="A743" s="15" t="s">
        <v>364</v>
      </c>
      <c r="B743" s="16" t="s">
        <v>171</v>
      </c>
      <c r="C743" s="16" t="s">
        <v>496</v>
      </c>
      <c r="D743" s="17">
        <v>270</v>
      </c>
      <c r="E743"/>
      <c r="F743"/>
      <c r="G743"/>
    </row>
    <row r="744" spans="1:7" x14ac:dyDescent="0.3">
      <c r="A744" s="15" t="s">
        <v>357</v>
      </c>
      <c r="B744" s="16" t="s">
        <v>171</v>
      </c>
      <c r="C744" s="16" t="s">
        <v>496</v>
      </c>
      <c r="D744" s="17">
        <v>335</v>
      </c>
      <c r="E744"/>
      <c r="F744"/>
      <c r="G744"/>
    </row>
    <row r="745" spans="1:7" x14ac:dyDescent="0.3">
      <c r="A745" s="15" t="s">
        <v>405</v>
      </c>
      <c r="B745" s="16" t="s">
        <v>171</v>
      </c>
      <c r="C745" s="16" t="s">
        <v>496</v>
      </c>
      <c r="D745" s="17">
        <v>245</v>
      </c>
      <c r="E745"/>
      <c r="F745"/>
      <c r="G745"/>
    </row>
    <row r="746" spans="1:7" x14ac:dyDescent="0.3">
      <c r="A746" s="15" t="s">
        <v>359</v>
      </c>
      <c r="B746" s="16" t="s">
        <v>171</v>
      </c>
      <c r="C746" s="16" t="s">
        <v>496</v>
      </c>
      <c r="D746" s="17">
        <v>315</v>
      </c>
      <c r="E746"/>
      <c r="F746"/>
      <c r="G746"/>
    </row>
    <row r="747" spans="1:7" x14ac:dyDescent="0.3">
      <c r="A747" s="15" t="s">
        <v>409</v>
      </c>
      <c r="B747" s="16" t="s">
        <v>171</v>
      </c>
      <c r="C747" s="16" t="s">
        <v>496</v>
      </c>
      <c r="D747" s="17">
        <v>315</v>
      </c>
      <c r="E747"/>
      <c r="F747"/>
      <c r="G747"/>
    </row>
    <row r="748" spans="1:7" x14ac:dyDescent="0.3">
      <c r="A748" s="15" t="s">
        <v>271</v>
      </c>
      <c r="B748" s="16" t="s">
        <v>171</v>
      </c>
      <c r="C748" s="16" t="s">
        <v>496</v>
      </c>
      <c r="D748" s="17">
        <v>340</v>
      </c>
      <c r="E748"/>
      <c r="F748"/>
      <c r="G748"/>
    </row>
    <row r="749" spans="1:7" x14ac:dyDescent="0.3">
      <c r="A749" s="15" t="s">
        <v>274</v>
      </c>
      <c r="B749" s="16" t="s">
        <v>171</v>
      </c>
      <c r="C749" s="16" t="s">
        <v>496</v>
      </c>
      <c r="D749" s="17">
        <v>340</v>
      </c>
      <c r="E749"/>
      <c r="F749"/>
      <c r="G749"/>
    </row>
    <row r="750" spans="1:7" x14ac:dyDescent="0.3">
      <c r="A750" s="15" t="s">
        <v>140</v>
      </c>
      <c r="B750" s="16" t="s">
        <v>171</v>
      </c>
      <c r="C750" s="16" t="s">
        <v>496</v>
      </c>
      <c r="D750" s="17">
        <v>325</v>
      </c>
      <c r="E750"/>
      <c r="F750"/>
      <c r="G750"/>
    </row>
    <row r="751" spans="1:7" x14ac:dyDescent="0.3">
      <c r="A751" s="15" t="s">
        <v>365</v>
      </c>
      <c r="B751" s="16" t="s">
        <v>171</v>
      </c>
      <c r="C751" s="16" t="s">
        <v>496</v>
      </c>
      <c r="D751" s="17">
        <v>335</v>
      </c>
      <c r="E751"/>
      <c r="F751"/>
      <c r="G751"/>
    </row>
    <row r="752" spans="1:7" x14ac:dyDescent="0.3">
      <c r="A752" s="15" t="s">
        <v>270</v>
      </c>
      <c r="B752" s="16" t="s">
        <v>171</v>
      </c>
      <c r="C752" s="16" t="s">
        <v>496</v>
      </c>
      <c r="D752" s="17">
        <v>315</v>
      </c>
      <c r="E752"/>
      <c r="F752"/>
      <c r="G752"/>
    </row>
    <row r="753" spans="1:7" x14ac:dyDescent="0.3">
      <c r="A753" s="15" t="s">
        <v>352</v>
      </c>
      <c r="B753" s="16" t="s">
        <v>171</v>
      </c>
      <c r="C753" s="16" t="s">
        <v>496</v>
      </c>
      <c r="D753" s="17">
        <v>295</v>
      </c>
      <c r="E753"/>
      <c r="F753"/>
      <c r="G753"/>
    </row>
    <row r="754" spans="1:7" x14ac:dyDescent="0.3">
      <c r="A754" s="15" t="s">
        <v>416</v>
      </c>
      <c r="B754" s="16" t="s">
        <v>171</v>
      </c>
      <c r="C754" s="16" t="s">
        <v>496</v>
      </c>
      <c r="D754" s="17">
        <v>260</v>
      </c>
      <c r="E754"/>
      <c r="F754"/>
      <c r="G754"/>
    </row>
    <row r="755" spans="1:7" x14ac:dyDescent="0.3">
      <c r="A755" s="15" t="s">
        <v>361</v>
      </c>
      <c r="B755" s="16" t="s">
        <v>171</v>
      </c>
      <c r="C755" s="16" t="s">
        <v>496</v>
      </c>
      <c r="D755" s="17">
        <v>295</v>
      </c>
      <c r="E755"/>
      <c r="F755"/>
      <c r="G755"/>
    </row>
    <row r="756" spans="1:7" x14ac:dyDescent="0.3">
      <c r="A756" s="15" t="s">
        <v>406</v>
      </c>
      <c r="B756" s="16" t="s">
        <v>171</v>
      </c>
      <c r="C756" s="16" t="s">
        <v>496</v>
      </c>
      <c r="D756" s="17">
        <v>285</v>
      </c>
      <c r="E756"/>
      <c r="F756"/>
      <c r="G756"/>
    </row>
    <row r="757" spans="1:7" x14ac:dyDescent="0.3">
      <c r="A757" s="15" t="s">
        <v>355</v>
      </c>
      <c r="B757" s="16" t="s">
        <v>171</v>
      </c>
      <c r="C757" s="16" t="s">
        <v>496</v>
      </c>
      <c r="D757" s="17">
        <v>315</v>
      </c>
      <c r="E757"/>
      <c r="F757"/>
      <c r="G757"/>
    </row>
    <row r="758" spans="1:7" x14ac:dyDescent="0.3">
      <c r="A758" s="15" t="s">
        <v>369</v>
      </c>
      <c r="B758" s="16" t="s">
        <v>171</v>
      </c>
      <c r="C758" s="16" t="s">
        <v>496</v>
      </c>
      <c r="D758" s="17">
        <v>215</v>
      </c>
      <c r="E758"/>
      <c r="F758"/>
      <c r="G758"/>
    </row>
    <row r="759" spans="1:7" x14ac:dyDescent="0.3">
      <c r="A759" s="15" t="s">
        <v>417</v>
      </c>
      <c r="B759" s="16" t="s">
        <v>171</v>
      </c>
      <c r="C759" s="16" t="s">
        <v>496</v>
      </c>
      <c r="D759" s="17">
        <v>315</v>
      </c>
      <c r="E759"/>
      <c r="F759"/>
      <c r="G759"/>
    </row>
    <row r="760" spans="1:7" x14ac:dyDescent="0.3">
      <c r="A760" s="15" t="s">
        <v>418</v>
      </c>
      <c r="B760" s="16" t="s">
        <v>171</v>
      </c>
      <c r="C760" s="16" t="s">
        <v>496</v>
      </c>
      <c r="D760" s="17">
        <v>315</v>
      </c>
      <c r="E760"/>
      <c r="F760"/>
      <c r="G760"/>
    </row>
    <row r="761" spans="1:7" x14ac:dyDescent="0.3">
      <c r="A761" s="15" t="s">
        <v>419</v>
      </c>
      <c r="B761" s="16" t="s">
        <v>171</v>
      </c>
      <c r="C761" s="16" t="s">
        <v>496</v>
      </c>
      <c r="D761" s="17">
        <v>260</v>
      </c>
      <c r="E761"/>
      <c r="F761"/>
      <c r="G761"/>
    </row>
    <row r="762" spans="1:7" x14ac:dyDescent="0.3">
      <c r="A762" s="15" t="s">
        <v>612</v>
      </c>
      <c r="B762" s="16" t="s">
        <v>171</v>
      </c>
      <c r="C762" s="16" t="s">
        <v>496</v>
      </c>
      <c r="D762" s="17">
        <v>340</v>
      </c>
      <c r="E762"/>
      <c r="F762"/>
      <c r="G762"/>
    </row>
    <row r="763" spans="1:7" x14ac:dyDescent="0.3">
      <c r="A763" s="15" t="s">
        <v>349</v>
      </c>
      <c r="B763" s="16" t="s">
        <v>171</v>
      </c>
      <c r="C763" s="16" t="s">
        <v>496</v>
      </c>
      <c r="D763" s="17">
        <v>375</v>
      </c>
      <c r="E763"/>
      <c r="F763"/>
      <c r="G763"/>
    </row>
    <row r="764" spans="1:7" x14ac:dyDescent="0.3">
      <c r="A764" s="15" t="s">
        <v>596</v>
      </c>
      <c r="B764" s="16" t="s">
        <v>171</v>
      </c>
      <c r="C764" s="16" t="s">
        <v>496</v>
      </c>
      <c r="D764" s="17">
        <v>325</v>
      </c>
      <c r="E764"/>
      <c r="F764"/>
      <c r="G764"/>
    </row>
    <row r="765" spans="1:7" x14ac:dyDescent="0.3">
      <c r="A765" s="15" t="s">
        <v>350</v>
      </c>
      <c r="B765" s="16" t="s">
        <v>171</v>
      </c>
      <c r="C765" s="16" t="s">
        <v>496</v>
      </c>
      <c r="D765" s="17">
        <v>405</v>
      </c>
      <c r="E765"/>
      <c r="F765"/>
      <c r="G765"/>
    </row>
    <row r="766" spans="1:7" x14ac:dyDescent="0.3">
      <c r="A766" s="15" t="s">
        <v>264</v>
      </c>
      <c r="B766" s="16" t="s">
        <v>171</v>
      </c>
      <c r="C766" s="16" t="s">
        <v>496</v>
      </c>
      <c r="D766" s="17">
        <v>245</v>
      </c>
      <c r="E766"/>
      <c r="F766"/>
      <c r="G766"/>
    </row>
    <row r="767" spans="1:7" x14ac:dyDescent="0.3">
      <c r="A767" s="15" t="s">
        <v>272</v>
      </c>
      <c r="B767" s="16" t="s">
        <v>171</v>
      </c>
      <c r="C767" s="16" t="s">
        <v>496</v>
      </c>
      <c r="D767" s="17">
        <v>315</v>
      </c>
      <c r="E767"/>
      <c r="F767"/>
      <c r="G767"/>
    </row>
    <row r="768" spans="1:7" x14ac:dyDescent="0.3">
      <c r="A768" s="15" t="s">
        <v>273</v>
      </c>
      <c r="B768" s="16" t="s">
        <v>171</v>
      </c>
      <c r="C768" s="16" t="s">
        <v>496</v>
      </c>
      <c r="D768" s="17">
        <v>315</v>
      </c>
      <c r="E768"/>
      <c r="F768"/>
      <c r="G768"/>
    </row>
    <row r="769" spans="1:7" x14ac:dyDescent="0.3">
      <c r="A769" s="15" t="s">
        <v>367</v>
      </c>
      <c r="B769" s="16" t="s">
        <v>171</v>
      </c>
      <c r="C769" s="16" t="s">
        <v>496</v>
      </c>
      <c r="D769" s="17">
        <v>350</v>
      </c>
      <c r="E769"/>
      <c r="F769"/>
      <c r="G769"/>
    </row>
    <row r="770" spans="1:7" x14ac:dyDescent="0.3">
      <c r="A770" s="15" t="s">
        <v>601</v>
      </c>
      <c r="B770" s="16" t="s">
        <v>171</v>
      </c>
      <c r="C770" s="16" t="s">
        <v>496</v>
      </c>
      <c r="D770" s="17">
        <v>325</v>
      </c>
      <c r="E770"/>
      <c r="F770"/>
      <c r="G770"/>
    </row>
    <row r="771" spans="1:7" x14ac:dyDescent="0.3">
      <c r="A771" s="15" t="s">
        <v>358</v>
      </c>
      <c r="B771" s="16" t="s">
        <v>171</v>
      </c>
      <c r="C771" s="16" t="s">
        <v>496</v>
      </c>
      <c r="D771" s="17">
        <v>350</v>
      </c>
      <c r="E771"/>
      <c r="F771"/>
      <c r="G771"/>
    </row>
    <row r="772" spans="1:7" x14ac:dyDescent="0.3">
      <c r="A772" s="15" t="s">
        <v>420</v>
      </c>
      <c r="B772" s="16" t="s">
        <v>171</v>
      </c>
      <c r="C772" s="16" t="s">
        <v>496</v>
      </c>
      <c r="D772" s="17">
        <v>260</v>
      </c>
      <c r="E772"/>
      <c r="F772"/>
      <c r="G772"/>
    </row>
    <row r="773" spans="1:7" x14ac:dyDescent="0.3">
      <c r="A773" s="15" t="s">
        <v>366</v>
      </c>
      <c r="B773" s="16" t="s">
        <v>171</v>
      </c>
      <c r="C773" s="16" t="s">
        <v>496</v>
      </c>
      <c r="D773" s="17">
        <v>270</v>
      </c>
      <c r="E773"/>
      <c r="F773"/>
      <c r="G773"/>
    </row>
    <row r="774" spans="1:7" x14ac:dyDescent="0.3">
      <c r="A774" s="15" t="s">
        <v>599</v>
      </c>
      <c r="B774" s="16" t="s">
        <v>171</v>
      </c>
      <c r="C774" s="16" t="s">
        <v>496</v>
      </c>
      <c r="D774" s="17">
        <v>340</v>
      </c>
      <c r="E774"/>
      <c r="F774"/>
      <c r="G774"/>
    </row>
    <row r="775" spans="1:7" x14ac:dyDescent="0.3">
      <c r="A775" s="15" t="s">
        <v>146</v>
      </c>
      <c r="B775" s="16" t="s">
        <v>171</v>
      </c>
      <c r="C775" s="16" t="s">
        <v>496</v>
      </c>
      <c r="D775" s="17">
        <v>340</v>
      </c>
      <c r="E775"/>
      <c r="F775"/>
      <c r="G775"/>
    </row>
    <row r="776" spans="1:7" x14ac:dyDescent="0.3">
      <c r="A776" s="15" t="s">
        <v>147</v>
      </c>
      <c r="B776" s="16" t="s">
        <v>171</v>
      </c>
      <c r="C776" s="16" t="s">
        <v>496</v>
      </c>
      <c r="D776" s="17">
        <v>315</v>
      </c>
      <c r="E776"/>
      <c r="F776"/>
      <c r="G776"/>
    </row>
    <row r="777" spans="1:7" x14ac:dyDescent="0.3">
      <c r="A777" s="15" t="s">
        <v>148</v>
      </c>
      <c r="B777" s="16" t="s">
        <v>171</v>
      </c>
      <c r="C777" s="16" t="s">
        <v>496</v>
      </c>
      <c r="D777" s="17">
        <v>315</v>
      </c>
      <c r="E777"/>
      <c r="F777"/>
      <c r="G777"/>
    </row>
    <row r="778" spans="1:7" x14ac:dyDescent="0.3">
      <c r="A778" s="15" t="s">
        <v>149</v>
      </c>
      <c r="B778" s="16" t="s">
        <v>171</v>
      </c>
      <c r="C778" s="16" t="s">
        <v>496</v>
      </c>
      <c r="D778" s="17">
        <v>315</v>
      </c>
      <c r="E778"/>
      <c r="F778"/>
      <c r="G778"/>
    </row>
    <row r="779" spans="1:7" x14ac:dyDescent="0.3">
      <c r="A779" s="15" t="s">
        <v>260</v>
      </c>
      <c r="B779" s="16" t="s">
        <v>171</v>
      </c>
      <c r="C779" s="16" t="s">
        <v>496</v>
      </c>
      <c r="D779" s="17">
        <v>165</v>
      </c>
      <c r="F779"/>
      <c r="G779"/>
    </row>
    <row r="780" spans="1:7" x14ac:dyDescent="0.3">
      <c r="A780" s="15" t="s">
        <v>348</v>
      </c>
      <c r="B780" s="16" t="s">
        <v>171</v>
      </c>
      <c r="C780" s="16" t="s">
        <v>496</v>
      </c>
      <c r="D780" s="17">
        <v>135</v>
      </c>
      <c r="F780"/>
      <c r="G780"/>
    </row>
    <row r="781" spans="1:7" x14ac:dyDescent="0.3">
      <c r="A781" s="15" t="s">
        <v>351</v>
      </c>
      <c r="B781" s="16" t="s">
        <v>171</v>
      </c>
      <c r="C781" s="16" t="s">
        <v>496</v>
      </c>
      <c r="D781" s="17">
        <v>620</v>
      </c>
      <c r="F781"/>
      <c r="G781"/>
    </row>
    <row r="782" spans="1:7" x14ac:dyDescent="0.3">
      <c r="A782" s="15" t="s">
        <v>368</v>
      </c>
      <c r="B782" s="16" t="s">
        <v>171</v>
      </c>
      <c r="C782" s="16" t="s">
        <v>496</v>
      </c>
      <c r="D782" s="17">
        <v>635</v>
      </c>
      <c r="F782"/>
      <c r="G782"/>
    </row>
    <row r="783" spans="1:7" x14ac:dyDescent="0.3">
      <c r="A783" s="15" t="s">
        <v>266</v>
      </c>
      <c r="B783" s="16" t="s">
        <v>171</v>
      </c>
      <c r="C783" s="16" t="s">
        <v>496</v>
      </c>
      <c r="D783" s="17">
        <v>320</v>
      </c>
      <c r="F783"/>
      <c r="G783"/>
    </row>
    <row r="784" spans="1:7" x14ac:dyDescent="0.3">
      <c r="A784" s="15" t="s">
        <v>268</v>
      </c>
      <c r="B784" s="16" t="s">
        <v>171</v>
      </c>
      <c r="C784" s="16" t="s">
        <v>496</v>
      </c>
      <c r="D784" s="17">
        <v>295</v>
      </c>
      <c r="F784"/>
      <c r="G784"/>
    </row>
    <row r="785" spans="1:7" x14ac:dyDescent="0.3">
      <c r="A785" s="15" t="s">
        <v>360</v>
      </c>
      <c r="B785" s="16" t="s">
        <v>171</v>
      </c>
      <c r="C785" s="16" t="s">
        <v>496</v>
      </c>
      <c r="D785" s="17">
        <v>315</v>
      </c>
      <c r="F785"/>
      <c r="G785"/>
    </row>
    <row r="786" spans="1:7" x14ac:dyDescent="0.3">
      <c r="A786" s="15" t="s">
        <v>275</v>
      </c>
      <c r="B786" s="16" t="s">
        <v>171</v>
      </c>
      <c r="C786" s="16" t="s">
        <v>496</v>
      </c>
      <c r="D786" s="17">
        <v>325</v>
      </c>
      <c r="F786"/>
      <c r="G786"/>
    </row>
    <row r="787" spans="1:7" x14ac:dyDescent="0.3">
      <c r="A787" s="15" t="s">
        <v>605</v>
      </c>
      <c r="B787" s="16" t="s">
        <v>171</v>
      </c>
      <c r="C787" s="16" t="s">
        <v>496</v>
      </c>
      <c r="D787" s="17">
        <v>395</v>
      </c>
      <c r="F787"/>
      <c r="G787"/>
    </row>
    <row r="788" spans="1:7" x14ac:dyDescent="0.3">
      <c r="A788" s="15" t="s">
        <v>262</v>
      </c>
      <c r="B788" s="16" t="s">
        <v>171</v>
      </c>
      <c r="C788" s="16" t="s">
        <v>496</v>
      </c>
      <c r="D788" s="17">
        <v>185</v>
      </c>
      <c r="F788"/>
      <c r="G788"/>
    </row>
    <row r="789" spans="1:7" x14ac:dyDescent="0.3">
      <c r="A789" s="15" t="s">
        <v>150</v>
      </c>
      <c r="B789" s="16" t="s">
        <v>171</v>
      </c>
      <c r="C789" s="16" t="s">
        <v>496</v>
      </c>
      <c r="D789" s="17">
        <v>325</v>
      </c>
      <c r="F789"/>
      <c r="G789"/>
    </row>
    <row r="790" spans="1:7" x14ac:dyDescent="0.3">
      <c r="A790" s="15" t="s">
        <v>593</v>
      </c>
      <c r="B790" s="16" t="s">
        <v>171</v>
      </c>
      <c r="C790" s="16" t="s">
        <v>496</v>
      </c>
      <c r="D790" s="17">
        <v>260</v>
      </c>
      <c r="F790"/>
      <c r="G790"/>
    </row>
    <row r="791" spans="1:7" x14ac:dyDescent="0.3">
      <c r="A791" s="15" t="s">
        <v>594</v>
      </c>
      <c r="B791" s="16" t="s">
        <v>171</v>
      </c>
      <c r="C791" s="16" t="s">
        <v>496</v>
      </c>
      <c r="D791" s="17">
        <v>260</v>
      </c>
      <c r="F791"/>
      <c r="G791"/>
    </row>
    <row r="792" spans="1:7" x14ac:dyDescent="0.3">
      <c r="A792" s="15" t="s">
        <v>592</v>
      </c>
      <c r="B792" s="16" t="s">
        <v>171</v>
      </c>
      <c r="C792" s="16" t="s">
        <v>496</v>
      </c>
      <c r="D792" s="17">
        <v>350</v>
      </c>
      <c r="F792"/>
      <c r="G792"/>
    </row>
    <row r="793" spans="1:7" x14ac:dyDescent="0.3">
      <c r="A793" s="15" t="s">
        <v>590</v>
      </c>
      <c r="B793" s="16" t="s">
        <v>171</v>
      </c>
      <c r="C793" s="16" t="s">
        <v>496</v>
      </c>
      <c r="D793" s="17">
        <v>295</v>
      </c>
      <c r="F793"/>
      <c r="G793"/>
    </row>
    <row r="794" spans="1:7" x14ac:dyDescent="0.3">
      <c r="A794" s="15" t="s">
        <v>591</v>
      </c>
      <c r="B794" s="16" t="s">
        <v>171</v>
      </c>
      <c r="C794" s="16" t="s">
        <v>496</v>
      </c>
      <c r="D794" s="17">
        <v>260</v>
      </c>
    </row>
    <row r="795" spans="1:7" x14ac:dyDescent="0.3">
      <c r="A795" s="15" t="s">
        <v>586</v>
      </c>
      <c r="B795" s="16" t="s">
        <v>171</v>
      </c>
      <c r="C795" s="16" t="s">
        <v>496</v>
      </c>
      <c r="D795" s="17">
        <v>340</v>
      </c>
    </row>
    <row r="796" spans="1:7" x14ac:dyDescent="0.3">
      <c r="A796" s="15" t="s">
        <v>585</v>
      </c>
      <c r="B796" s="16" t="s">
        <v>171</v>
      </c>
      <c r="C796" s="16" t="s">
        <v>496</v>
      </c>
      <c r="D796" s="17">
        <v>305</v>
      </c>
    </row>
    <row r="797" spans="1:7" x14ac:dyDescent="0.3">
      <c r="A797" s="15" t="s">
        <v>589</v>
      </c>
      <c r="B797" s="16" t="s">
        <v>171</v>
      </c>
      <c r="C797" s="16" t="s">
        <v>496</v>
      </c>
      <c r="D797" s="17">
        <v>255</v>
      </c>
    </row>
    <row r="798" spans="1:7" x14ac:dyDescent="0.3">
      <c r="A798" s="15" t="s">
        <v>588</v>
      </c>
      <c r="B798" s="16" t="s">
        <v>171</v>
      </c>
      <c r="C798" s="16" t="s">
        <v>496</v>
      </c>
      <c r="D798" s="17">
        <v>255</v>
      </c>
    </row>
    <row r="799" spans="1:7" x14ac:dyDescent="0.3">
      <c r="A799" s="15" t="s">
        <v>587</v>
      </c>
      <c r="B799" s="16" t="s">
        <v>171</v>
      </c>
      <c r="C799" s="16" t="s">
        <v>496</v>
      </c>
      <c r="D799" s="17">
        <v>285</v>
      </c>
    </row>
    <row r="801" spans="1:4" x14ac:dyDescent="0.3">
      <c r="A801" s="15">
        <v>5590</v>
      </c>
      <c r="D801" s="17">
        <v>225</v>
      </c>
    </row>
  </sheetData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159" orientation="portrait" horizontalDpi="240" verticalDpi="144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960434-89D1-4E78-B909-47F34BD5B1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11</vt:i4>
      </vt:variant>
    </vt:vector>
  </HeadingPairs>
  <TitlesOfParts>
    <vt:vector size="26" baseType="lpstr">
      <vt:lpstr>Data Entry</vt:lpstr>
      <vt:lpstr>Full Price List</vt:lpstr>
      <vt:lpstr>Price Finder</vt:lpstr>
      <vt:lpstr>Mrp Challan</vt:lpstr>
      <vt:lpstr>Wsp Challan</vt:lpstr>
      <vt:lpstr>Net Cash challan</vt:lpstr>
      <vt:lpstr>Wsp Shawls</vt:lpstr>
      <vt:lpstr>Wsp Stoles</vt:lpstr>
      <vt:lpstr>Wsp Lohi</vt:lpstr>
      <vt:lpstr>Wsp Suits</vt:lpstr>
      <vt:lpstr>Wsp 2500</vt:lpstr>
      <vt:lpstr>Mrp All items</vt:lpstr>
      <vt:lpstr>Net Cash All items</vt:lpstr>
      <vt:lpstr>Sheet1</vt:lpstr>
      <vt:lpstr>South</vt:lpstr>
      <vt:lpstr>'Mrp Challan'!Print_Area</vt:lpstr>
      <vt:lpstr>'Net Cash challan'!Print_Area</vt:lpstr>
      <vt:lpstr>'Wsp Challan'!Print_Area</vt:lpstr>
      <vt:lpstr>'Mrp All items'!Print_Titles</vt:lpstr>
      <vt:lpstr>'Net Cash All items'!Print_Titles</vt:lpstr>
      <vt:lpstr>South!Print_Titles</vt:lpstr>
      <vt:lpstr>'Wsp 2500'!Print_Titles</vt:lpstr>
      <vt:lpstr>'Wsp Lohi'!Print_Titles</vt:lpstr>
      <vt:lpstr>'Wsp Shawls'!Print_Titles</vt:lpstr>
      <vt:lpstr>'Wsp Stoles'!Print_Titles</vt:lpstr>
      <vt:lpstr>'Wsp Suits'!Print_Titles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jain</dc:creator>
  <cp:lastModifiedBy>naveen jain</cp:lastModifiedBy>
  <cp:lastPrinted>2026-05-01T05:32:08Z</cp:lastPrinted>
  <dcterms:created xsi:type="dcterms:W3CDTF">2016-01-21T06:17:01Z</dcterms:created>
  <dcterms:modified xsi:type="dcterms:W3CDTF">2026-08-18T13:27:00Z</dcterms:modified>
</cp:coreProperties>
</file>